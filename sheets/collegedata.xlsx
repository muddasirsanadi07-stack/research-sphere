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11c6c732bb4f6b/Documents/PROJECTS/ResearchSphere/sheets/"/>
    </mc:Choice>
  </mc:AlternateContent>
  <xr:revisionPtr revIDLastSave="201" documentId="11_1620DE0AE005C08CDBD0F82D6A76D1393E27D02C" xr6:coauthVersionLast="47" xr6:coauthVersionMax="47" xr10:uidLastSave="{677631CE-E4C6-493E-B138-337DE30EBAB5}"/>
  <bookViews>
    <workbookView xWindow="-108" yWindow="-108" windowWidth="23256" windowHeight="12456" activeTab="2" xr2:uid="{00000000-000D-0000-FFFF-FFFF00000000}"/>
  </bookViews>
  <sheets>
    <sheet name="targ vs ach" sheetId="11" r:id="rId1"/>
    <sheet name="Consolidated Sheet " sheetId="2" r:id="rId2"/>
    <sheet name="Journal_Paper_Conference" sheetId="3" r:id="rId3"/>
    <sheet name="Patent" sheetId="4" r:id="rId4"/>
    <sheet name="Consultancy" sheetId="6" r:id="rId5"/>
    <sheet name="Proposal" sheetId="5" r:id="rId6"/>
    <sheet name="Entrepreneurship" sheetId="7" r:id="rId7"/>
    <sheet name="Incentives" sheetId="8" r:id="rId8"/>
    <sheet name="Granted Patent" sheetId="10" r:id="rId9"/>
    <sheet name="Students Publications" sheetId="9" r:id="rId10"/>
  </sheets>
  <definedNames>
    <definedName name="_xlnm._FilterDatabase" localSheetId="4" hidden="1">Consultancy!$C$1:$C$860</definedName>
    <definedName name="_xlnm._FilterDatabase" localSheetId="2" hidden="1">Journal_Paper_Conference!$B$1:$K$1</definedName>
    <definedName name="_xlnm._FilterDatabase" localSheetId="3" hidden="1">Patent!$E$2:$E$26</definedName>
    <definedName name="_xlnm._FilterDatabase" localSheetId="5" hidden="1">Proposal!$A$2:$AB$3</definedName>
    <definedName name="Z_722831EC_C62E_4917_B486_B5A8E8CA3DA9_.wvu.FilterData" localSheetId="2" hidden="1">Journal_Paper_Conference!$A$1:$J$258</definedName>
    <definedName name="Z_722831EC_C62E_4917_B486_B5A8E8CA3DA9_.wvu.FilterData" localSheetId="5" hidden="1">Proposal!$C$1:$C$973</definedName>
    <definedName name="Z_E2779A39_C475_40AD_A216_2FF2A28806FF_.wvu.FilterData" localSheetId="2" hidden="1">Journal_Paper_Conference!$A$1:$J$258</definedName>
  </definedNames>
  <calcPr calcId="191029"/>
  <customWorkbookViews>
    <customWorkbookView name="Filter 1" guid="{722831EC-C62E-4917-B486-B5A8E8CA3DA9}" maximized="1" windowWidth="0" windowHeight="0" activeSheetId="0"/>
    <customWorkbookView name="Filter 2" guid="{E2779A39-C475-40AD-A216-2FF2A28806F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11" l="1"/>
  <c r="G63" i="11"/>
  <c r="F63" i="11"/>
  <c r="E63" i="11"/>
  <c r="D63" i="11"/>
  <c r="C63" i="11"/>
  <c r="B63" i="11"/>
  <c r="H62" i="11"/>
  <c r="G62" i="11"/>
  <c r="F62" i="11"/>
  <c r="E62" i="11"/>
  <c r="D62" i="11"/>
  <c r="C62" i="11"/>
  <c r="B62" i="11"/>
  <c r="H61" i="11"/>
  <c r="G61" i="11"/>
  <c r="F61" i="11"/>
  <c r="E61" i="11"/>
  <c r="D61" i="11"/>
  <c r="C61" i="11"/>
  <c r="B61" i="11"/>
  <c r="H60" i="11"/>
  <c r="G60" i="11"/>
  <c r="F60" i="11"/>
  <c r="E60" i="11"/>
  <c r="D60" i="11"/>
  <c r="C60" i="11"/>
  <c r="B60" i="11"/>
  <c r="H59" i="11"/>
  <c r="G59" i="11"/>
  <c r="F59" i="11"/>
  <c r="E59" i="11"/>
  <c r="D59" i="11"/>
  <c r="C59" i="11"/>
  <c r="B59" i="11"/>
  <c r="H58" i="11"/>
  <c r="G58" i="11"/>
  <c r="F58" i="11"/>
  <c r="E58" i="11"/>
  <c r="D58" i="11"/>
  <c r="C58" i="11"/>
  <c r="B58" i="11"/>
  <c r="H57" i="11"/>
  <c r="G57" i="11"/>
  <c r="F57" i="11"/>
  <c r="E57" i="11"/>
  <c r="D57" i="11"/>
  <c r="C57" i="11"/>
  <c r="B57" i="11"/>
  <c r="H56" i="11"/>
  <c r="G56" i="11"/>
  <c r="F56" i="11"/>
  <c r="E56" i="11"/>
  <c r="D56" i="11"/>
  <c r="C56" i="11"/>
  <c r="B56" i="11"/>
  <c r="H55" i="11"/>
  <c r="G55" i="11"/>
  <c r="F55" i="11"/>
  <c r="E55" i="11"/>
  <c r="D55" i="11"/>
  <c r="C55" i="11"/>
  <c r="B55" i="11"/>
  <c r="H54" i="11"/>
  <c r="G54" i="11"/>
  <c r="F54" i="11"/>
  <c r="E54" i="11"/>
  <c r="D54" i="11"/>
  <c r="C54" i="11"/>
  <c r="B54" i="11"/>
  <c r="H53" i="11"/>
  <c r="G53" i="11"/>
  <c r="F53" i="11"/>
  <c r="E53" i="11"/>
  <c r="D53" i="11"/>
  <c r="C53" i="11"/>
  <c r="B53" i="11"/>
  <c r="H52" i="11"/>
  <c r="G52" i="11"/>
  <c r="F52" i="11"/>
  <c r="E52" i="11"/>
  <c r="D52" i="11"/>
  <c r="C52" i="11"/>
  <c r="B52" i="11"/>
  <c r="B64" i="11" s="1"/>
  <c r="H47" i="11"/>
  <c r="G47" i="11"/>
  <c r="F47" i="11"/>
  <c r="E47" i="11"/>
  <c r="D47" i="11"/>
  <c r="C47" i="11"/>
  <c r="B47" i="11"/>
  <c r="H46" i="11"/>
  <c r="G46" i="11"/>
  <c r="F46" i="11"/>
  <c r="E46" i="11"/>
  <c r="D46" i="11"/>
  <c r="C46" i="11"/>
  <c r="B46" i="11"/>
  <c r="H45" i="11"/>
  <c r="G45" i="11"/>
  <c r="F45" i="11"/>
  <c r="E45" i="11"/>
  <c r="D45" i="11"/>
  <c r="C45" i="11"/>
  <c r="B45" i="11"/>
  <c r="H44" i="11"/>
  <c r="G44" i="11"/>
  <c r="F44" i="11"/>
  <c r="E44" i="11"/>
  <c r="D44" i="11"/>
  <c r="C44" i="11"/>
  <c r="B44" i="11"/>
  <c r="H43" i="11"/>
  <c r="G43" i="11"/>
  <c r="F43" i="11"/>
  <c r="E43" i="11"/>
  <c r="D43" i="11"/>
  <c r="C43" i="11"/>
  <c r="B43" i="11"/>
  <c r="H42" i="11"/>
  <c r="G42" i="11"/>
  <c r="F42" i="11"/>
  <c r="E42" i="11"/>
  <c r="D42" i="11"/>
  <c r="C42" i="11"/>
  <c r="B42" i="11"/>
  <c r="H41" i="11"/>
  <c r="G41" i="11"/>
  <c r="F41" i="11"/>
  <c r="E41" i="11"/>
  <c r="D41" i="11"/>
  <c r="C41" i="11"/>
  <c r="B41" i="11"/>
  <c r="H40" i="11"/>
  <c r="G40" i="11"/>
  <c r="F40" i="11"/>
  <c r="E40" i="11"/>
  <c r="D40" i="11"/>
  <c r="C40" i="11"/>
  <c r="B40" i="11"/>
  <c r="H39" i="11"/>
  <c r="G39" i="11"/>
  <c r="F39" i="11"/>
  <c r="D39" i="11"/>
  <c r="C39" i="11"/>
  <c r="B39" i="11"/>
  <c r="H38" i="11"/>
  <c r="G38" i="11"/>
  <c r="F38" i="11"/>
  <c r="E38" i="11"/>
  <c r="D38" i="11"/>
  <c r="C38" i="11"/>
  <c r="B38" i="11"/>
  <c r="H37" i="11"/>
  <c r="G37" i="11"/>
  <c r="F37" i="11"/>
  <c r="E37" i="11"/>
  <c r="D37" i="11"/>
  <c r="C37" i="11"/>
  <c r="B37" i="11"/>
  <c r="H36" i="11"/>
  <c r="G36" i="11"/>
  <c r="F36" i="11"/>
  <c r="E36" i="11"/>
  <c r="D36" i="11"/>
  <c r="C36" i="11"/>
  <c r="B36" i="11"/>
  <c r="H32" i="11"/>
  <c r="G32" i="11"/>
  <c r="F32" i="11"/>
  <c r="E32" i="11"/>
  <c r="D32" i="11"/>
  <c r="C32" i="11"/>
  <c r="B32" i="11"/>
  <c r="H16" i="11"/>
  <c r="G16" i="11"/>
  <c r="F16" i="11"/>
  <c r="E16" i="11"/>
  <c r="D16" i="11"/>
  <c r="C16" i="11"/>
  <c r="B16" i="11"/>
  <c r="D16" i="9"/>
  <c r="D15" i="9"/>
  <c r="D14" i="9"/>
  <c r="D13" i="9"/>
  <c r="D12" i="9"/>
  <c r="D11" i="9"/>
  <c r="D10" i="9"/>
  <c r="D9" i="9"/>
  <c r="D8" i="9"/>
  <c r="F290" i="8"/>
  <c r="G47" i="7"/>
  <c r="H77" i="6"/>
  <c r="G15" i="2"/>
  <c r="C48" i="11" l="1"/>
  <c r="F64" i="11"/>
  <c r="E64" i="11"/>
  <c r="C64" i="11"/>
  <c r="D64" i="11"/>
  <c r="G64" i="11"/>
  <c r="H64" i="11"/>
  <c r="G48" i="11"/>
  <c r="D48" i="11"/>
  <c r="F48" i="11"/>
  <c r="H48" i="11"/>
  <c r="B48" i="11"/>
  <c r="E48" i="11"/>
</calcChain>
</file>

<file path=xl/sharedStrings.xml><?xml version="1.0" encoding="utf-8"?>
<sst xmlns="http://schemas.openxmlformats.org/spreadsheetml/2006/main" count="7874" uniqueCount="3378">
  <si>
    <t>RCPIE Verification Status for AY 24-25</t>
  </si>
  <si>
    <t>Total Target for AY 2024-25</t>
  </si>
  <si>
    <t xml:space="preserve">Target Achieved </t>
  </si>
  <si>
    <t xml:space="preserve"> Achieved in %</t>
  </si>
  <si>
    <t>Pending Details</t>
  </si>
  <si>
    <t>Dept.</t>
  </si>
  <si>
    <t>R</t>
  </si>
  <si>
    <t>C</t>
  </si>
  <si>
    <t>P</t>
  </si>
  <si>
    <t>I</t>
  </si>
  <si>
    <t>E</t>
  </si>
  <si>
    <t>M Paper</t>
  </si>
  <si>
    <t>M Patent</t>
  </si>
  <si>
    <t>M
 Paper</t>
  </si>
  <si>
    <t>M
Patent</t>
  </si>
  <si>
    <t>ECE</t>
  </si>
  <si>
    <t>CSE</t>
  </si>
  <si>
    <t>ISE</t>
  </si>
  <si>
    <t>EEE</t>
  </si>
  <si>
    <t>CHE</t>
  </si>
  <si>
    <t>PHY</t>
  </si>
  <si>
    <t>AIML</t>
  </si>
  <si>
    <t>AIDS</t>
  </si>
  <si>
    <t>MAT</t>
  </si>
  <si>
    <t>MCA</t>
  </si>
  <si>
    <t>MBA</t>
  </si>
  <si>
    <t>ME</t>
  </si>
  <si>
    <t>Total</t>
  </si>
  <si>
    <t>Total Target</t>
  </si>
  <si>
    <r>
      <rPr>
        <sz val="10"/>
        <rFont val="Calibri"/>
      </rPr>
      <t xml:space="preserve">Calculation Sheet: </t>
    </r>
    <r>
      <rPr>
        <u/>
        <sz val="10"/>
        <color rgb="FF1155CC"/>
        <rFont val="Calibri"/>
      </rPr>
      <t>https://docs.google.com/spreadsheets/d/1c6ExYgEK3c3VThNvtkQd2_7YY7vXw0_w/edit?usp=sharing&amp;ouid=116627104976954055156&amp;rtpof=true&amp;sd=true</t>
    </r>
    <r>
      <rPr>
        <sz val="10"/>
        <rFont val="Calibri"/>
      </rPr>
      <t xml:space="preserve"> </t>
    </r>
  </si>
  <si>
    <t>Colour Code</t>
  </si>
  <si>
    <t>Achieved</t>
  </si>
  <si>
    <t>&gt;=100</t>
  </si>
  <si>
    <t>&gt;=80 to &lt;100</t>
  </si>
  <si>
    <t>162 Papers</t>
  </si>
  <si>
    <t>15.74L</t>
  </si>
  <si>
    <t>133 sub.</t>
  </si>
  <si>
    <t>37 Patents</t>
  </si>
  <si>
    <t>8.48L</t>
  </si>
  <si>
    <t>122 Papers</t>
  </si>
  <si>
    <t>&gt;=50 to &lt;80</t>
  </si>
  <si>
    <t>Pending Status</t>
  </si>
  <si>
    <t>&gt;=20 to &lt;50</t>
  </si>
  <si>
    <t>&lt;20%</t>
  </si>
  <si>
    <t>28 papers</t>
  </si>
  <si>
    <t>10.75L</t>
  </si>
  <si>
    <t>65 P submission/65L</t>
  </si>
  <si>
    <t>-</t>
  </si>
  <si>
    <t>7.59L</t>
  </si>
  <si>
    <t>60 papers</t>
  </si>
  <si>
    <t>31 patents</t>
  </si>
  <si>
    <t>Total Pending papers = 28+60+39(Non Published)=127</t>
  </si>
  <si>
    <t>Total Patents Pending = 31</t>
  </si>
  <si>
    <t>RCPIE Consolidated Details for AY 24-25</t>
  </si>
  <si>
    <t xml:space="preserve"> No Papers in Journal </t>
  </si>
  <si>
    <t>Proposals</t>
  </si>
  <si>
    <t xml:space="preserve"> No Papers in Conference</t>
  </si>
  <si>
    <t>Agency</t>
  </si>
  <si>
    <t>Funds</t>
  </si>
  <si>
    <t>Total Papers</t>
  </si>
  <si>
    <t>MSME</t>
  </si>
  <si>
    <t>60 L</t>
  </si>
  <si>
    <t>Q1</t>
  </si>
  <si>
    <t>Patents Filed/Published</t>
  </si>
  <si>
    <t>Kapila</t>
  </si>
  <si>
    <t>Q2</t>
  </si>
  <si>
    <t>Patents Granted</t>
  </si>
  <si>
    <t>Amount received io College</t>
  </si>
  <si>
    <t>11.5L</t>
  </si>
  <si>
    <t>Total Patents</t>
  </si>
  <si>
    <t>71.5 L</t>
  </si>
  <si>
    <t>Proposal Amount Sanctioned</t>
  </si>
  <si>
    <t>Consultancy Amount Received</t>
  </si>
  <si>
    <t>16.33 L</t>
  </si>
  <si>
    <t>E load amount Received</t>
  </si>
  <si>
    <t>8.74 L</t>
  </si>
  <si>
    <r>
      <rPr>
        <u/>
        <sz val="12"/>
        <color rgb="FF1155CC"/>
        <rFont val="Times New Roman"/>
      </rPr>
      <t>S.No</t>
    </r>
    <r>
      <rPr>
        <sz val="12"/>
        <color rgb="FF000000"/>
        <rFont val="Times New Roman"/>
      </rPr>
      <t>.</t>
    </r>
  </si>
  <si>
    <t>Faculty Involved</t>
  </si>
  <si>
    <t>Students Involved</t>
  </si>
  <si>
    <t>Department</t>
  </si>
  <si>
    <t>Name of the Journal / International conference</t>
  </si>
  <si>
    <t>Q1/Q2 /Q3/Q4/SCI</t>
  </si>
  <si>
    <t>Is it Indexed on WoS</t>
  </si>
  <si>
    <t>Title of the paper</t>
  </si>
  <si>
    <t>Presented/published in the Month and Year
(Sep/Oct/Nov/Dec/Jan/Feb)</t>
  </si>
  <si>
    <t>ISSN/ISBN Number</t>
  </si>
  <si>
    <t>Published proof link (DOI)</t>
  </si>
  <si>
    <t>Dr Meenakshi R Patil, Dr Naveen Kumar G N</t>
  </si>
  <si>
    <t>3rd 2024 IEEE World Conference on Applied Intelligence and Computing (AIC  2024)</t>
  </si>
  <si>
    <t>Comprehensive Assessment of Deep Learning Models for Multi-Disease Detection in Brain MRI Images</t>
  </si>
  <si>
    <t>Presented in July 2024</t>
  </si>
  <si>
    <t>https://drive.google.com/file/d/1C2gdujw-v4ImxGKADA8JiSNakPe16gWD/view?usp=drive_link</t>
  </si>
  <si>
    <t>Dr. Parthasarathy P &amp; Prof. Manjunath V Gudur</t>
  </si>
  <si>
    <t xml:space="preserve">International Conference on Electrical Electronics and Computing Technologies (ICEECT 2024)
</t>
  </si>
  <si>
    <t>MXene: A 2-Dimensional Material for Wearable and Flexible Electronics</t>
  </si>
  <si>
    <t>Accepted and Presented in July 2024</t>
  </si>
  <si>
    <t>979-8-3503-7809-2</t>
  </si>
  <si>
    <r>
      <rPr>
        <b/>
        <sz val="12"/>
        <color rgb="FF000000"/>
        <rFont val="Times New Roman"/>
      </rPr>
      <t>Dr. Parthasarathy P</t>
    </r>
  </si>
  <si>
    <t>Ymer</t>
  </si>
  <si>
    <t>Q4</t>
  </si>
  <si>
    <t>NA</t>
  </si>
  <si>
    <t>Synergistic Integration of MXene and Graphene Pioneering 2D Nanomaterials for Wearable Electronics and Cancer Therapy</t>
  </si>
  <si>
    <t>Accepted in August 2024</t>
  </si>
  <si>
    <t>ISSN NO: 0044-0477</t>
  </si>
  <si>
    <t>8th International Conference on
Electronics, Communication and Aerospace Technology
ICECA 2024</t>
  </si>
  <si>
    <t>Carbon Nanotube Field Effect Transistor (CNTFET) Biosensors: Moving Towards Market Introduction</t>
  </si>
  <si>
    <t xml:space="preserve"> 979-8-3503-6790-4</t>
  </si>
  <si>
    <t>Dr. Radhakrishnan G</t>
  </si>
  <si>
    <t>Nil</t>
  </si>
  <si>
    <t>IEEE 3rd International Conference for Advancement in Technology (ICONAT), GOA 2024</t>
  </si>
  <si>
    <t>Scopus</t>
  </si>
  <si>
    <t>Automatic Detection of Vehicle Registration Number in Helmet Rule Violation by  Motorcyclists</t>
  </si>
  <si>
    <t>Presented on 14th Sep 2024</t>
  </si>
  <si>
    <t>Radhakrishnan G, Arpit Sharma</t>
  </si>
  <si>
    <t>2024 5th Global Conference for Advancement in Technology</t>
  </si>
  <si>
    <t>Emotion Recognition in Indian Classical Dance Performances: An Object Detection based Approach</t>
  </si>
  <si>
    <t>Accepted in Sep 2024</t>
  </si>
  <si>
    <t>Soumya S and K.Meenakshi</t>
  </si>
  <si>
    <t>Machine Intellience</t>
  </si>
  <si>
    <t>Discrete Labeling in Graphs and Deomposition of graphs and Graph Based optimisation  framework for water resource allocation</t>
  </si>
  <si>
    <t>2731-538X</t>
  </si>
  <si>
    <t>https://machineintelligenceresearchs.com/index.php/MIR/article/view/134</t>
  </si>
  <si>
    <t>Balaji C</t>
  </si>
  <si>
    <t>Turkish World Mathematical Society
 Journal of Applied and Engineering 
Mathematics</t>
  </si>
  <si>
    <t>Yes</t>
  </si>
  <si>
    <t>Impact of Modulated Magnetic Field on the Advent of Ferroconvection 
in a Permeable Medium</t>
  </si>
  <si>
    <t>Published in July 2024</t>
  </si>
  <si>
    <t>2146-1147</t>
  </si>
  <si>
    <r>
      <rPr>
        <u/>
        <sz val="10"/>
        <color rgb="FF1155CC"/>
        <rFont val="Arial"/>
      </rPr>
      <t>https://jaem.isikun.edu.tr/web/index.php/archive/125-vol14no3/1244-impact-of-modulated-magnetic-field-on-the-advent-of-ferroconvection-in-a-permeable-medium</t>
    </r>
    <r>
      <rPr>
        <sz val="10"/>
        <color theme="1"/>
        <rFont val="Arial"/>
      </rPr>
      <t xml:space="preserve"> </t>
    </r>
  </si>
  <si>
    <t>Maxwell-Cattaneo law of heat conduction through porous ferroconvection with magnetic field dependent viscosity</t>
  </si>
  <si>
    <t>Published in October 2024</t>
  </si>
  <si>
    <r>
      <rPr>
        <sz val="10"/>
        <color theme="1"/>
        <rFont val="Arial"/>
      </rPr>
      <t xml:space="preserve"> </t>
    </r>
    <r>
      <rPr>
        <u/>
        <sz val="10"/>
        <color rgb="FF1155CC"/>
        <rFont val="Arial"/>
      </rPr>
      <t>https://jaem.isikun.edu.tr/web/index.php/current/126-vol14no4/1291-maxwell-cattaneo-law-of-heat-conduction-through-porous-ferroconvection-with-magnetic-field-dependent-viscosity</t>
    </r>
    <r>
      <rPr>
        <sz val="10"/>
        <color theme="1"/>
        <rFont val="Arial"/>
      </rPr>
      <t xml:space="preserve"> </t>
    </r>
  </si>
  <si>
    <t>Bulletin of Irkutsk State University, Series Mathematics</t>
  </si>
  <si>
    <t>Ferrohydrodynamics instability of a viscoelastic magnetic fluid layer under the influence of time-varying magnetic field</t>
  </si>
  <si>
    <t>Published in March 2025</t>
  </si>
  <si>
    <t xml:space="preserve">2541-8785 </t>
  </si>
  <si>
    <t>https://doi.org/10.26516/1997-7670.2025.51.34</t>
  </si>
  <si>
    <t xml:space="preserve">Dr. Venkatesh M &amp; Dr. Parthasarathy P </t>
  </si>
  <si>
    <t>Journal of Materials Science: Materials in Electronics</t>
  </si>
  <si>
    <t>Fabrication and characterization of modulation-doped β-(AlxGa1− x) 2O3/Ga2O3 tri-metal FET utilizing ultra-high vacuum deposition based on plasma-assisted molecular beam epitaxy</t>
  </si>
  <si>
    <t>Published in September 2024</t>
  </si>
  <si>
    <t>1573-482X</t>
  </si>
  <si>
    <t>https://link.springer.com/article/10.1007/s10854-024-13430-6#citeas</t>
  </si>
  <si>
    <t xml:space="preserve">Journal of Electronic Materials (JEMS) </t>
  </si>
  <si>
    <t>Optimization of morphology on the sensing performance in Non-Enzymatic Graphene FET Biosensor for Detection of Biomolecules in Complex Analytes</t>
  </si>
  <si>
    <t>Accepted in October 2024</t>
  </si>
  <si>
    <t>1543-186X</t>
  </si>
  <si>
    <t>ICETEMS 2024</t>
  </si>
  <si>
    <t>Electrocatalytic Performance of MWCNT on GCE for Highly Selective dopamine and Uric Acid Sensing</t>
  </si>
  <si>
    <t>Dr. Abinash Panda</t>
  </si>
  <si>
    <t>Heliyon</t>
  </si>
  <si>
    <t>Investigation of Annular Photonic Crystal Sensor for Real-time Monitoring of Calcium Carbonate Scales in Water Distribution Systems</t>
  </si>
  <si>
    <t>2405-8440</t>
  </si>
  <si>
    <t>https://www.cell.com/action/showPdf?pii=S2405-8440%2824%2915153-5</t>
  </si>
  <si>
    <t>Dr. Geetanjali</t>
  </si>
  <si>
    <t>I-SMAC 2024</t>
  </si>
  <si>
    <t>NO</t>
  </si>
  <si>
    <t>Efficient AQI Prediction: A Comparative Study of Artificial Neural Networks, LSTM, Random Forest, and Gradient Boosting Techniques</t>
  </si>
  <si>
    <t>publishedin OCT-2024</t>
  </si>
  <si>
    <t xml:space="preserve"> 979-8-3503-7642-5</t>
  </si>
  <si>
    <t>https://ieeexplore.ieee.org/document/10714872</t>
  </si>
  <si>
    <t xml:space="preserve">Dr. Narendra N </t>
  </si>
  <si>
    <t>MECH</t>
  </si>
  <si>
    <t>Energy Sources, Part A: Recovery, Utilization, and Environmental Effects</t>
  </si>
  <si>
    <t>No</t>
  </si>
  <si>
    <t>A techno-assessment approach on biogas yield from organic agriculture wastes of cauliflower and grape residues</t>
  </si>
  <si>
    <t>Published in  09- Aug- 2024</t>
  </si>
  <si>
    <r>
      <rPr>
        <sz val="12"/>
        <color rgb="FF474747"/>
        <rFont val="Times New Roman"/>
      </rPr>
      <t xml:space="preserve">Volume 46, 2024 - </t>
    </r>
    <r>
      <rPr>
        <sz val="12"/>
        <color rgb="FF10147E"/>
        <rFont val="Times New Roman"/>
      </rPr>
      <t>Issue 1</t>
    </r>
  </si>
  <si>
    <t>https://www.tandfonline.com/doi/full/10.1080/15567036.2024.2386373</t>
  </si>
  <si>
    <t xml:space="preserve">Dr. RAJENDRA PRASAD REDDY </t>
  </si>
  <si>
    <t>The Minerals, Metals &amp; Materials Society</t>
  </si>
  <si>
    <t>Investigating the Bio-tribological Aspects of Novel Squeeze Rheo Casted Magnesium Alloy Composites for Orthopedic Implant Applications</t>
  </si>
  <si>
    <t>presented in 10th - OCT-2024</t>
  </si>
  <si>
    <t>olume 76, pages 7279–7289, (2024)</t>
  </si>
  <si>
    <t>https://link.springer.com/article/10.1007/s11837-024-06897-5</t>
  </si>
  <si>
    <t>Sagarika Behera, Paramananda Jena, Kedar Nath Sahu</t>
  </si>
  <si>
    <t xml:space="preserve">IEEE Microwaves, Antennas and Propagation Conference, MAPCON-2024 </t>
  </si>
  <si>
    <t>Detection of Cardiovascular Activities of Multiple Patients using MIMO mmWave Radar</t>
  </si>
  <si>
    <t>Spurthy Maria Pais, Sudarshan Zunja, Shrutilipi Bhattacharjee</t>
  </si>
  <si>
    <t>Core National Conference, Cods Comad</t>
  </si>
  <si>
    <t>Geospatial Downscaling of TROPOMI-SIF with U-Net and Local
Binary Patterns</t>
  </si>
  <si>
    <t>Vyshali Rao K P</t>
  </si>
  <si>
    <t>THE 15th INTERNATIONAL IEEE CONFERENCE ON COMPUTING, COMMUNICATION AND NETWORKING TECHNOLOGIES (ICCCNT)</t>
  </si>
  <si>
    <t>Design of Automatic Greener Healthy System for Data Center using Deep Learning</t>
  </si>
  <si>
    <t>https://ieeexplore.ieee.org/document/10724153</t>
  </si>
  <si>
    <t>Poornima Manjunath</t>
  </si>
  <si>
    <t>3rd International Conference on Data, Decision and Systems,  at PES University, Bangalore (ICDDS)</t>
  </si>
  <si>
    <t>Productivity App for ADHD affected people</t>
  </si>
  <si>
    <t>Published (12 March 2025)</t>
  </si>
  <si>
    <t>2024-May-ISE-007</t>
  </si>
  <si>
    <t>Anaswara Venunadh</t>
  </si>
  <si>
    <t>nil</t>
  </si>
  <si>
    <t>6th International Conference on Cybernetics, Cognition and Machine Learning Applications:</t>
  </si>
  <si>
    <t>Generative AI Under Scrutiny: Assessing the Risks and Challenges in Diverse Domains</t>
  </si>
  <si>
    <t>Published</t>
  </si>
  <si>
    <t>R LOAD</t>
  </si>
  <si>
    <t>Dr. Suruchi Sabherwal</t>
  </si>
  <si>
    <t xml:space="preserve">1. Social Network Analysis and Mining Journal,                                                                                        </t>
  </si>
  <si>
    <t xml:space="preserve">"Black Marketed Collusive Users Primary Dataset from Twitter/X Online Social Media"
</t>
  </si>
  <si>
    <t>Accepted October 10,</t>
  </si>
  <si>
    <t xml:space="preserve">ISSN-18695450,                             </t>
  </si>
  <si>
    <t>https://drive.google.com/file/d/1jIs_UZsyemYVkYOe2J5mhGuFK4hDykKx/view?usp=sharing</t>
  </si>
  <si>
    <t>Mr. Vijay Anand</t>
  </si>
  <si>
    <t xml:space="preserve">AI&amp;DS </t>
  </si>
  <si>
    <t>ICICEC 2024</t>
  </si>
  <si>
    <t xml:space="preserve">Performance Evolution of Cardiovascular Disease Prediction using Supervised Machine Learning Algorithms </t>
  </si>
  <si>
    <t>Accepted in August 2024 and Presented in October 2024</t>
  </si>
  <si>
    <t>https://drive.google.com/file/d/1iR2_4_60TJVpEH-VTgmZIMNpzBkqOqS9/view?usp=drive_link</t>
  </si>
  <si>
    <t>crystals</t>
  </si>
  <si>
    <t>Hydroxyapatite Reinforced Magnesium Alloy Composites Using the Ultrasonic-Assisted Rheo-Squeeze Casting Technique: Microstructural and Mechanical Performance Evaluation for Bone Fixture Applications</t>
  </si>
  <si>
    <t>Published July 2024</t>
  </si>
  <si>
    <r>
      <rPr>
        <b/>
        <u/>
        <sz val="10"/>
        <color rgb="FF4F5671"/>
        <rFont val="Arial"/>
        <scheme val="minor"/>
      </rPr>
      <t>https://doi.org/10.3390/cryst14070667</t>
    </r>
  </si>
  <si>
    <t>Ranjitha R</t>
  </si>
  <si>
    <t>Bindu N,Kruthika Y,Dr.Sathish K R,Joel B Melwin,Rashmi M,</t>
  </si>
  <si>
    <t>ICSES 2024 Conference</t>
  </si>
  <si>
    <t>A Smart Fire Rescue Bot using Sensors and Arduino IDE</t>
  </si>
  <si>
    <t>Presented</t>
  </si>
  <si>
    <t>Sanitha Michail C</t>
  </si>
  <si>
    <t>2024 First International Conference on Innovations in Communications, Electrical and Computer Engineering (ICICEC 2024),Bapuji Institute of Engineering and Technology, Davangere, Karnataka, India ,24 – 25, October 2024.</t>
  </si>
  <si>
    <t>Power flow analysis in microgrid using Guass Seidel method</t>
  </si>
  <si>
    <t>979-8-3503-7651-7/24</t>
  </si>
  <si>
    <t>10.1109/ICICEC62498.2024.10808319</t>
  </si>
  <si>
    <t>Dr.K.Chitra</t>
  </si>
  <si>
    <t>2024 First International Conference on Electronics, Communication and Signal Processing (ICECSP)</t>
  </si>
  <si>
    <t>A Comprehensive Evaluaion of Solar Powered Electric Vehicle Charging Station Design using Internet of Things</t>
  </si>
  <si>
    <t xml:space="preserve"> 979-8-3503-6459-0/2</t>
  </si>
  <si>
    <t>10.1109/ICECSP61809.2024.10698561</t>
  </si>
  <si>
    <t xml:space="preserve">Dr. Vakula Rani </t>
  </si>
  <si>
    <t>Haifa Ali Saeed Ali (Research Scholar)</t>
  </si>
  <si>
    <t>International Journal of Computer Networks and Applications (IJCNA)</t>
  </si>
  <si>
    <t>Q3</t>
  </si>
  <si>
    <t>Machine Learning for Internet of Things (IoT) 
Security: A Comprehensive Survey</t>
  </si>
  <si>
    <t xml:space="preserve">  DOI: 10.22247/ijcna/2024/40</t>
  </si>
  <si>
    <r>
      <rPr>
        <u/>
        <sz val="10"/>
        <color rgb="FF1155CC"/>
        <rFont val="Arial"/>
      </rPr>
      <t>https://mail.ijcna.org/Manuscripts/IJCNA-2024-O-40.pdf</t>
    </r>
    <r>
      <rPr>
        <sz val="10"/>
        <color rgb="FF000000"/>
        <rFont val="Arial"/>
      </rPr>
      <t xml:space="preserve">    </t>
    </r>
  </si>
  <si>
    <t>Dr.Gnaneswari.G</t>
  </si>
  <si>
    <t>4th International Conference on Sustainable Expert Systems” (ICSES 2024)</t>
  </si>
  <si>
    <t>Artificial Intelligence for Climate Sustainability: A Comprehensive Review of Applications, Challenges, and Future Prospects</t>
  </si>
  <si>
    <t>Accepted in August 2024 and Presented in Oct 2024</t>
  </si>
  <si>
    <t>Dr Rinisha Bagaria</t>
  </si>
  <si>
    <t>CIS 2024</t>
  </si>
  <si>
    <t>A Support Vector Machine-based Classification for Dis-tinct Medical Image Modalities</t>
  </si>
  <si>
    <t>Accepted in August 2024 and Presented in September 2024 and Published in June 2025</t>
  </si>
  <si>
    <t>978-981-96-2697-7</t>
  </si>
  <si>
    <t>https://doi.org/10.1007/978-981-96-2697-7_27</t>
  </si>
  <si>
    <t>Mr. Vijay Anand P</t>
  </si>
  <si>
    <t>ICDCC-2024</t>
  </si>
  <si>
    <t>Video Frame Prediction Using Convolutional LSTM Encoder and Decoder</t>
  </si>
  <si>
    <t>Accepted in November 2024</t>
  </si>
  <si>
    <t>Sagarika Behera</t>
  </si>
  <si>
    <t>5th International Conference on Communication, Computing &amp; Industry 6.0 - 2024 (C2I6-2024)</t>
  </si>
  <si>
    <t>Linear Irrational Unit (LIU): An Activation Function for Convolutional Neural Network</t>
  </si>
  <si>
    <t>NOVY JACOB</t>
  </si>
  <si>
    <t>International Conference on Recent Innovations in Computing</t>
  </si>
  <si>
    <t>Obesity Level Classification Using BAT Optimized Random Forest</t>
  </si>
  <si>
    <t>Priyanka S Talekar</t>
  </si>
  <si>
    <t>Masood Ahmad, Malik Shahzad Ahmad, Mohd Faizan, Mohd Warrish Khan, Mohammad Faisal, Raees Ahmad Khan</t>
  </si>
  <si>
    <t>International Journal of Communication Networks and Information Security.</t>
  </si>
  <si>
    <t>Network Vulnerability Prediction by using the SVM Technique</t>
  </si>
  <si>
    <t>ANSHIKA SHUKLA</t>
  </si>
  <si>
    <t>Dharmveer Singh Rajpoot, Dr Rakesh Prakash, Shahad P, Dr. D. Usha Rani, Sadik Khan</t>
  </si>
  <si>
    <t>Journal of Electrical Systems</t>
  </si>
  <si>
    <t>A Hybrid Machine Learning Based Data Fusion Strategy for Detection of Structural Damage</t>
  </si>
  <si>
    <t>Navya V K</t>
  </si>
  <si>
    <t>Ajit Kumar Singh Yadav,Padmanaban k,SivaganesanMani V,Kodieswari A</t>
  </si>
  <si>
    <t>International Journal of Modeling, Simulation, and Scientific Computing</t>
  </si>
  <si>
    <t>Cloud-Enabled Fog Computing Framework with Wireless Sensor Networks for Data Center Systems on IoT Platform</t>
  </si>
  <si>
    <t>Hanumantha Ravi and Meenakshi</t>
  </si>
  <si>
    <t>International Journal of Neutrosophic Science</t>
  </si>
  <si>
    <t>Time optimal control strategies for SIR epidemic models in cattle and neutrosophic fuzzy modeling</t>
  </si>
  <si>
    <t>Accepted Nov 2024</t>
  </si>
  <si>
    <t>2692-6148</t>
  </si>
  <si>
    <t>Dr. Susheelamma K H</t>
  </si>
  <si>
    <t xml:space="preserve">
International Conference on Data Computation and Communication (ICDCC)</t>
  </si>
  <si>
    <t>Deep Learning Algorithms for Recognizing and Digitizing Scanned Kannada Printed and Handwritten Documents</t>
  </si>
  <si>
    <t>Published in 22 April 2025</t>
  </si>
  <si>
    <t>979-8-3315-3295-6/24/$31.00 ©2024 IEEE</t>
  </si>
  <si>
    <t xml:space="preserve"> 2024-Sep-ISE-007</t>
  </si>
  <si>
    <t>Ms Sugunadevi C</t>
  </si>
  <si>
    <t>2024 IEEE International Conference on Communication, Computing and Signal Processing (IICCCS)</t>
  </si>
  <si>
    <t>Biotic Stress and Severity Classification of Pear Leaves Disease with Ensemble Learning</t>
  </si>
  <si>
    <t>Published/ November 2024</t>
  </si>
  <si>
    <t>https://doi.org/10.1109/IICCCS61609.2024.10763886</t>
  </si>
  <si>
    <t>Dr. Gomathi T</t>
  </si>
  <si>
    <t>15th International Conference on Computing Communication and Networking Technologies (ICCCNT) |</t>
  </si>
  <si>
    <t>Classification of Land Cover using Machine Learning Models in Landsat Satellite Data</t>
  </si>
  <si>
    <t>Published in November 2024</t>
  </si>
  <si>
    <t>979-8-3503-7024-9</t>
  </si>
  <si>
    <t>https://drive.google.com/file/d/1KZSNwTEYeA70s3PBElX3N_LZizo2A_Vt/view?usp=sharing</t>
  </si>
  <si>
    <t>Ms.R.Dhivya</t>
  </si>
  <si>
    <t>Data Mining Techniques to Enhance Customer Segmentation and Targeted Marketing Strategies</t>
  </si>
  <si>
    <t>https://drive.google.com/file/d/1GUrj1zf4patQuZ61pFHO8p2xxBpl800X/view?usp=drive_link</t>
  </si>
  <si>
    <t>M Vijayasanthi</t>
  </si>
  <si>
    <t>IEEE Intrnational Conferece on Augumented Relaity, Intelligent Systems, and Industrial Automation.</t>
  </si>
  <si>
    <t>Text Mining and Sentiment Analysis Uisng Big Data Techniques</t>
  </si>
  <si>
    <t>Accepted in October,2024</t>
  </si>
  <si>
    <t>M_Paper(2024-July-ISE-003)</t>
  </si>
  <si>
    <t>Deep Learning Algorithms for Real Time Quaity Control in Automated Production</t>
  </si>
  <si>
    <t>2024-July-ISE-004</t>
  </si>
  <si>
    <t>Dr. M. Poorani</t>
  </si>
  <si>
    <t>“Next-Gen Semiconductor Devices and Smart Computing Applications” (ICNGSDSCA-24)</t>
  </si>
  <si>
    <t>Leveraging Rainfall Analytics for Flood Risk Prediction and Mitigation</t>
  </si>
  <si>
    <t>Accepted in December 2024</t>
  </si>
  <si>
    <t>2024-Sep-ISE-004</t>
  </si>
  <si>
    <t>Dr. Parthasarathy P &amp; 
Dr. Venkatesh M</t>
  </si>
  <si>
    <t>Physica Scripta</t>
  </si>
  <si>
    <t>Analysis on density of states and ION/IOFF ratio of GaN/GaN-graphene nanoribbon tunnel FET for enhanced bio-sensing applications</t>
  </si>
  <si>
    <t>1402-4896</t>
  </si>
  <si>
    <t>https://iopscience.iop.org/article/10.1088/1402-4896/ad8c01/meta</t>
  </si>
  <si>
    <t>Materials Science in Semiconductor Processing</t>
  </si>
  <si>
    <t>Scalable graphene nanogrid FET biosensors: Fabrication &amp; characterization for sub-femtomolar detection of viral proteins</t>
  </si>
  <si>
    <t>1873-4081</t>
  </si>
  <si>
    <t>https://www.sciencedirect.com/science/article/pii/S1369800124009673</t>
  </si>
  <si>
    <t>Prof.Anju Das</t>
  </si>
  <si>
    <t>Advancements and Challenges in Green Energy and Computing 2024,AKGEC 2024</t>
  </si>
  <si>
    <t>Serverless Cloud Computing: Navigating Challenges and Exploring Future Opportunities</t>
  </si>
  <si>
    <t>Presented in November 2024</t>
  </si>
  <si>
    <t>Preethi A</t>
  </si>
  <si>
    <t>Book Chapter, Advanced Materials in Engineering Applications, CRC Press,Taylor and Francis</t>
  </si>
  <si>
    <t>Role of MoS2 in Zinc Nickel Flow Battery System: Review</t>
  </si>
  <si>
    <t xml:space="preserve">Published </t>
  </si>
  <si>
    <t>https://www.taylorfrancis.com/chapters/edit/10.1201/9781003545941-5/prospective-role-mos2-zinc-nickel-flow-battery-systemml-review-preethi-dawnee-victor-george?context=ubx&amp;refId=b2747446-ee90-4d29-bf39-12f2791d7722</t>
  </si>
  <si>
    <t>Rangeet Mitra</t>
  </si>
  <si>
    <t>NIL</t>
  </si>
  <si>
    <t>IEEE Transactions on Ciruits 
and Systems I: Regular papers</t>
  </si>
  <si>
    <t>Quaternion Recursive Maximum Correntropy and Versoria Criterion Algorithm for Channel Estimation Under Impulsive Noise</t>
  </si>
  <si>
    <r>
      <rPr>
        <u/>
        <sz val="10"/>
        <color rgb="FF1155CC"/>
        <rFont val="Arial"/>
      </rPr>
      <t>10.1109/TCSI.2024.3505419</t>
    </r>
  </si>
  <si>
    <t>International Conference on Numerical Simulation of Optoelectronic Devices (NUSOD)</t>
  </si>
  <si>
    <t>Highly Sensitive Bimetallic Graphene-Based SPR Biosensor for Blood Plasma Detection</t>
  </si>
  <si>
    <t xml:space="preserve">2158-3242
</t>
  </si>
  <si>
    <t>https://ieeexplore.ieee.org/document/10723484</t>
  </si>
  <si>
    <t>Dr. Rangeet Mitra</t>
  </si>
  <si>
    <t>27th International Symposium on 
Wireless Personal Multimedia 
Communications (WPMC 2024)</t>
  </si>
  <si>
    <t>Hyperparameter Free Information Theoretic Learning Based Channel Estimation for mmWave MIMO</t>
  </si>
  <si>
    <t>Dr.Kavitha.D</t>
  </si>
  <si>
    <t>SMARTCOM2025 (SPRINGER)</t>
  </si>
  <si>
    <t>Enhanced Obstacle detection in Adverse weather condition for Autonomous vehicles</t>
  </si>
  <si>
    <t>Acceptance received on 5th dec 2024</t>
  </si>
  <si>
    <t>2367-3389</t>
  </si>
  <si>
    <t>https://drive.google.com/drive/folders/1Rod-EI_QStLgieDL7FW60oGle3WvcC91?usp=sharing</t>
  </si>
  <si>
    <t>International Conference on Next-Gen Semiconductor Devices &amp; Smart Computing Applications ((SPRINGER)</t>
  </si>
  <si>
    <t>YES</t>
  </si>
  <si>
    <t>An Enhanced Transfer Learning Approach for the detection of prenatal anomalies in the Fetal Heart</t>
  </si>
  <si>
    <t>Acceptance received on 10th dec 2024</t>
  </si>
  <si>
    <t>International Conference on Intelligent Computing and Advances in Communication - 2024 ((SPRINGER)</t>
  </si>
  <si>
    <t>Tunable Microwave Bandstop Filter for Sub-6 GHz 5G</t>
  </si>
  <si>
    <t>Acceptance received on 11th dec 2024</t>
  </si>
  <si>
    <t>Vijayalakshmi, Rajeshwari</t>
  </si>
  <si>
    <t>IEEE International Conference on Advances in. Information Technology-2024</t>
  </si>
  <si>
    <t>Enhancing Image Segmentation in the Marine Atmosphere for Time-Sensitive Contextualisation Using Convolutional Long Short-Term Memory</t>
  </si>
  <si>
    <t>Vijayalakshmi</t>
  </si>
  <si>
    <t>IEEE Conference on smart electronic and communicationsystem 2024</t>
  </si>
  <si>
    <t>Eco-friendly smart sensor adjustment using the Deep Reinforcement Learning approach</t>
  </si>
  <si>
    <t>Attar Mahay Sheetal</t>
  </si>
  <si>
    <t>IEEE - International Conference on Advances in. Information Technology|-2024</t>
  </si>
  <si>
    <t>Lynsha Helena Pratheeba HP</t>
  </si>
  <si>
    <t xml:space="preserve"> IEEE, International Conference on Networking, Embedded and Wireless Systems (ICNEWS)</t>
  </si>
  <si>
    <t>Smart LPG Monitoring System: Enhanced Safety with Leakage Detection</t>
  </si>
  <si>
    <t>Rajni Tiwari</t>
  </si>
  <si>
    <t>IEEE International Conference on Artificial Intelligence and Quantum Computation-Based Sensor Application (ICAIQSA) -2024</t>
  </si>
  <si>
    <t>Securing IoT: Emphasizing Requirements 
for Enhanced Device Security</t>
  </si>
  <si>
    <t>Sreedevi N</t>
  </si>
  <si>
    <t xml:space="preserve">(IC3SEA 2024),2024 International Conference on Contemporary Challenges in Science and its Engineering Applications </t>
  </si>
  <si>
    <t>“Firefly Optimized Artificial Neural Networks for Analysis and Assessment Female Equity An AI Approach</t>
  </si>
  <si>
    <t>27/7/2024</t>
  </si>
  <si>
    <t>6th IEEE PhdEdits 2024</t>
  </si>
  <si>
    <t>Landslide Hazard Zonation Mapping using ML Techniques – A study over Kodagu District, Karnataka</t>
  </si>
  <si>
    <t>23/11/2024</t>
  </si>
  <si>
    <t>Dr.P.Kavitha</t>
  </si>
  <si>
    <t>Rubini PE (Research Scholar)</t>
  </si>
  <si>
    <r>
      <rPr>
        <sz val="12"/>
        <color rgb="FF222222"/>
        <rFont val="Times New Roman"/>
      </rPr>
      <t xml:space="preserve">AK Journals -  </t>
    </r>
    <r>
      <rPr>
        <sz val="12"/>
        <color rgb="FF000000"/>
        <rFont val="Times New Roman"/>
      </rPr>
      <t>Progress in Agricultural Engineering Sciences</t>
    </r>
  </si>
  <si>
    <t>E2E model from crop suggestion to harvesting time prediction in sugarcane plant using deep learning techniques</t>
  </si>
  <si>
    <t>Submitted in Jan.2024</t>
  </si>
  <si>
    <t>Mohammed Saad, Nauman N Islampur and Mohammed Sayeed Inamdar</t>
  </si>
  <si>
    <t>3rd International Conference on
Sustainable Technologies and Advances in Automation, Aerospace and Robotics
In Collaboration with
In Joint Collaboration with
Gazi University, Ankara, Turkey
In Associate with
Co-sponsored by
Publishing partner STAAAR 2024
Hybrid Mode )
13th &amp; 14th December 2024 organized by VIT, Bhopal.</t>
  </si>
  <si>
    <t>Explainable AI for Predicting Pneumonia Using Chest X-Ray Images</t>
  </si>
  <si>
    <t>K KOMALA DEVI</t>
  </si>
  <si>
    <t>Sourav</t>
  </si>
  <si>
    <t>ICAECT</t>
  </si>
  <si>
    <t>Optimized method for prediction and recommendation of crops using Fusion Ensemle Learning Crop Recommendation Model</t>
  </si>
  <si>
    <t>Published_paper.pdf</t>
  </si>
  <si>
    <t>Dr. Saba Tahseen</t>
  </si>
  <si>
    <t>IDSCS-2024-Springer's "Lecture Notes in Networks and Systems</t>
  </si>
  <si>
    <t>A Novel Approach to Intrusion Detection in IoT Networks: A Lightweight SVM-Based System</t>
  </si>
  <si>
    <t>Accepted and Presented on NOV 8 2024</t>
  </si>
  <si>
    <t>2367-3370</t>
  </si>
  <si>
    <t xml:space="preserve"> R (2024-Sep-ISE-005)</t>
  </si>
  <si>
    <t>Dr Senthil Velan S</t>
  </si>
  <si>
    <t>Wireless Networks - The Journal of Mobile
Communication, Computation and Information</t>
  </si>
  <si>
    <t>Deep Learning based User Authentication with Hybrid Encryption for Secured Blockchain-aided Data Storage and Optimal Task Offloading in Mobile Edge Computing</t>
  </si>
  <si>
    <t>Published Dec 2024</t>
  </si>
  <si>
    <t>10220038, 15728196</t>
  </si>
  <si>
    <t>https://doi.org/10.1007/s11276-024-03886-z</t>
  </si>
  <si>
    <t>Jayashree M</t>
  </si>
  <si>
    <t>Framework for Analysing and Predicting the Unstructured Clinical Text Data Using Natural Language Processing</t>
  </si>
  <si>
    <t>M_Paper</t>
  </si>
  <si>
    <t>Condensed Matter Physics</t>
  </si>
  <si>
    <t>Q4
(Scopus)</t>
  </si>
  <si>
    <t>Effect of time-dependent sinusoidal electric field on the onset of electroconvection in a viscoelastic fluid layer</t>
  </si>
  <si>
    <t>Published 
Dec 2024</t>
  </si>
  <si>
    <t>1607-324X</t>
  </si>
  <si>
    <t>https://doi.org/10.5488/cmp.27.43702</t>
  </si>
  <si>
    <t>INCIP 2025</t>
  </si>
  <si>
    <t>Efficient and robust Deep Learning for real time plant disease detection using CNN</t>
  </si>
  <si>
    <t>published -9/06/2025</t>
  </si>
  <si>
    <t>ISBN:979-8-3315-2815-7</t>
  </si>
  <si>
    <r>
      <rPr>
        <sz val="10"/>
        <color theme="1"/>
        <rFont val="Arial"/>
      </rPr>
      <t xml:space="preserve"> </t>
    </r>
    <r>
      <rPr>
        <u/>
        <sz val="10"/>
        <color rgb="FF1155CC"/>
        <rFont val="Arial"/>
      </rPr>
      <t>https://doi.org/10.1109/INCIP64058.2025.11020087</t>
    </r>
  </si>
  <si>
    <t>Krishna Sowjanya K</t>
  </si>
  <si>
    <t>None</t>
  </si>
  <si>
    <t>IEEE Silchar Subsection Conference</t>
  </si>
  <si>
    <t>no</t>
  </si>
  <si>
    <t>A Time-based Secured Framework for Key-Exchange Between Trusted Parties: Quantum-Key Distribution Protocol</t>
  </si>
  <si>
    <t>Presented Nov 2024</t>
  </si>
  <si>
    <t>Preethi Sheba Hepsiba</t>
  </si>
  <si>
    <t>Ashok K, Gunashekar Babu</t>
  </si>
  <si>
    <t>5th International Conference on Communication, Computing &amp;
Industry 6.0 - 2024 (C2I6-2024)</t>
  </si>
  <si>
    <t>Deep Reinforcement Learning (DRL) for resource allocation in
Cloud: Review and Prospects</t>
  </si>
  <si>
    <t>Published in feb 2025</t>
  </si>
  <si>
    <t>https://ieeexplore.ieee.org/document/10895370</t>
  </si>
  <si>
    <t>Next Generation Mechanisms for Data Encryption</t>
  </si>
  <si>
    <t>Quantum cryptography: An in-depth exploration of principles and techniques</t>
  </si>
  <si>
    <t>Published Jan 2025</t>
  </si>
  <si>
    <t>2024-July-CSE-004.pdf</t>
  </si>
  <si>
    <t xml:space="preserve"> Ann Mathews,Lynsha Helena</t>
  </si>
  <si>
    <t>International Conference on. Electronics, Communication and Aerospace Technology ICECA 2025</t>
  </si>
  <si>
    <t>Improving Online Education in Educational Institutions through the Integration of Internet of Things (IoT)</t>
  </si>
  <si>
    <t>https://drive.google.com/drive/folders/1YRxA6_EAU9SKi3zTl4I7jGukX_n3CyYF?usp=drive_link</t>
  </si>
  <si>
    <t>Ann Mathews</t>
  </si>
  <si>
    <t>IEEE International Conference on Industrial Electronics: Developments &amp; Applications (IEEE ICIDeA)</t>
  </si>
  <si>
    <t>Voice Command Fingerprinting: An In-depth Examination of Challenges and Issues</t>
  </si>
  <si>
    <t>Accepted January 2025</t>
  </si>
  <si>
    <t>Dr.V.Ilango</t>
  </si>
  <si>
    <t xml:space="preserve">Proceedings of the Second International Conference on Intelligent Cyber Physical Systems and Internet of Things (ICoICI 2024)
IEEE Xplore Part Number : CFP24VG0-ART ; ISBN : 979-8-3315-4066-1
</t>
  </si>
  <si>
    <t xml:space="preserve">Smart Grid Solutions: IoT-Integrated Hedge
Systems for Reliable Solar Power Generation </t>
  </si>
  <si>
    <t>Publised 9th Oct 2024</t>
  </si>
  <si>
    <t xml:space="preserve">ISBN : 979-8-3315-4066-1
</t>
  </si>
  <si>
    <t>https://drive.google.com/drive/folders/1izQ8pHIiEh9-G8cjuExVCl1s37xBoMqI?usp=sharing</t>
  </si>
  <si>
    <t>Journal of Nanotechnology Perceptions</t>
  </si>
  <si>
    <t>Exploring Machine Learning Algorithms to Boost Functional Verification: A Comprehensive Survey</t>
  </si>
  <si>
    <t>accepted Nov 2024</t>
  </si>
  <si>
    <t>Dr. Sanchari Saha</t>
  </si>
  <si>
    <t xml:space="preserve">Elesevier Book: Digital Transformation and Equitable Global Health: A Future-Ready Perspective
</t>
  </si>
  <si>
    <t>yes</t>
  </si>
  <si>
    <t>Book Chapter: Entrepreneurship for Strengthening Community Health Systems in India</t>
  </si>
  <si>
    <t>Accepted Jan 2025</t>
  </si>
  <si>
    <t>Dr. Sharmila K.P</t>
  </si>
  <si>
    <t xml:space="preserve">International Conference on  Intelligent Computing and Advances in Communication  – 2024 (SPRINGER) </t>
  </si>
  <si>
    <t>Prevention Of Misuse Of Prescribed Drugs Using RFID And Blockchain</t>
  </si>
  <si>
    <t>Accepted and Presented in Dec 2024</t>
  </si>
  <si>
    <t>Ms. Keka Mukhopadhyaya</t>
  </si>
  <si>
    <t>Anushree M, Bhargav M, Anusha E, Vikas MR</t>
  </si>
  <si>
    <t>5th International Conference on IoT Based Control Networks and Intelligent Systems (ICICNIS 2024</t>
  </si>
  <si>
    <t>“Combining Steganography and
Cryptography Simultaneously to Safely Mask Data in Graphics”–</t>
  </si>
  <si>
    <t>Dr.Ananth Kumar M.S. and Dr.Niranjan L</t>
  </si>
  <si>
    <t>5th International Conference on Circuits, Control, Communication and Computing (l4C - 2024)</t>
  </si>
  <si>
    <t>Optimizing Relay Node Placement and Energy Efficient Routing in Partitioned Radiant Sentinel
Systems using Whale Optimization.</t>
  </si>
  <si>
    <t>Accepted and Presented in 4th - 5th October 2024.</t>
  </si>
  <si>
    <t>https://ieeexplore.ieee.org/xpl/conhome/10748371/proceeding?isnumber=10748420&amp;sortType=vol-only-seq&amp;refinementName=Author&amp;refinements=Author:Ananth%20Kumar%20M%20S</t>
  </si>
  <si>
    <t xml:space="preserve">Biomedical Materials and Devices </t>
  </si>
  <si>
    <t>Developments in Microfluidic Integrated Lab-on-Chip Devices for DNA Biosensing Towards Unifying the Emergence of Nanobiosensor</t>
  </si>
  <si>
    <t>Published in December 2024</t>
  </si>
  <si>
    <t>2731-4820</t>
  </si>
  <si>
    <t>https://link.springer.com/article/10.1007/s44174-024-00257-2</t>
  </si>
  <si>
    <t xml:space="preserve">Sensing and Imaging </t>
  </si>
  <si>
    <t>Modeling and Simulation of Quantum State Distribution in Graphene Nanoribbon GaN/InSb TFETs for High-Precision Biosensing Applications</t>
  </si>
  <si>
    <t>1557-2072</t>
  </si>
  <si>
    <t>https://link.springer.com/article/10.1007/s11220-024-00527-9#citeas</t>
  </si>
  <si>
    <t>Dr Sandeep Kumar</t>
  </si>
  <si>
    <t>IEEE</t>
  </si>
  <si>
    <t>Improving Customer Experience in E-commerce with Chatbots: A Study on the Use of Reinforcement Learning and Neural Networks</t>
  </si>
  <si>
    <t xml:space="preserve">Presented in the conference October,2024 </t>
  </si>
  <si>
    <t>Sandeep_Research Paper -1.pdf</t>
  </si>
  <si>
    <t>Journal of Ecohumanism</t>
  </si>
  <si>
    <t>Impact of Hybrid Work Model on Job Satisfaction of Techies during the COVID-19 Pandemic</t>
  </si>
  <si>
    <t>ISSN: 2752-6798 (Print) | ISSN 2752-6801 (Online</t>
  </si>
  <si>
    <t>https://ecohumanism.co.uk/joe/ecohumanism/article/view/3502</t>
  </si>
  <si>
    <t>Dr Mohan N</t>
  </si>
  <si>
    <t>IGI Global</t>
  </si>
  <si>
    <t>Leveraging Artificial Intelligence for Slum
Mapping and Upgrading Programs
Using Drones: The Case of Bangalore City,
India</t>
  </si>
  <si>
    <t>Published in Sep 2024</t>
  </si>
  <si>
    <t>ISBN13: 9798369332825</t>
  </si>
  <si>
    <t>https://www.igi-global.com/chapter/leveraging-artificial-intelligence-for-slum-mapping-and-upgrading-programs-using-drones/342451</t>
  </si>
  <si>
    <t>Dr Sanjeev Kumar</t>
  </si>
  <si>
    <t>ECOHUMANISM</t>
  </si>
  <si>
    <t>Effectiveness of Learning Management System (LMS) in Sustainable</t>
  </si>
  <si>
    <r>
      <rPr>
        <u/>
        <sz val="12"/>
        <color rgb="FF1155CC"/>
        <rFont val="Times New Roman"/>
      </rPr>
      <t>https://doi.org/10.62754/joe.v3i8.4918</t>
    </r>
  </si>
  <si>
    <r>
      <rPr>
        <u/>
        <sz val="11"/>
        <color rgb="FF1155CC"/>
        <rFont val="Calibri, sans-serif"/>
      </rPr>
      <t>https://ecohumanism.co.uk/joe/ecohumanism/article/view/4918</t>
    </r>
  </si>
  <si>
    <t>AI-Driven Energy Forecasting for Electric Vehicle Charging Stations Powered by Solar and Wind Energy</t>
  </si>
  <si>
    <r>
      <rPr>
        <u/>
        <sz val="12"/>
        <color rgb="FF1155CC"/>
        <rFont val="Times New Roman"/>
      </rPr>
      <t>DOI: 10.1109/icSmartGrid61824.2024.10578078</t>
    </r>
  </si>
  <si>
    <r>
      <rPr>
        <u/>
        <sz val="11"/>
        <color rgb="FF1155CC"/>
        <rFont val="&quot;Times New Roman&quot;, serif"/>
      </rPr>
      <t>https://ieeexplore.ieee.org/document/10578078</t>
    </r>
  </si>
  <si>
    <t>Chithra m</t>
  </si>
  <si>
    <t>Indiacom</t>
  </si>
  <si>
    <t>Maximizing Photovoltaic Solar Energy Output: An Advanced ANFIS-Based MPPT with ZETA Converter</t>
  </si>
  <si>
    <t>Presented on April 4th,2025</t>
  </si>
  <si>
    <t>Springer - 8th International Conference on Computational Intelligence in Data Science (ICCIDS 2025)</t>
  </si>
  <si>
    <t xml:space="preserve">Enhancing Academic Performance Prediction: A Novel Approach Using the TabNet Algorithm
</t>
  </si>
  <si>
    <t>Accepted in 07-01-2025, Presented 14-02-2025</t>
  </si>
  <si>
    <t>Navya V K, Dr.Shyam P Joy</t>
  </si>
  <si>
    <t>International Conference on Futuristic Technologies,  2025</t>
  </si>
  <si>
    <t>A survey on applications of One Class Classification</t>
  </si>
  <si>
    <t>NOVY JACOB, M PURNACHANDAR,
Naveen Kumar G,
Sreedarsa K.S,
K. Sudhakar Reddy</t>
  </si>
  <si>
    <t>Nilesh vardhan</t>
  </si>
  <si>
    <t>International Conference on. Advanced Materials for Sustainable Development (ICAMSD-2025)</t>
  </si>
  <si>
    <t>Rapid Evaluation Of OMR Sheets</t>
  </si>
  <si>
    <t>Dr.Ciyamala Kushbu S</t>
  </si>
  <si>
    <t>7th International Conference on Contemporary Computing and Informatics (IC3I),2024</t>
  </si>
  <si>
    <t>SCopus</t>
  </si>
  <si>
    <t>Tiny ML-based Non-Invasive Approach of Cardiac Monitoring</t>
  </si>
  <si>
    <t>Electronic ISBN:979-8-3503-5006-7
Print on Demand(PoD) ISBN:979-8-3503-5007-4</t>
  </si>
  <si>
    <r>
      <rPr>
        <u/>
        <sz val="10"/>
        <color rgb="FF1155CC"/>
        <rFont val="Arial"/>
      </rPr>
      <t>10.1109/IC3I61595.2024.10828932</t>
    </r>
  </si>
  <si>
    <t xml:space="preserve">3rd International Conference on Intlligent Data Communication Technologies and Internet Technologies </t>
  </si>
  <si>
    <t>An AI Driven Approach  for tailoring Java Programming Instructions</t>
  </si>
  <si>
    <t xml:space="preserve">Dr.K.Rajalakshmi	</t>
  </si>
  <si>
    <t>4th International Conference on Sentiment Analysis and
Deep Learning ICSADL 2025</t>
  </si>
  <si>
    <t>Enhancing the Compressed Video Quality through a Neural Network Approach</t>
  </si>
  <si>
    <r>
      <rPr>
        <u/>
        <sz val="10"/>
        <color rgb="FF1155CC"/>
        <rFont val="Arial"/>
      </rPr>
      <t>Enhancing the Compressed Video Quality through a Neural Network Approach | IEEE Conference Publication | IEEE Xplore</t>
    </r>
  </si>
  <si>
    <t>Dr. Gomathi T &amp; Pooja S</t>
  </si>
  <si>
    <t>International Conference on Advances and Applications in Artificial Intelligence (ICAAAI 2025)</t>
  </si>
  <si>
    <t>A Facial Expression-Based AI System for Personalized Music Recommendations</t>
  </si>
  <si>
    <t>978-94-6463-738-0_23</t>
  </si>
  <si>
    <t>https://drive.google.com/file/d/1HzcCQMMB1QkR9sIr2bubBpEnd9Mh8MLF/view?usp=drive_link</t>
  </si>
  <si>
    <t>Pooja S</t>
  </si>
  <si>
    <t>5th International Conference on Artificial Intelligence and Smart Energy (ICAIS 2025)</t>
  </si>
  <si>
    <t>Real-Time Facial Expression-Based Multimedia Recommendation System Using Deep Learning</t>
  </si>
  <si>
    <t>Accepted &amp; Presented</t>
  </si>
  <si>
    <t>https://drive.google.com/file/d/1xmLGmQdkjuevKvNM35GpFP0k6V5OVJzG/view?usp=sharing</t>
  </si>
  <si>
    <t>DR. Vakula Rani J</t>
  </si>
  <si>
    <t>3rd International Conference on Power Engineering and Intelligent Systems (PEIS2025) to be held on March 08-09, 2025 at National Institute of Technology, Uttarakhand,</t>
  </si>
  <si>
    <t>Botnet Attacks Detection in IoT Smart Homes: A Machine Learning Approach</t>
  </si>
  <si>
    <r>
      <rPr>
        <sz val="12"/>
        <color theme="1"/>
        <rFont val="Times New Roman"/>
      </rPr>
      <t xml:space="preserve">Accepted  </t>
    </r>
    <r>
      <rPr>
        <sz val="12"/>
        <color theme="1"/>
        <rFont val="Times New Roman"/>
      </rPr>
      <t xml:space="preserve">   </t>
    </r>
  </si>
  <si>
    <t>https://drive.google.com/file/d/1uFWWwPHGaLtuztVW3KJH7A8s9e46kTU_/view?usp=sharing</t>
  </si>
  <si>
    <t>IEEE International Conference on Computing and Sustainability for Intelligent Future COMPSIF 2025, to be held on March 21st and 22nd 2025 at BMS Institute of Technology &amp; Management, Bengaluru, Karnataka, India.</t>
  </si>
  <si>
    <t>Temporal Dynamics of Consumer Engagement in E-Commerce</t>
  </si>
  <si>
    <t>979-8-3315-3853-8</t>
  </si>
  <si>
    <t>https://ieeexplore.ieee.org/abstract/document/10969941</t>
  </si>
  <si>
    <t>5th International Conference on Computer Vision and Robotics (CVR 2025) to be held on April 25-26, 2025 at National Institute of Technology, Goa</t>
  </si>
  <si>
    <t>Multiclass Botnet Detection in IoT Smart Homes Using Deep and Ensemble Learning Techniques</t>
  </si>
  <si>
    <r>
      <rPr>
        <sz val="12"/>
        <color theme="1"/>
        <rFont val="Times New Roman"/>
      </rPr>
      <t xml:space="preserve">Accepted     </t>
    </r>
    <r>
      <rPr>
        <b/>
        <sz val="12"/>
        <color theme="1"/>
        <rFont val="Times New Roman"/>
      </rPr>
      <t xml:space="preserve"> </t>
    </r>
    <r>
      <rPr>
        <sz val="12"/>
        <color theme="1"/>
        <rFont val="Times New Roman"/>
      </rPr>
      <t xml:space="preserve">                                              </t>
    </r>
  </si>
  <si>
    <r>
      <rPr>
        <sz val="10"/>
        <rFont val="Arial"/>
      </rPr>
      <t xml:space="preserve">  </t>
    </r>
    <r>
      <rPr>
        <u/>
        <sz val="10"/>
        <color rgb="FF1155CC"/>
        <rFont val="Arial"/>
      </rPr>
      <t>https://drive.google.com/file/d/1NrWd7cZ2prIT8zOITIr0XE21KkN1tCTH/view?usp=sharing</t>
    </r>
  </si>
  <si>
    <t>Nidhi S V</t>
  </si>
  <si>
    <t>Physics of Fluids</t>
  </si>
  <si>
    <t>Mechanical properties of stenosed coronary arterial walls with slip velocity</t>
  </si>
  <si>
    <t>Published in Feb 2025</t>
  </si>
  <si>
    <t>https://doi.org/10.1063/5.0251278</t>
  </si>
  <si>
    <t>Journal of The Electrochemical Society</t>
  </si>
  <si>
    <t>Pt-Doped Reduced Graphene Oxide-Porphyrin-CNT Composite-Based Electrochemical Sensor for Simultaneous Detection of Dopamine, Serotonin and Norepinephrine</t>
  </si>
  <si>
    <t>Published in February 2025</t>
  </si>
  <si>
    <t>10.1149/1945-7111/adb187</t>
  </si>
  <si>
    <t xml:space="preserve">Smitha N, Tanuja R </t>
  </si>
  <si>
    <t>3rd International Conference on
Power Engineering and Intelligent Systems 
(PEIS2025)</t>
  </si>
  <si>
    <t>Enhanced Sepsis Prediction Using Optimized
Neural Networks with KNN Imputation,IQR-Based Filtering, and ADASYS
Oversampling.</t>
  </si>
  <si>
    <t>Accepted on 27.1.2025</t>
  </si>
  <si>
    <t>Dr. P. Susheelkumar S. &amp;        Prof. Ashutosh S</t>
  </si>
  <si>
    <t>IEEE International Conference on Computing Technologies</t>
  </si>
  <si>
    <t>--</t>
  </si>
  <si>
    <t>Enhanced Multi-hop Routing with Multi-Sink in Spatial Correlation based Clustering</t>
  </si>
  <si>
    <t>Accepted on 29th January 2025</t>
  </si>
  <si>
    <t>Dr. Sushma T V</t>
  </si>
  <si>
    <t>Estimation of Respiratory Rate Using Thermography</t>
  </si>
  <si>
    <r>
      <rPr>
        <sz val="12"/>
        <color rgb="FF333333"/>
        <rFont val="Times New Roman"/>
      </rPr>
      <t xml:space="preserve">DOI: </t>
    </r>
    <r>
      <rPr>
        <u/>
        <sz val="12"/>
        <color rgb="FF1155CC"/>
        <rFont val="Times New Roman"/>
      </rPr>
      <t>10.1109/I4C62240.2024</t>
    </r>
    <r>
      <rPr>
        <sz val="12"/>
        <color rgb="FF333333"/>
        <rFont val="Times New Roman"/>
      </rPr>
      <t xml:space="preserve"> </t>
    </r>
  </si>
  <si>
    <t>https://ieeexplore.ieee.org/abstract/document/10748450</t>
  </si>
  <si>
    <t>Madhu G.C</t>
  </si>
  <si>
    <t>International Conference on Communication, Computer Sciences and Engineering (IC3SE)</t>
  </si>
  <si>
    <t>Comparative Analysis of Energy Aware Routing Techniques in WSN</t>
  </si>
  <si>
    <t>10.1109/IC3SE62002.2024.10593083</t>
  </si>
  <si>
    <t>https://ieeexplore.ieee.org/document/10593083</t>
  </si>
  <si>
    <t>Ashutosh Srivastava</t>
  </si>
  <si>
    <t>ERCICAM 2025, 2nd International Conference on Emerging Research in Computing, Information, Communication, Artificial Intelligence and Machine learning</t>
  </si>
  <si>
    <t>Not Yet</t>
  </si>
  <si>
    <t>A Review Study on Substrate Integrated Waveguide Design Technique and Application in Antennas</t>
  </si>
  <si>
    <t>Accepted in January 2025</t>
  </si>
  <si>
    <t>Monika Singh</t>
  </si>
  <si>
    <t>IEEE 6th PhD Colloquium on Emerging Domain Innovation and Technology for Society (PhD EDITS) 2024</t>
  </si>
  <si>
    <t>Spoofing Attack Detection in 5G MIMO Systems Using Machine Learning</t>
  </si>
  <si>
    <t>ISBN:979-8-3315-4196-5</t>
  </si>
  <si>
    <t>https://ieeexplore.ieee.org/document/10838638</t>
  </si>
  <si>
    <t>International Conference on Innovative Trends Electrical, Electronics and Bio-Technology Engineering (ICITEEB-2024)</t>
  </si>
  <si>
    <t>A robust method of image processing for lung cancer diagnosis using ANN</t>
  </si>
  <si>
    <t>Februaury 2025</t>
  </si>
  <si>
    <t>10.1201/9781003606208</t>
  </si>
  <si>
    <r>
      <rPr>
        <u/>
        <sz val="10"/>
        <color rgb="FF1155CC"/>
        <rFont val="Arial"/>
      </rPr>
      <t>https://doi.org/10.1201/9781003606208</t>
    </r>
  </si>
  <si>
    <t>Dr Pappa M, Dr Sridevi S</t>
  </si>
  <si>
    <t>2023 Passed Out students - Velugula Charan Pallav,Srijith C Shetty, Sabarish B, Samarth S,</t>
  </si>
  <si>
    <t>IEEE - 5th International Conference on Communication, Computing &amp; Industry 6.0 - 2024 (C2I6-2024)</t>
  </si>
  <si>
    <t>Real-time V2V Communication Device for Enhanced Road safety</t>
  </si>
  <si>
    <t>ISBN:979-8-3503-7989-1</t>
  </si>
  <si>
    <t>https://ieeexplore.ieee.org/document/10895733/authors#authors</t>
  </si>
  <si>
    <t>Dr Mohan &amp; Dr Rajshakar G</t>
  </si>
  <si>
    <t>ICSSR- National Conference on Mental Heath &amp; Wee- being among Youth: A catalyst for the Vision- Vikasit bharath @ 2047</t>
  </si>
  <si>
    <t xml:space="preserve">A study on application of Cultural values, integrity for mental health well being in work place in and around Banglore city </t>
  </si>
  <si>
    <t>15th -Feb-2025</t>
  </si>
  <si>
    <t>https://drive.google.com/file/d/1lWMHWRMqcnbBsv-dgaaEbEb4ibO1DrC7/view?usp=drive_link</t>
  </si>
  <si>
    <t>Dr Mohan &amp; Dr Asokan D</t>
  </si>
  <si>
    <t>RGVK- state Research Center Shima</t>
  </si>
  <si>
    <t>Teaching &amp; Learning Literature Through Technology</t>
  </si>
  <si>
    <t>March -2nd-2025</t>
  </si>
  <si>
    <t>https://drive.google.com/file/d/1bwLGFwqa07VtdeqUVYQgJlr0X_WjINl_/view?usp=drive_link</t>
  </si>
  <si>
    <t>Mech</t>
  </si>
  <si>
    <t>MDPI Crystals</t>
  </si>
  <si>
    <t>Published  July 2024</t>
  </si>
  <si>
    <t>Crystals 2024, 14(7), 66</t>
  </si>
  <si>
    <t>https://doi.org/10.3390/cryst14070667</t>
  </si>
  <si>
    <t>B N Shivakumar</t>
  </si>
  <si>
    <t>2024 5th International Conference on Communication, Computing &amp; Industry 6.0 (C2I6)</t>
  </si>
  <si>
    <t>Random Selection for Cloud-Based Load-Distributing in Varied P2P Networks using Enhanced Throttled Algorithm</t>
  </si>
  <si>
    <t>Presented &amp; Published: Feb 2025</t>
  </si>
  <si>
    <t>https://ieeexplore.ieee.org/document/10895609</t>
  </si>
  <si>
    <t xml:space="preserve">Balaji C </t>
  </si>
  <si>
    <t>Computer Research and Modeling</t>
  </si>
  <si>
    <t>The onset of the Darcy-ferroconvection flow model in a couple stress fluid subjected to a time-periodic magnetic field</t>
  </si>
  <si>
    <t>Published in April 2025</t>
  </si>
  <si>
    <t>2077-6853</t>
  </si>
  <si>
    <t>http://crm-en.ics.org.ru/journal/article/3595/</t>
  </si>
  <si>
    <t>2nd International Conference on Business Intelligence and Data Analytics (BIDA 2025)</t>
  </si>
  <si>
    <t>Bone Fracture Detection in X-rays Using Advanced Deep Learning Modeling</t>
  </si>
  <si>
    <t>Presented on 13 April 2025</t>
  </si>
  <si>
    <t>IEEE 2025 6th INTERNATIONAL CONFERENCE OF EMERGING TECHNOLOGIES (INCET), Belagavi, Karnataka</t>
  </si>
  <si>
    <t>NOISEX:A Classifier for Music Instruments  Using Convolutional Neural Network</t>
  </si>
  <si>
    <t>Presented on 22nd may 2025</t>
  </si>
  <si>
    <t>Mandatory_paper_2025-Feb-ISE-004</t>
  </si>
  <si>
    <t>IEEE International Conference on Advancement in Communication and Computing Technology (INOACC)</t>
  </si>
  <si>
    <t>Detection of Landslide using Efficient Machine Learning Algorithms</t>
  </si>
  <si>
    <t>Presented in April 2025</t>
  </si>
  <si>
    <t>M_Paper (2025-Feb-ISE-006)</t>
  </si>
  <si>
    <t>Dr.Seetha</t>
  </si>
  <si>
    <t>7th International Conference on Intelligent Sustainable Systems</t>
  </si>
  <si>
    <t>MEDICAL IMAGE CAPTIONING USING DEEP LEARNING: A VISION-LANGUAGE APPROACH</t>
  </si>
  <si>
    <t>12-14, March 2025</t>
  </si>
  <si>
    <t>https://drive.google.com/drive/folders/12nxmJ8xNG74D8CoZM4hfVsPofqxe8HYS</t>
  </si>
  <si>
    <t>Dr.S.Seetha</t>
  </si>
  <si>
    <t>3rd International Conference on Electronics and Renewable Systems. ICEARS 2025. 11-13 February, 2025</t>
  </si>
  <si>
    <t>“Breast cancer detection using Domain-Adversarial Training (DANN) with IRM Hybrid Approach”</t>
  </si>
  <si>
    <t>11-13 February, 2025</t>
  </si>
  <si>
    <t xml:space="preserve">https://drive.google.com/drive/folders/1mFHl19OuLpLOjhKa9WkIm5_knoWAT5MQ  </t>
  </si>
  <si>
    <t>8th International Conference on Trends in Electronics and Informatics</t>
  </si>
  <si>
    <t>Explainable Multi-Stage Churn Prediction using
Graph Neural Network in Telecom Sector</t>
  </si>
  <si>
    <t>24-26, April 2025</t>
  </si>
  <si>
    <t xml:space="preserve"> 2025-Jan-ISE-009</t>
  </si>
  <si>
    <t xml:space="preserve">
6th International Conference on Smart Electronics and Communication (ICOSEC 2025
24-26, September 2025)</t>
  </si>
  <si>
    <t>Artificial Intelligence Based Solar Energy Prediction Using Deep Learning Models</t>
  </si>
  <si>
    <t>Accepted</t>
  </si>
  <si>
    <t>2025-Jan-ISE-006</t>
  </si>
  <si>
    <t>6th International Conference on Data Intelligence and Cognitive Informatics(ICDICI 2025),9-11 July 2025</t>
  </si>
  <si>
    <t>Bridging CNNs and Transformers: A
Comparative Study of EfficientNet, ResNet,
and ViT for Plant Disease Detection</t>
  </si>
  <si>
    <t>2025-Apr-ISE-006</t>
  </si>
  <si>
    <t>Dr. Preethi Sheba Hepsiba</t>
  </si>
  <si>
    <t>Raghav Reddy R, Koppala Rakshith</t>
  </si>
  <si>
    <t>3rd International Conference on Smart Systems for applications in Electrical Sciences (ICSSES-2025)</t>
  </si>
  <si>
    <t>A vision-based behavioral measurement using facial expression for detecting student concentration in classrooms</t>
  </si>
  <si>
    <t>Published in June 2025</t>
  </si>
  <si>
    <t>https://ieeexplore.ieee.org/document/11009518</t>
  </si>
  <si>
    <t>9-11 July 2025</t>
  </si>
  <si>
    <t>Precision Multi-Band Terahertz Metamaterial Biosensor with Targeted Spectral Selectivity for Early Detection of MCF-7 Breast Cancer Cells</t>
  </si>
  <si>
    <t>1558-1748</t>
  </si>
  <si>
    <r>
      <rPr>
        <u/>
        <sz val="10"/>
        <color rgb="FF1155CC"/>
        <rFont val="Arial"/>
      </rPr>
      <t>https://ieeexplore.ieee.org/</t>
    </r>
    <r>
      <rPr>
        <u/>
        <sz val="10"/>
        <color rgb="FF1155CC"/>
        <rFont val="Arial"/>
      </rPr>
      <t>stamp/stamp.jsp?tp=&amp;arnumber=10909107</t>
    </r>
  </si>
  <si>
    <t>IEEE Photonics Journal</t>
  </si>
  <si>
    <t>Polarization-Insensitive Nano-Metamaterial Sensor with Near-Infrared and Negative Properties for Early Cancer Detection via Exosome Analysis (70 THz to 3 PHz)</t>
  </si>
  <si>
    <r>
      <rPr>
        <u/>
        <sz val="12"/>
        <color rgb="FF1155CC"/>
        <rFont val="Aptos, sans-serif"/>
      </rPr>
      <t>https://ieeexplore.ieee.org/</t>
    </r>
    <r>
      <rPr>
        <u/>
        <sz val="12"/>
        <color rgb="FF1155CC"/>
        <rFont val="Aptos"/>
      </rPr>
      <t>document/10919043</t>
    </r>
  </si>
  <si>
    <t xml:space="preserve">ISE </t>
  </si>
  <si>
    <t>IGI Global Scientific Publishing eEditorial Discovery</t>
  </si>
  <si>
    <t>Optimizing device performance with BCIs: A user-Centric Approach to brain data privacy</t>
  </si>
  <si>
    <t>2024-Aug-ISE-003</t>
  </si>
  <si>
    <t>Nidhi Joshi Parsai</t>
  </si>
  <si>
    <t>International Conference on Research and Development
in Information, Communication, and Computing Technologies (ICRDICCT`25)</t>
  </si>
  <si>
    <t>Optimized Object Detection Pipeline for Automotive and
Surveillance Applications applying Machine Learning</t>
  </si>
  <si>
    <t>Presented on 4-5 April 2025</t>
  </si>
  <si>
    <t>R_Load (2025-Feb-ISE-002)</t>
  </si>
  <si>
    <t>P. Kavitha</t>
  </si>
  <si>
    <t>Indonesian Journal of Electrical Engineering and Computer Science</t>
  </si>
  <si>
    <t xml:space="preserve">A Multi-path Routing Protocol for IoT based Wireless Sensor Nwtworks </t>
  </si>
  <si>
    <t>Accepted in  6th April 2025</t>
  </si>
  <si>
    <t>Mandatory_Paper (2024-Aug-ISE-006)</t>
  </si>
  <si>
    <t>Sugunadevi C</t>
  </si>
  <si>
    <t>2025 International Conference on Electronics and Renewable Systems (ICEARS)</t>
  </si>
  <si>
    <t>Groundnut Leaf Disease Classification using CNN Models: Enhancing Performance with Transfer Learning in ResNet50</t>
  </si>
  <si>
    <t>Published in IEEE Conference</t>
  </si>
  <si>
    <t>https://doi.org/10.1109/ICEARS64219.2025.10941314</t>
  </si>
  <si>
    <t>“5th International Conference on Trends in Material Science and Inventive Materials (ICTMIM 2025)</t>
  </si>
  <si>
    <t>Smart Energy Management Leveraging Twin Adaptive Pulse Coupled Networks for Dynamic Energy Optimization in IoT-Based Electrical WSN</t>
  </si>
  <si>
    <t>https://doi.org/10.1109/ICTMIM65579.2025.10987961</t>
  </si>
  <si>
    <t xml:space="preserve">Aaron Jacob, Gaurav Khater, Emmamddin </t>
  </si>
  <si>
    <t>2025 IEEE International Conference on Contemporary Computing and Communications at CHRIST (Deemed to be University), Kengeri Campus, Bangalore, India on March 14-15, 2025.</t>
  </si>
  <si>
    <t>Load Balancing in Cloud Computing Environment Using Memetic Algorithm</t>
  </si>
  <si>
    <t>Presented  March 2025</t>
  </si>
  <si>
    <t>Journal of Cluster Science</t>
  </si>
  <si>
    <t>Simultaneous Electrochemical Detection of DA and 5-HT Using Pt-Doped-rGO Nanocomposite</t>
  </si>
  <si>
    <t>1572-8862</t>
  </si>
  <si>
    <r>
      <rPr>
        <u/>
        <sz val="11"/>
        <color rgb="FF1155CC"/>
        <rFont val="Arial"/>
      </rPr>
      <t>https://link.springer.com/article/10.1007/s10876-025-02796-0#citeas</t>
    </r>
    <r>
      <rPr>
        <sz val="11"/>
        <color rgb="FF222222"/>
        <rFont val="Arial"/>
      </rPr>
      <t xml:space="preserve"> </t>
    </r>
  </si>
  <si>
    <t>Dr. Parthasarathy P</t>
  </si>
  <si>
    <t>ECS Journal of Solid State Science and Technology</t>
  </si>
  <si>
    <t>Design and Analysis of InP/GaN Surrounding Gate TFETs for High-Sensitivity Biosensing Applications</t>
  </si>
  <si>
    <t>2162-8777</t>
  </si>
  <si>
    <t xml:space="preserve">https://iopscience.iop.org/article/10.1149/2162-8777/adc2d2/meta </t>
  </si>
  <si>
    <t>Plasmonics</t>
  </si>
  <si>
    <t>Design and Analysis of a U‑Shaped Optical Fiber‑Based Plasmonic Sensor for Detection of Cancer Cells</t>
  </si>
  <si>
    <t>1557-1963</t>
  </si>
  <si>
    <t>https://link.springer.com/article/10.1007/s11468-025-02888-7</t>
  </si>
  <si>
    <t>Dr. Viji K</t>
  </si>
  <si>
    <t>ICOACT 2025</t>
  </si>
  <si>
    <t>Robust Solar Powered DC Drive for 
Electric Vehicles</t>
  </si>
  <si>
    <t>Grid technologies used in solid state transformers for efficient 
integration of sustainable energy source</t>
  </si>
  <si>
    <t>Dr. Shanthi M. B</t>
  </si>
  <si>
    <t>SmartCom - 2025 - Pune, Springer Noye Series</t>
  </si>
  <si>
    <t>Enhancing StyleGAN with Differential Privacy for Image Generation</t>
  </si>
  <si>
    <t xml:space="preserve">Accepted </t>
  </si>
  <si>
    <t xml:space="preserve"> International Conference on Computing for Sustainability and Intelligent Future (Comp-SIF 2025)</t>
  </si>
  <si>
    <t>"Hybrid Link Prediction with Explaianble Ai for Online Social Networks"</t>
  </si>
  <si>
    <t>https://drive.google.com/file/d/143cXjyXBEZ0hVJVV3KoRom0xlc4WaaKs/view?usp=sharing</t>
  </si>
  <si>
    <t>Dr K Meenakshi</t>
  </si>
  <si>
    <t>Library Information Science</t>
  </si>
  <si>
    <t>Spatiotemporal Neural Network based Graph Architecture for Autonomous Anomaly Detection in Critical Infrastructure Security</t>
  </si>
  <si>
    <t>ISSN 0970 1052</t>
  </si>
  <si>
    <t>P. Kavitha, Rajalakshmi(MCA)</t>
  </si>
  <si>
    <t>ICISC 2025</t>
  </si>
  <si>
    <t>Epilepsy Prevention using enhance Genetic Algorithm  tuned Multilayer Network</t>
  </si>
  <si>
    <t>R (2025-Feb-ISE-008)</t>
  </si>
  <si>
    <t>RAKSHITHA S
ROZANA I M
ROHIT BAHUBALI PATIL</t>
  </si>
  <si>
    <t>Second International Conference on Innovations and Advances in Cognitive Systems [ICIACS 2025]</t>
  </si>
  <si>
    <t>Efficient Handwritten Text Recognition Using Residual Networks and BiLSTM</t>
  </si>
  <si>
    <r>
      <rPr>
        <u/>
        <sz val="10"/>
        <color rgb="FF1155CC"/>
        <rFont val="Arial"/>
      </rPr>
      <t>https://drive.google.com/file/d/1Sieur8PpcgBB7nr65ZWVeI-Bth6H_9oB/view?usp=sharing</t>
    </r>
  </si>
  <si>
    <t>Dr.K.Rajalakshmi</t>
  </si>
  <si>
    <t>11th International Conference on Communication and Signal Processing (ICCSP)</t>
  </si>
  <si>
    <t>Comparative Analysis on Containers Based on Kubernetes, Docker Swarm, Open Shift and Mesos</t>
  </si>
  <si>
    <r>
      <rPr>
        <u/>
        <sz val="10"/>
        <color rgb="FF1155CC"/>
        <rFont val="Arial"/>
      </rPr>
      <t>https://drive.google.com/file/d/1tgMLWSdxjRM4u88jNeSEJ8YHxO0RTjFV/view?usp=sharing</t>
    </r>
  </si>
  <si>
    <t>Multidisciplinary Approaches to AI, Data, and Innovation for a Smarter World, IGI Global</t>
  </si>
  <si>
    <t>BERT-Based Deep Learning Models for Analyzing Sentiments of COVID-19-Related Social Media Tweets</t>
  </si>
  <si>
    <r>
      <rPr>
        <u/>
        <sz val="10"/>
        <color rgb="FF1155CC"/>
        <rFont val="Arial"/>
      </rPr>
      <t>https://www.igi-global.com/book/multidisciplinary-approaches-data-innovation-smarter/356275</t>
    </r>
  </si>
  <si>
    <t>3rd International Conference on Inventive Computing and Informatics.</t>
  </si>
  <si>
    <t>Securing IoT Systems through Deep Learning-Powered Threat Detection</t>
  </si>
  <si>
    <t>Presented on conference on 4th &amp; 5th June 2025</t>
  </si>
  <si>
    <t>M_Paper (2025-Jan-ISE-012)</t>
  </si>
  <si>
    <t>Paramita Mitra</t>
  </si>
  <si>
    <t>ICITEEB2025 - International Conference on Innovative Trends in Electrical, Electronics and Bio-Technology Engineering</t>
  </si>
  <si>
    <t>ANOMALY DETECTION IN NETWORK TRAFFIC USING ISOLATION FOREST: A MACHINE LEARNING APPROACH</t>
  </si>
  <si>
    <t>accepted 1.4.2025</t>
  </si>
  <si>
    <t>sreeraksha rao,  syed faizan  ,  Rhehol khatiwada , Yogesh bhatta</t>
  </si>
  <si>
    <t xml:space="preserve"> The 7th International Conference on Inventive Material Science and Applications (ICIMA 2025) </t>
  </si>
  <si>
    <t>Comprehensive Web Fuzzer with AI mitigation and custom payload</t>
  </si>
  <si>
    <t>accepted 1.5.2025</t>
  </si>
  <si>
    <t>Aditya, Affan</t>
  </si>
  <si>
    <t>International Conference on Emerging Technologies in Computing and Communication ETCC 2025. Orgamized by PES University EC Campus, Bangalore</t>
  </si>
  <si>
    <t>ML-Driven VM Instance Selection for Cloud Workloads</t>
  </si>
  <si>
    <t>Accepted on 5.5.2025</t>
  </si>
  <si>
    <t xml:space="preserve">Ms. Priyanka S Talekar                                                       </t>
  </si>
  <si>
    <t>Journal of Neonatal Surgery</t>
  </si>
  <si>
    <t>Integrating Machine Learning and Advanced Technologies
for Enhanced Prediction and Treatment Strategies in
Dementia and Related Diseases</t>
  </si>
  <si>
    <t>accepted in April 2025</t>
  </si>
  <si>
    <t>Abdul Kather S</t>
  </si>
  <si>
    <t>6th International Conference on Data Intelligence and Cognitive Informatics ICDICI-2025</t>
  </si>
  <si>
    <t>A Lightweight Blockchain Framework for Secure
and Efficient Small-Scale E-Voting</t>
  </si>
  <si>
    <t>https://drive.google.com/drive/folders/1Zn7LJ7X27e1GnSHek7vyzpQ27zY5_oEj?usp=drive_link</t>
  </si>
  <si>
    <t>Deepa H</t>
  </si>
  <si>
    <t>3rd International Conference in Advances in Power, Signal, and Information Technology  in ITER - APSIT 2025</t>
  </si>
  <si>
    <t>Gesture Art Board-Enhancing Digital Expression through Hand Gesture Recognition</t>
  </si>
  <si>
    <t>M_Paper (2025-Mar-ISE-001)</t>
  </si>
  <si>
    <t>Manasa CH</t>
  </si>
  <si>
    <t>SYMPLY- Medicine Recommendation System using Machine Learning</t>
  </si>
  <si>
    <t>M_Paper(2025-Feb-ISE-010)</t>
  </si>
  <si>
    <t>Dr.Ciyamala Kushbu S, Manasa CH</t>
  </si>
  <si>
    <t>Real-Time Bidirectional Visitor Counter with Wireless Smart Power System</t>
  </si>
  <si>
    <t>Presented in may 2025</t>
  </si>
  <si>
    <t>2025-Jan-ISE-005 (0.25 - Dr.Ciyamala, 0.25-Prof.Manasa)</t>
  </si>
  <si>
    <t>Harikrishnan N</t>
  </si>
  <si>
    <t>2nd International Conference on Machine Learning &amp; Autonomous Systems (ICMLAS 2025)</t>
  </si>
  <si>
    <t>Hierarchical Meta-Reinforcement Learning for Uncertainty-Aware Resource Allocation in C-V2X Networks</t>
  </si>
  <si>
    <t>Presented March 2025 &amp; Accepted/ Published</t>
  </si>
  <si>
    <t>979-8-3315-0574-5</t>
  </si>
  <si>
    <t>M Paper  (2025-Mar-ISE-005)</t>
  </si>
  <si>
    <t>Dr.K.Venkateswaran</t>
  </si>
  <si>
    <t>ICECCC 2025</t>
  </si>
  <si>
    <t>Design and Development of End Effector for Weed Removal</t>
  </si>
  <si>
    <t>Silicon</t>
  </si>
  <si>
    <t>Design and Investigation of Gamma Ray Dosimetry with Doped Polymer‐Infused Porous Silicon Annular Photonic Crystal</t>
  </si>
  <si>
    <t>1876-9918</t>
  </si>
  <si>
    <r>
      <rPr>
        <u/>
        <sz val="10"/>
        <color rgb="FF1155CC"/>
        <rFont val="Arial"/>
      </rPr>
      <t>https://link.springer.com/</t>
    </r>
    <r>
      <rPr>
        <u/>
        <sz val="10"/>
        <color rgb="FF1155CC"/>
        <rFont val="Arial"/>
      </rPr>
      <t>article/10.1007/s12633-025-03319-2</t>
    </r>
  </si>
  <si>
    <t xml:space="preserve"> Optics and Laser Technology</t>
  </si>
  <si>
    <t>Modeling of surface plasmon resonance (SPR) gas sensor using phase change material and black phosphorus for non-invasive diagnosis of lung and liver diseases</t>
  </si>
  <si>
    <t>1879-2545</t>
  </si>
  <si>
    <t>https://www.sciencedirect.com/science/article/abs/pii/S003039922500550X</t>
  </si>
  <si>
    <t>PERFORMANCE EVALUATION OF A HIGH GAIN CONVERTER FOR PHOTOVOLTAIC APPLICATIONS BASED ON A NONISOLATED ACTIVE SWITCHED INDUCTOR</t>
  </si>
  <si>
    <t>International Conference on Advances in Electrical and Computer Technologies 2025</t>
  </si>
  <si>
    <t>A Substrate Integrated Waveguide Based Aperture Antenna for Around 60GHz Range Within V-Band Application</t>
  </si>
  <si>
    <t>Microchimica Acta</t>
  </si>
  <si>
    <t>An investigation on hybrid AlN-graphene surface plasmon resonance sensor for refractive index-based pathogen detection</t>
  </si>
  <si>
    <t>1436-5073</t>
  </si>
  <si>
    <t>https://link.springer.com/article/10.1007/s00604-025-07226-6</t>
  </si>
  <si>
    <t>IEEE 2025 6th INTERNATIONAL CONFERENCE OF EMERGING TECHNOLOGIES (INCET), Belagavi, Karnataka,</t>
  </si>
  <si>
    <t>Evaluation of Instagram Performance Metrics on Technology and Innovation Hashtags</t>
  </si>
  <si>
    <t>Presented May 22nd 2025</t>
  </si>
  <si>
    <t>2025-Feb-ISE-005</t>
  </si>
  <si>
    <t>16th ICCCNT 2025</t>
  </si>
  <si>
    <t>From Clicks to Commands: iVoice - Evaluating the Impact of Voice-Assisted Desktops on User Productivity</t>
  </si>
  <si>
    <t xml:space="preserve">Accepted and registration done. </t>
  </si>
  <si>
    <t>2025-Jan-ISE-002</t>
  </si>
  <si>
    <t>Dr. Susheelamma K H and Dr.Poorani</t>
  </si>
  <si>
    <t>ICCAMS 2025 (July 11–12, 2025)</t>
  </si>
  <si>
    <t>A Hybrid Model for Predicting and Analyzing Digital Transaction Patterns Using Deep Neural Networks and XGBoost</t>
  </si>
  <si>
    <t>2025-Mar-ISE-008 (Dr. Susheelamma - 0.06, Dr.Poorani - 0.44)</t>
  </si>
  <si>
    <t>Chithra M</t>
  </si>
  <si>
    <t>International Conference on Emerging Trends in Engineering Technology &amp; Management - ICETM 2k25</t>
  </si>
  <si>
    <t>An Examination of Two Port DC-DC Converter Systems for More Electric Aircraft</t>
  </si>
  <si>
    <t>Presented on April 12th,2025</t>
  </si>
  <si>
    <t>An Overview of Various Energy Management System Approaches in a Micro Grid</t>
  </si>
  <si>
    <t>The International Conference on Computing Technologies (ICOCT) 2025</t>
  </si>
  <si>
    <t>Effect of Droop Coefficients in Power Flow Analysis of Islanded Microgrid</t>
  </si>
  <si>
    <t>Presented on June 14th,2025</t>
  </si>
  <si>
    <t>Dr Mohan.N</t>
  </si>
  <si>
    <t>QTAnalytics</t>
  </si>
  <si>
    <r>
      <rPr>
        <u/>
        <sz val="12"/>
        <color rgb="FF000000"/>
        <rFont val="Times New Roman"/>
      </rPr>
      <t>The Impact of The Fourth Industrial Revolution on The Indian Economy: The Rise of Gig Employees in Semi-Rural India</t>
    </r>
  </si>
  <si>
    <t>BAIN CMRIT conference</t>
  </si>
  <si>
    <t>ISBN: 978-81-980647-7-6</t>
  </si>
  <si>
    <t>https://qtanalytics.in/publications/index.php/books/index</t>
  </si>
  <si>
    <t>IGI Global Book Chapter</t>
  </si>
  <si>
    <t>Navigating Towards Sustainability: The Role of Corporate Governance and AI-Driven Behavioral Interventions</t>
  </si>
  <si>
    <t xml:space="preserve">March 10th-2025 </t>
  </si>
  <si>
    <t>DOI: 10.4018/979-8-3693-9684-1.ch008</t>
  </si>
  <si>
    <t>https://www.igi-global.com/chapter/navigating-towards-sustainability/380883</t>
  </si>
  <si>
    <t>Dr. Asokan D</t>
  </si>
  <si>
    <t>The Integration of Technology in Teaching and Learning Literature</t>
  </si>
  <si>
    <t xml:space="preserve">March 05th-2025 International conference </t>
  </si>
  <si>
    <t>ISBN: 978-81-980647-8-3</t>
  </si>
  <si>
    <t>https://qtanalytics.in/publications/index.php/books/article/download/530/398/1330</t>
  </si>
  <si>
    <t>Wiley Publication</t>
  </si>
  <si>
    <t>SCI</t>
  </si>
  <si>
    <t>Disinformation Security for Generative AI Applications</t>
  </si>
  <si>
    <t>Submitted for publication</t>
  </si>
  <si>
    <t>Dr.T.K.Murugesan</t>
  </si>
  <si>
    <t>Measuring Business Excellence</t>
  </si>
  <si>
    <t>Implementation of World Class Manufacturing System by Make in India Manufactures – An Empirical Approach towards Competitive Advantage</t>
  </si>
  <si>
    <t>Sent &amp; Under Review</t>
  </si>
  <si>
    <t>Manuscript ID is MBE-06-2025-0110</t>
  </si>
  <si>
    <t xml:space="preserve">Repercussion of Fintech On Financial Services Industry – A Conceptual Paper From The Perspective of Digital India
</t>
  </si>
  <si>
    <t>Accepted for publication</t>
  </si>
  <si>
    <t>Paer ID: BAIN25-BFSI-07</t>
  </si>
  <si>
    <t>Strategic Leadership and Digital Disruption</t>
  </si>
  <si>
    <t>https://drive.google.com/drive/folders/11hu30w6fDTuabXz2LyBlE2mC6tLwRrHl</t>
  </si>
  <si>
    <t>AI and Sensing: Navigating Mobility trends and Opportunites</t>
  </si>
  <si>
    <t>Pooja Goud, Ranjini K</t>
  </si>
  <si>
    <t xml:space="preserve">Elsevier book series, Artificial Intelligence Applications for Brain–Computer Interfaces </t>
  </si>
  <si>
    <t>Closed-Loop Brain–Computer Interfaces for Musculoskeletal Impulse Prediction</t>
  </si>
  <si>
    <t>Published - 31.01.2025</t>
  </si>
  <si>
    <t>Smitha N,</t>
  </si>
  <si>
    <t xml:space="preserve"> Kunaljit Roy, Mihir Sahu</t>
  </si>
  <si>
    <t>8th International Conference on Computing
Methodologies and Communication (ICCMC 2025)</t>
  </si>
  <si>
    <t xml:space="preserve"> Improving Sepsis Mortality Prediction with Hybrid Ensemble Models and Optimized Machine Learning
Techniques</t>
  </si>
  <si>
    <t>Accepted- 3.6.2025</t>
  </si>
  <si>
    <t>Muskan Shah, Neha Baiju, Raghav Saxena</t>
  </si>
  <si>
    <t>2025 IEEE International Conference 
on Electronics, Computing and 
Communication Technologies
 (CONECCT)</t>
  </si>
  <si>
    <t>No Code App Builder</t>
  </si>
  <si>
    <t>Rajeshwari R</t>
  </si>
  <si>
    <t>2024 2nd International Conference on Advances in Computation, Communication and Information Technology (ICAICCIT)</t>
  </si>
  <si>
    <t>A Hierarchical Aggregation Network with Edge Guidance for Sturdy Medical Image Segmentation</t>
  </si>
  <si>
    <t>Published-13.3.2025</t>
  </si>
  <si>
    <t>Savitha N J</t>
  </si>
  <si>
    <t>IEEE INDISCON-2025 6th edition of the international conference series INDISCON organized by the National Institute of Technology Rourkela.</t>
  </si>
  <si>
    <t xml:space="preserve">Attention-Guided EfficientNet for Precise Criminal Identification in Surveillance Images
</t>
  </si>
  <si>
    <t>Accepted in Conference on 14th June 2025</t>
  </si>
  <si>
    <t>Optimized Culprit Identification Using MobileNet and Attention Mechanisms</t>
  </si>
  <si>
    <t>Accepted in Conference on 10th June 2025</t>
  </si>
  <si>
    <t>Lambodar Maruti Naik
Mugilan C
Rajesh P
Sujan Satish Revankar</t>
  </si>
  <si>
    <t>GENOTECH International Conference organising by Dr. D.Y.Patil Institute of Technology( DIT ), Pimpri , Pune</t>
  </si>
  <si>
    <t>Guild Based Online Coding Platform with Gamification Features</t>
  </si>
  <si>
    <t>Presented in Conference on 9th May 2025</t>
  </si>
  <si>
    <t>Ch. Avaneesh</t>
  </si>
  <si>
    <t>InternationalConference on
Biomedical Engineering and
Sustainable Healthcare Dept. of Biomedical Engineering, MIT, MAHE</t>
  </si>
  <si>
    <t>AI-Driven Multimodal Prognosis in Stroke:  Integrating Neuroimaging and Longitudinal Clinical  Data for Enhanced Detection and Long-Term  Outcome Prediction</t>
  </si>
  <si>
    <t>Accepted April 28</t>
  </si>
  <si>
    <t>Ranjini K,Pooja Goud</t>
  </si>
  <si>
    <t>Praavinya Janaki Ramana,Stephen Vishagan</t>
  </si>
  <si>
    <t>Hybrid AI and Optimization Algorithm for Personalized Workout Planning</t>
  </si>
  <si>
    <t>Accepted April 27</t>
  </si>
  <si>
    <t>JOURNAL OF INFORMATION SYSTEMS ENGINEERING AND MANAGEMENT</t>
  </si>
  <si>
    <t>Cognitive Framework to Identify Women Empowerment using Swarm Enhanced Neural Networks</t>
  </si>
  <si>
    <t>Senthil Velan S</t>
  </si>
  <si>
    <t>The 16th International IEEE Conference on Computing, Communication and Networking Technologies (ICCCNT 2025)</t>
  </si>
  <si>
    <t>Cry Baby Emotion Analysis and Recognition using Machine Learning Algorithms and Remedial Lullaby Generation</t>
  </si>
  <si>
    <t>Accepted June 2025</t>
  </si>
  <si>
    <t>https://drive.google.com/drive/folders/1cBY8oi2D85mOMhsKu3oKuBolvagAOwas?usp=drive_link</t>
  </si>
  <si>
    <t>Abhinash Raul, Aditya S, Anish Rahul Pujari, Harshini Prakasam</t>
  </si>
  <si>
    <t>IEEE Conference- CISCON 2025</t>
  </si>
  <si>
    <t xml:space="preserve">Scopus </t>
  </si>
  <si>
    <t>Deep Learning Powered Video Analysis for Anomalous Event Detection</t>
  </si>
  <si>
    <t>Accepted on 22 May 2025</t>
  </si>
  <si>
    <t>ICANCS 2025</t>
  </si>
  <si>
    <t>A Framework for Enhanced Crop and Fertilizer Recommendations Using Machine Learning, Explainable AI,
and RPA</t>
  </si>
  <si>
    <t>Accepted on 27 June 2025</t>
  </si>
  <si>
    <t>2024-Oct-ISE-001</t>
  </si>
  <si>
    <t>Computers and electrical Engineering</t>
  </si>
  <si>
    <t xml:space="preserve">Conceptual Metaphor Quantum Correlation and Radial Basis Extreme Learning for Predicting Chronic Kidney Disease
</t>
  </si>
  <si>
    <t>Published on 2nd Dec 2024</t>
  </si>
  <si>
    <t>Published Paper.pdf</t>
  </si>
  <si>
    <t>LAYA.N</t>
  </si>
  <si>
    <t>6th INCET-2025</t>
  </si>
  <si>
    <t>Machine Learning Based Analysis and Visualization of Cyber Security Attacks on a Company</t>
  </si>
  <si>
    <t>Presented May 2025</t>
  </si>
  <si>
    <t>Revathi S</t>
  </si>
  <si>
    <t>5th International Conference on Pervasive Computing and Social Networking
ICPCSN 2025</t>
  </si>
  <si>
    <t>Algorithmic Crypto Trading Using EMA Strategy</t>
  </si>
  <si>
    <t>Accepted 4/1/2025</t>
  </si>
  <si>
    <t xml:space="preserve">Ms. Priyanka S Talekar                                                  Ms.Anshika Shukla        </t>
  </si>
  <si>
    <t>Kotapati Vekata Dhanush, Vishnu M</t>
  </si>
  <si>
    <t>Nanotechnology Perceptions</t>
  </si>
  <si>
    <t>Towards the Next Generation: A 4-Dimensional Approach to Operating System Design</t>
  </si>
  <si>
    <t>Published 13 May 2025</t>
  </si>
  <si>
    <t>Poojitha Reddy, Hemakumar Reddy, Bhoomika</t>
  </si>
  <si>
    <t>ETCC 2025</t>
  </si>
  <si>
    <t>Automated Retinal Screening and Diagnosis Using a Custom Convolutional Neural Network (CNN)</t>
  </si>
  <si>
    <t>Accepted 13th May 2025</t>
  </si>
  <si>
    <t>Ms. Spurthy Maria Pais</t>
  </si>
  <si>
    <t>SPACE 2025</t>
  </si>
  <si>
    <t>Predicting High-Resolution Soil Moisture Using MODIS Bands: a Fusion-Regression Approach</t>
  </si>
  <si>
    <t>Accepted May 2025</t>
  </si>
  <si>
    <t>Ms. Bala Priya C</t>
  </si>
  <si>
    <t>EARTHSENSE 2025</t>
  </si>
  <si>
    <t>Spectral-Spatial Attribution Methods for Interpreting Land Cover Classification from Sentinel-2 Imagery</t>
  </si>
  <si>
    <t>IEEE-Connect</t>
  </si>
  <si>
    <t>Anticipation of Oceanic XCO2 using Data Fusion and AI-Based Approaches</t>
  </si>
  <si>
    <t>Journal of Information Systems Engineering and Management</t>
  </si>
  <si>
    <t>Developments in Deep Learning for Low Light Object Detection: A Comprehensive Review of YOLO and YOLOv8</t>
  </si>
  <si>
    <t>Accepted &amp; Published</t>
  </si>
  <si>
    <t>https://drive.google.com/file/d/1JeSNCaezOuWBjNozWh8OpWMaI7fEaTH6/view?usp=sharing</t>
  </si>
  <si>
    <t>Moumita Roy</t>
  </si>
  <si>
    <t>NANDISH M
NANDITHA SHINDHE</t>
  </si>
  <si>
    <t>International Conference on Emerging Technologies in Computing and Communication ETCC 2025</t>
  </si>
  <si>
    <t>Neuro-Adaptive Swarm Control: A Decentralized AI Approach for Intelligent Traffic Management</t>
  </si>
  <si>
    <t>https://drive.google.com/file/d/1_QpkKduFpmHhISNM6FXPfQZ3-hm8eS2W/view?usp=drive_link</t>
  </si>
  <si>
    <t>Hinweis Third International Conference on
Computer Science, Cyber Security and Information Technology (CCIT) 2025</t>
  </si>
  <si>
    <t>Evaluating Blockchain-as-a-Service (BaaS) Platforms: Comparative Insights into Capabilities and Constraints</t>
  </si>
  <si>
    <t>https://drive.google.com/drive/folders/1v5Doxz4WlUcuN9L8EjoqdMbM3_YgMVbp?usp=sharing</t>
  </si>
  <si>
    <t>Daya R Thummar</t>
  </si>
  <si>
    <t>5th International Conference on Soft Computing for Security Applications ICSCSA-2025</t>
  </si>
  <si>
    <t>Enhanced Tomato Leaf Disease Detection Using YOLOv11: A Deep Learning-Based Approach</t>
  </si>
  <si>
    <t>https://drive.google.com/file/d/1spNCBg9RsmVS1LUlkjsl9vFT47SPuysw/view?usp=drive_link</t>
  </si>
  <si>
    <t>HARI KRISHNA K R
KEERTHI A T
KEERTI SHIVAPPA ADARAGUNCHI
KRITHAN A N</t>
  </si>
  <si>
    <t>4th International Conference on 6G Communications Networking and Signal Processing (SGCNSP-2025)</t>
  </si>
  <si>
    <t>Novel Deep Learning Architecture Optimization for Multiclass Classification of Alzheimer's Disease</t>
  </si>
  <si>
    <t>https://drive.google.com/file/d/14qFy_nMmHB8g444e8h5XDBgaZIxVGd11/view?usp=sharing</t>
  </si>
  <si>
    <t>AJITHKUMAR KAMALAKAR SHETTY
AMRUTHA VISHWANATH BHAT
AMULYA NAMANA D B</t>
  </si>
  <si>
    <t>A Comprehensive Analysis of Regression Algorithms and Visualizations for Optimizing BigMart Sales Prediction</t>
  </si>
  <si>
    <t>https://drive.google.com/file/d/1aLPKWpBNaUVEH3WyDW5ZCUZpTUK7aj7i/view?usp=drive_link</t>
  </si>
  <si>
    <t>International Conference on Web Intelligence and Human-Machine Interaction (ICWIHI 2025)</t>
  </si>
  <si>
    <t>Enhancing Breast Cancer Diagnosis through Machine Learning and Explainable AI: A Transparent and Interpretable Method for Clinical Decision</t>
  </si>
  <si>
    <t>https://drive.google.com/file/d/1GhJsbDBsC3JzqonfEhJSRrmk0xRjJGn3/view?usp=sharing</t>
  </si>
  <si>
    <t>International Conference on Computing Sciences (ICCS) “BACKUS100”, AIP Proceedings</t>
  </si>
  <si>
    <t>TUMOUR CLASSIFICATION AND SEGMENTATION THROUGH MACHINE LEARNING METHODS</t>
  </si>
  <si>
    <t>2024-Nov-ISE-001</t>
  </si>
  <si>
    <t>SMART E-HEALTH SYSTEMS: IOT AND MACHINE LEARNING FOR CLINICAL OUTCOME
PREDICTION</t>
  </si>
  <si>
    <t>2024-Nov-ISE-006</t>
  </si>
  <si>
    <t>Prof.Kamaleswari P</t>
  </si>
  <si>
    <t>2025 International Conference on Data Science and Business Systems (ICDSBS)</t>
  </si>
  <si>
    <t>Using Machine Learning to Identify Outliers in Indian Agriculture Data for Crop Yield Prediction</t>
  </si>
  <si>
    <t>M paper (2025-June-ISE-006)</t>
  </si>
  <si>
    <t>Prof.Arvind R</t>
  </si>
  <si>
    <t>3rd International Conference on Self Sustainable Artificial Intelligent Systems ICSSAS 2025</t>
  </si>
  <si>
    <t>“Securing 5G-Enabled Cyber-Physical Systems: An Optimized Reflection Equivariant Quantum Neural Network Approach to DDoS Attack Detection”</t>
  </si>
  <si>
    <t>2025-Mar-ISE-011</t>
  </si>
  <si>
    <t>IEEE Conference ICANCS 2025</t>
  </si>
  <si>
    <t>Kidney Disease Detection Using Multi-Head Cross Attention Network and Dilated Convolutional Network with
Parrot Optimization.</t>
  </si>
  <si>
    <t>M Paper_2025-Mar-ISE-006</t>
  </si>
  <si>
    <t>National conference on Computer vision, Pattern Recognition, Image Processing and Graphics (NVVPRIPG 2025)</t>
  </si>
  <si>
    <t>High-Precision Traffic Accident Detection Using YOLOv11 Model and Image Processing with Deep Learning Techniques</t>
  </si>
  <si>
    <t>Mandatory Paper(2025-May-ISE-003)</t>
  </si>
  <si>
    <t>Ms Shilpa Pande</t>
  </si>
  <si>
    <t>THE 16th INTERNATIONAL IEEE CONFERENCE ON COMPUTING, COMMUNICATION AND NETWORKING TECHNOLOGIES (ICCCNT)</t>
  </si>
  <si>
    <t>Dwell Sync Pro: AI Travel Planner</t>
  </si>
  <si>
    <t>Link</t>
  </si>
  <si>
    <t xml:space="preserve">Deep Learning Approach for Glaucoma Detection </t>
  </si>
  <si>
    <t>link</t>
  </si>
  <si>
    <t>Dr. P Ramesh</t>
  </si>
  <si>
    <t>DEVELOPMENT OF A MULTI-LEVEL INVERTER WITH FUZZY LOGIC CONTROL FOR GRID-CONNECTED PHOTOVOLTAIC SYSTEMS</t>
  </si>
  <si>
    <t>2024-Feb-EEE-001</t>
  </si>
  <si>
    <t>Prof.Apurva Chaudhari</t>
  </si>
  <si>
    <t>Towards Touch-Free Interaction Virtual Mouse using Hand Gesture</t>
  </si>
  <si>
    <t>M_Paper_(2025-Feb-ISE-007)</t>
  </si>
  <si>
    <t>Ms Roma Kudale</t>
  </si>
  <si>
    <t>Parth Sharma, Malavika Kammar</t>
  </si>
  <si>
    <t>Hinweis Third International Conference on AITC-2025</t>
  </si>
  <si>
    <t>Advances in Automated Question Generation: A Comprehensive Review and Future Directions</t>
  </si>
  <si>
    <t>Presented 30-31 May 2025</t>
  </si>
  <si>
    <t>Ms. Rencita Maria Colaco</t>
  </si>
  <si>
    <t>10th Edition ICT4SD</t>
  </si>
  <si>
    <t>GenAI-Driven Portfolio Review System: Leveraging AI for Smarter Investment Decisions</t>
  </si>
  <si>
    <t>https://drive.google.com/drive/folders/1oBvt1xE5lYAXQLtICRUeBsubhVYpJT6z?usp=sharing</t>
  </si>
  <si>
    <t>Mandatory Paper</t>
  </si>
  <si>
    <t>MS. Sevanthi P</t>
  </si>
  <si>
    <t>ICCSP'25 11th International Conference On Communication and Signal Processing</t>
  </si>
  <si>
    <t>Secure Image Transmission for Mobile Application Using PSNR Metric and Elliptic Curve Digital Signature</t>
  </si>
  <si>
    <t>Presented on 6/6/2025</t>
  </si>
  <si>
    <t>R Load</t>
  </si>
  <si>
    <t>Prof. Vidhyavathi Kotha</t>
  </si>
  <si>
    <t>6th International Conference on Software Engineering, Security and Blockchain (SESBC 2025)</t>
  </si>
  <si>
    <t>Enhanced Rainfall Prediction Using Conv1D and Temporal Fusion Transformers for Precision Forecasting</t>
  </si>
  <si>
    <t>Accepted in June 2025                                     16- 17 August 2025 (Yet to Present)</t>
  </si>
  <si>
    <t>Dr. Sam Gilvine</t>
  </si>
  <si>
    <t>International Conference on Advanced Research in Computer Science, Information Technology – 2025 (ICARCSIT 2025)</t>
  </si>
  <si>
    <t>Leveraging Multi-Layer Neural Networks for Spatial Inference in Wireless Detector Networks</t>
  </si>
  <si>
    <t>Received Acceptance on 28/6/25</t>
  </si>
  <si>
    <t>Intelligent Sensor Relocation in Wireless Networks: An Artificial Immune System Approach to Coverage Maximization</t>
  </si>
  <si>
    <t>Received Acceptance on 30/06/25</t>
  </si>
  <si>
    <t>Sagarika Behera, Rajni Tiwari</t>
  </si>
  <si>
    <t>Enhancing Data Security in Edge Computing Through Blockchain Storage Architecture</t>
  </si>
  <si>
    <t>Accepted in June 2025</t>
  </si>
  <si>
    <t>International Conference on Advances in Information Technology (ICAIT 2025)</t>
  </si>
  <si>
    <t>Breast Cancer Classification Using CNN and Maxpooling</t>
  </si>
  <si>
    <t>Accepted on 24.06.2025</t>
  </si>
  <si>
    <t>V N Manju</t>
  </si>
  <si>
    <t>Aniket Ritam, Supritha S, Harsha Jyothi</t>
  </si>
  <si>
    <t>International Conference on Emerging Technologies in Computing and Communication (ETCC 2025)</t>
  </si>
  <si>
    <t>Deepfake Video Detection Using Hybrid CNN LSTM Architecture Integrating Spatial and Temporal Analysis</t>
  </si>
  <si>
    <t>accepted 26th June 2025</t>
  </si>
  <si>
    <t>Fourth International Conference on Smart Technologies, Communication and Robotics IEEE-STCR-2025</t>
  </si>
  <si>
    <t>Deepfake MRI Detection: A ViViT-Based Landmark Feature Extraction Approach for Brain Tumor Scans</t>
  </si>
  <si>
    <t>Published on 3rd June 2025</t>
  </si>
  <si>
    <t>V N Manju, Krishna Sowjanya K</t>
  </si>
  <si>
    <t>Attention-Enhanced Vision Transformer Model for Precise Skin Cancer Detection</t>
  </si>
  <si>
    <t>Reshma</t>
  </si>
  <si>
    <t>Sixteenth International Conference on Advances in Computing,Control, and Telecommunication Technologies - ACT 2025</t>
  </si>
  <si>
    <t>Predictive Modelling for Early Alzheimer’s Diagnosisusing Blood Biomarkers and Machine Learning</t>
  </si>
  <si>
    <t>accepted 4th June 2025</t>
  </si>
  <si>
    <t>Lini Oommen</t>
  </si>
  <si>
    <t>Aman Kumar, Harsha Vardhan Reddy G, Sovit Khatri, Sahid Aftab</t>
  </si>
  <si>
    <t>International Conference on Advances in Information Technology - ICAIT 2025,</t>
  </si>
  <si>
    <t>Sports Facility Booking System with Hybrid Recommendations</t>
  </si>
  <si>
    <t>accepted June 2025</t>
  </si>
  <si>
    <t>Amulya Biradar, Rishabh Patel, Shruti Jayaswal,Ritesh Kumar Singh</t>
  </si>
  <si>
    <t>Diabetes and Heart Disease Prediction Using Machine Learning</t>
  </si>
  <si>
    <t>Mayank Mudhal, Divyam Kumar</t>
  </si>
  <si>
    <t>Smart Detection of Deep Fake Images Using Vision Transformers</t>
  </si>
  <si>
    <t xml:space="preserve">International Conference on Recent Advancement in Electrical, Computer and Communication Technologies (IECCT 2025) </t>
  </si>
  <si>
    <t>Refining Brain Tumour Segmentation in MRI: A Synergistic Approach with Modified FCM and JAYA Algorithm</t>
  </si>
  <si>
    <t>accepted 1 Apr 2025</t>
  </si>
  <si>
    <t>Manjula Subramaniam</t>
  </si>
  <si>
    <t>Journal of Information System Engineering and Management</t>
  </si>
  <si>
    <t>Beyond the cloud:AI-Driven Strategies for Data Privacy Assurance</t>
  </si>
  <si>
    <t>accepted 26 Feb 2025</t>
  </si>
  <si>
    <t>International Journal of Environmental Sciences</t>
  </si>
  <si>
    <t>Drought Assessment in Karnataka's Western Ghats Using MODIS-Derived Vegetation  Condition Index</t>
  </si>
  <si>
    <t>accepted 27-06-2025</t>
  </si>
  <si>
    <t>Arpit Sharma, NIshant Parashar, Rakesh Kumar</t>
  </si>
  <si>
    <t>CSE/ AIML/ISE</t>
  </si>
  <si>
    <t>International Conference on Multidisciplinary Approach to Humanities and Social Sciences</t>
  </si>
  <si>
    <t>Emotion-Aware Image Captioning Using BLIP-2 and DeepFace Integration</t>
  </si>
  <si>
    <t>R (2025-Jan-CSE-006)</t>
  </si>
  <si>
    <t>ICCCNT 2025</t>
  </si>
  <si>
    <t>Graph-Based Velocity Analysis of Viral Information Diffusion in Social Networks</t>
  </si>
  <si>
    <t>Nishant Parashar</t>
  </si>
  <si>
    <t>MDAHSS 2025</t>
  </si>
  <si>
    <t>Presented June 2025</t>
  </si>
  <si>
    <t>IJES</t>
  </si>
  <si>
    <t>Detection of Breast Cancer Using Machine Learning on Histopathological Images</t>
  </si>
  <si>
    <t>Ms. Anushree G</t>
  </si>
  <si>
    <t>Harshitha N, Diya Rose Melwin</t>
  </si>
  <si>
    <t>3rd international conference on advance in science ,engineering and technolgy(ICASET-2025)</t>
  </si>
  <si>
    <t>Cultivating the Future: The Role of AI in Transforming Agriculture</t>
  </si>
  <si>
    <t>Presented in March 2025</t>
  </si>
  <si>
    <t>Elakkiya.E , Revathy.s</t>
  </si>
  <si>
    <t>4th International Conference on Advances in Computing, Communication and Applied Informatics (ACCAI-2025)</t>
  </si>
  <si>
    <t>An Enhanced Framework for Identification of Ovarian Cancer Detection System</t>
  </si>
  <si>
    <t>Accepetd on 11th June 2025</t>
  </si>
  <si>
    <t>Bhavana Thomas</t>
  </si>
  <si>
    <t>Periodic Convolutional Neural Network-Based Approach for Detecting Wildlife Penetration in Smart Agriculture</t>
  </si>
  <si>
    <t>https://drive.google.com/drive/folders/1n8XqR_t9zQgVyC-GhrtkSJ5A4DZlMycC?usp=drive_link</t>
  </si>
  <si>
    <t>Ms. Vedashree LV</t>
  </si>
  <si>
    <t>2024 7th International Conference on Contemporary Computing and Informatics (IC3I)</t>
  </si>
  <si>
    <t>Novel Approach for Brain Tumor Classification with CNN and MobileNet</t>
  </si>
  <si>
    <t>Presented on 18-20 september 2024</t>
  </si>
  <si>
    <t>Ms. Anusha Johnson</t>
  </si>
  <si>
    <t>8th International Conference on Intelligent Computing and Communication ICICC-2025</t>
  </si>
  <si>
    <t>A Multimodal Machine Learning Approach for Attentiveness Detection via Gaze and Emotion Analysis</t>
  </si>
  <si>
    <t>Accepted on 29/6/2025</t>
  </si>
  <si>
    <t xml:space="preserve">Dr. Nageswara Rao </t>
  </si>
  <si>
    <t>Scientific Reports</t>
  </si>
  <si>
    <t>High resistance fault detection in DC microgrid using Hilbert
Huang transform and vector- based ensemble optimized LSTM networks</t>
  </si>
  <si>
    <t>Published May 2025</t>
  </si>
  <si>
    <t>10.1038/s41598-025-00977-5</t>
  </si>
  <si>
    <t>https://pubmed.ncbi.nlm.nih.gov/40341428/</t>
  </si>
  <si>
    <t>DEEP LEARNING-ENHANCED STABILITY CONTROL FOR RENEWABLE ENERGY-BASED MICROGRIDS</t>
  </si>
  <si>
    <t>Presented on May2-2025</t>
  </si>
  <si>
    <t>Dr.Senthil Velan S</t>
  </si>
  <si>
    <t>Node Localization and Clustering In FANET Networks using A Modified Swarm Intelligence Algorithm for Disaster Management</t>
  </si>
  <si>
    <t>2024-Sep-ISE-003</t>
  </si>
  <si>
    <t>Dr. Narendra N</t>
  </si>
  <si>
    <t>ICSMT 2025!</t>
  </si>
  <si>
    <t>Q2/Q3</t>
  </si>
  <si>
    <t>na</t>
  </si>
  <si>
    <t>Optimization of single strap butt joint with dissimilar alloys bonded using modified epoxy resin</t>
  </si>
  <si>
    <t xml:space="preserve">Paper Accepted </t>
  </si>
  <si>
    <t>The International Journal of Advanced Manufacturing Technology</t>
  </si>
  <si>
    <t>A comprehensive investigation of the 3D printed polylactic acid/
yttria‐stabilized zirconia nanocomposite scaffold for orthopedic
applications</t>
  </si>
  <si>
    <t>Published Jun 2025</t>
  </si>
  <si>
    <t>https://link.springer.com/article/10.1007/s00170-025-15927-8</t>
  </si>
  <si>
    <t>Emergent Materials</t>
  </si>
  <si>
    <t>Influence of infill patterns on the mechanical and antibacterial
properties of 3D-printed polylactic acid reinforced with
hydroxyapatite/magnesium oxide bone repair scaffolds</t>
  </si>
  <si>
    <t>Vidhyavathi Kotha (No RC ID)</t>
  </si>
  <si>
    <t>4th OPJU International Technology Conference (OTCON)  held on April 9-11 2025.</t>
  </si>
  <si>
    <t xml:space="preserve">A Hybrid ASR Model Integrating with T5 for
Enhancement of Audio Text </t>
  </si>
  <si>
    <t>Presented on April 9-11 2025</t>
  </si>
  <si>
    <t>Hybrid Approach for Real-Time Emotion Recognition on Twitter Data</t>
  </si>
  <si>
    <t>3rd International Conference on Data Science and Information System (ICDSIS)</t>
  </si>
  <si>
    <t>Effective Financial Fraud Detection system based on Graph Attention Network</t>
  </si>
  <si>
    <t>Presented on 16-17th May 2025</t>
  </si>
  <si>
    <t>Dr. Vakula Rani J</t>
  </si>
  <si>
    <t>Haifa Ali Saeed Ali, Gunasheela ,Vinayak Arjun Singh , Devanshu Sharma</t>
  </si>
  <si>
    <t>International Conference on Emerging Technologies in Computing and Communication
Organized By PES University EC Campus, Bangalore</t>
  </si>
  <si>
    <t>Early Identification of Hepatic Disorders Using
Machine Learning</t>
  </si>
  <si>
    <t>Presented on 26th June 2025</t>
  </si>
  <si>
    <t>https://drive.google.com/file/d/1vMXQQxg77o2YenTBDpyjJi2kKsqjssFL/view?usp=sharing</t>
  </si>
  <si>
    <t>Haifa Ali Saeed Ali</t>
  </si>
  <si>
    <r>
      <rPr>
        <sz val="12"/>
        <color rgb="FF222222"/>
        <rFont val="Times New Roman"/>
      </rPr>
      <t xml:space="preserve">Int.J.of Computer Networks and Applications (IJCNA) </t>
    </r>
    <r>
      <rPr>
        <b/>
        <sz val="12"/>
        <color rgb="FF222222"/>
        <rFont val="Times New Roman"/>
      </rPr>
      <t>(Q3)</t>
    </r>
  </si>
  <si>
    <t>Deep Learning Approach for Protecting IoT Smart Home Devices Against Multiclass Botnet Attacks</t>
  </si>
  <si>
    <t>Published  June 2025</t>
  </si>
  <si>
    <t>https://drive.google.com/file/d/1uU26xdztPL7QHBWD6_vaegws3XNI7aPr/view?usp=sharing</t>
  </si>
  <si>
    <t>“5th IEEE International Conference on Innovations in Power and
Advanced Computing Technologies”, i-PACT-2025</t>
  </si>
  <si>
    <t>Water Quality Prediction Using Ensemble Learning for Sustainable Resource Management</t>
  </si>
  <si>
    <t>https://drive.google.com/file/d/1rBRENXoAIaMi5Kx99FnwynSuxbSTeHMV/view?usp=drive_link</t>
  </si>
  <si>
    <t>International Journal of Critical Infrastructures(Q3 Journal)</t>
  </si>
  <si>
    <t>Detection of Malware in Internet of Things in Smart Homes Using Deep Federated Learning - After reviews published as "Federated Learning for the Detection of Malware in IoT Devices"</t>
  </si>
  <si>
    <t>https://drive.google.com/file/d/1UTTZY_w2NWFbvNY1MO1Y2k7J0Jz07wkU/view?usp=sharing</t>
  </si>
  <si>
    <t>International Journal of Engineering Systems Modelling and Simulation(Q3)</t>
  </si>
  <si>
    <t>Comparative Analysis of Marine Debris Simulation Using Ensemble Learning with XGBoost and Deep Convolutional Neural Networks</t>
  </si>
  <si>
    <t>https://drive.google.com/file/d/1Px7KsEulDFJg490dMlZSEj8jWjyF9DXI/view?usp=sharing</t>
  </si>
  <si>
    <t>SN Computer Science</t>
  </si>
  <si>
    <t>Novel Anchor Generation based Residual Network for Object Tracking in Video-Surveillance Applications</t>
  </si>
  <si>
    <t>Published on 29th Jan 2025</t>
  </si>
  <si>
    <t>10.1007/s42979-024-03619-1</t>
  </si>
  <si>
    <t>https://link.springer.com/article/10.1007/s42979-024-03619-1</t>
  </si>
  <si>
    <t>Dr.V.Ilango &amp; Dr.K.Rajalakshmi</t>
  </si>
  <si>
    <t>9th international conference on Inventive Systems and Control(ICISC 2025)</t>
  </si>
  <si>
    <t>Developing Inclusive Digital Learning Systems and Methods to Support Visually and Speech Impaired Learners Using IHY Assistive Technologies</t>
  </si>
  <si>
    <t>Accepted on june month</t>
  </si>
  <si>
    <t>https://drive.google.com/file/d/1lG82nCIpWCLurdXGnpx_JIlriI58iQbF/view?usp=sharing</t>
  </si>
  <si>
    <t>16th International Conference on Computing Communication and Networking Technologies (ICCCNT)</t>
  </si>
  <si>
    <r>
      <rPr>
        <sz val="12"/>
        <color rgb="FF222222"/>
        <rFont val="Times New Roman"/>
      </rPr>
      <t>ML Framework for Rain and Temperature Forecasting Based on
Meteorological and Air Quality Dat</t>
    </r>
    <r>
      <rPr>
        <sz val="12"/>
        <color rgb="FF222222"/>
        <rFont val="Times New Roman"/>
      </rPr>
      <t>a</t>
    </r>
  </si>
  <si>
    <t>https://drive.google.com/file/d/1lgRkw0pUztKo-GFXhr_h81a2v3n9Jktp/view?usp=drive_link</t>
  </si>
  <si>
    <t>Varsha P</t>
  </si>
  <si>
    <t xml:space="preserve"> A Hybrid Sequential Model for Evidence Extraction from
 Social Media Interactions using Topic Modeling and
 Sequential Pattern Mining</t>
  </si>
  <si>
    <t>https://drive.google.com/file/d/18cTlc7rwjrvPPygGGvr4onXLn80g-8r5/view?usp=drive_link</t>
  </si>
  <si>
    <t>An Explainable AI-based model for Feature Identification from Drone
Orthophotos</t>
  </si>
  <si>
    <t>https://drive.google.com/drive/folders/1Y_wJRXsEi8ucy3DWKCgn5QYHpO3tKZG9?usp=drive_link</t>
  </si>
  <si>
    <t xml:space="preserve">Dr.V.Ilango </t>
  </si>
  <si>
    <t xml:space="preserve">Real Time Flood Alert System In Parking Lot Using Iot And Machine Learning </t>
  </si>
  <si>
    <t>https://drive.google.com/drive/folders/1VzvnbbGrQ3d52cKdbZgpLFAv3QOt1mc9?usp=drive_link</t>
  </si>
  <si>
    <t xml:space="preserve">Journal of Neonatal Surgery </t>
  </si>
  <si>
    <t xml:space="preserve">Efficient Multi-Class Classification of NSCLC Subtypes with Transfer Learning-Enhanced
CNNs on Augmented CT Data </t>
  </si>
  <si>
    <t>Performance Optimization of High-κ Engineered TM-DG-InP/GaAs-TFET for Ultra-Sensitive Biosensing Applications: Mechanistic Insights and TCAD Simulation Analysis</t>
  </si>
  <si>
    <t>2162-8769</t>
  </si>
  <si>
    <t>https://iopscience.iop.org/article/10.1149/2162-8777/add49b/meta</t>
  </si>
  <si>
    <t>IEEE Access</t>
  </si>
  <si>
    <t>Label-Free Biomolecule Detection with InP/AIGaAs Charge Plasma Dielectric-Modulated Vertical TFET Using TaN as Metal Gate</t>
  </si>
  <si>
    <t>2169-3536</t>
  </si>
  <si>
    <t>https://ieeexplore.ieee.org/abstract/document/11005483</t>
  </si>
  <si>
    <t>Minimizing power loss by lowering the decline rate of refractive index in optical fiber communication</t>
  </si>
  <si>
    <t>Accepted and Presented in May 2025</t>
  </si>
  <si>
    <t xml:space="preserve">Dr. Sharmila K.P </t>
  </si>
  <si>
    <t xml:space="preserve">ICETICT-2024 </t>
  </si>
  <si>
    <t>Not yet</t>
  </si>
  <si>
    <t>A  Six Element Antenna Array for 5G Application</t>
  </si>
  <si>
    <t>Prof. Sachin Aralikatti</t>
  </si>
  <si>
    <t xml:space="preserve">ICETA-2025 - IEEE </t>
  </si>
  <si>
    <t>Harnessing photonics for next generation AI: Advance in PLC based digital and analog computing</t>
  </si>
  <si>
    <t>Accepted and Presented in Feb 2025</t>
  </si>
  <si>
    <t>Dr.Ananth Kumar M.S.</t>
  </si>
  <si>
    <t>International Conference on Medical Imaging, Electronic Imaging, Information Technologies, and Sensors (MIEITS 2025),</t>
  </si>
  <si>
    <t>Yes, Scopus Indexed</t>
  </si>
  <si>
    <t>Multi-objective CH selection with Scheduling based energy efficient secure transmission in WSN using Siamese graph convolutional Mantis Search attention network.</t>
  </si>
  <si>
    <t>Published in May 2025</t>
  </si>
  <si>
    <t>1363106_2024-Aug-ECE-006_Mandatory Paper_Dr.Ananth.pdf</t>
  </si>
  <si>
    <t>INDISCON 2025 - IEEE</t>
  </si>
  <si>
    <t>A Surface Plasmon Resonance Gas Sensor Leveraging BP and MXene for Enhanced Sensitivity</t>
  </si>
  <si>
    <t>Dr Pappa M, Dr Mahesh Kumar Jha, Dr K P Sharmila</t>
  </si>
  <si>
    <t>International Conference on Self Sustainable Artificial Intelligence Systems (ICSSAS 2025)</t>
  </si>
  <si>
    <t>Energy Harvesting Microcontrollers for IoT</t>
  </si>
  <si>
    <t>Presented in June 2025</t>
  </si>
  <si>
    <t>Dr Sutapa Sarkar, Prof.Monika Singh, Dr Mahesh Kumar Jha, Dr Pappa M, Dr K P Sharmila</t>
  </si>
  <si>
    <t>IoT Driven activities in Mining and Subterranean Operations</t>
  </si>
  <si>
    <t>Dr Sridevi S, Dr Pappa M</t>
  </si>
  <si>
    <t>Latency and Throughput Analysis in 3D NoC Design for streaming platform</t>
  </si>
  <si>
    <t>Dr Meenakshi R Patil</t>
  </si>
  <si>
    <t>Rohit Gupta, Shivani Nathani, , Prachi, Rupshikha Thapa</t>
  </si>
  <si>
    <t>2025 International Conference on Electronics, Computing, Communication and Control Technology (ICECCC)</t>
  </si>
  <si>
    <t>AI Nursing Assistant</t>
  </si>
  <si>
    <t>Presented in May 2025</t>
  </si>
  <si>
    <t>344_ICECCC_2025_P_CERTIFICATE_2025-Feb-ECE-014.pdf</t>
  </si>
  <si>
    <t>Dr Meenakshi R Patil, Milind Bhilavade, Aditya Magdum, Dr Shivprakasha K S</t>
  </si>
  <si>
    <t>Enhancing Fingerprint Recognition Using Convolutional Neural Networks: A Robust Approach to Image Reconstruction and Authentication</t>
  </si>
  <si>
    <t>727_ICECCC_2025_P_2025-Feb-ECE-022.pdf</t>
  </si>
  <si>
    <t>Prof Kavitha N Pillai</t>
  </si>
  <si>
    <t>International  Journal of Systems, Control and Communications.</t>
  </si>
  <si>
    <t>Enhancing Autonomous Wheelchair Mobility: A Holistic Method for Dynamic Route Planning</t>
  </si>
  <si>
    <t xml:space="preserve"> Paper accepted for publication IJSCC-262340 - Kavitha.np@cmrit.ac.in - CMR Institute of Technology Mail.pdf</t>
  </si>
  <si>
    <t>Susmitha Alamuru</t>
  </si>
  <si>
    <t>Journal of elecrical systems</t>
  </si>
  <si>
    <t>Effective Transmission of Messages in WANETs Adopting node stamping technique</t>
  </si>
  <si>
    <t>International Journal of Intelligent Engineering and Systems</t>
  </si>
  <si>
    <t>An Effective Video Event Classification by Optimizing the Hyper-Parameters Using Improved Pelican Optimization and Bi-LSTM Classifier</t>
  </si>
  <si>
    <t>K.Venkateswaran</t>
  </si>
  <si>
    <t>Yes
SCOPUS Indexed</t>
  </si>
  <si>
    <t xml:space="preserve"> A Dual-Feed, Dual-Mode SIW Antenna with Smoothened Bow-Tie Slot and Beam Scanning for X-Band 5G MIMO Applications</t>
  </si>
  <si>
    <t>IEEE Radar Conference</t>
  </si>
  <si>
    <t>Hyperparameter Free MEEF Based Adaptive Estimator for MIMO Radar</t>
  </si>
  <si>
    <t>https://drive.google.com/file/d/14-55AlC74SKsuSGiGvVHcjuAJdWcT3KM/view?usp=sharing</t>
  </si>
  <si>
    <t>5G Advanced: A Step Towards 6G</t>
  </si>
  <si>
    <t>September</t>
  </si>
  <si>
    <t>Electronic ISBN:979-8-3503-9075-9                                                                                                         Print on Demand(PoD) ISBN:979-8-3503-9076-6</t>
  </si>
  <si>
    <t>https://ieeexplore.ieee.org/document/10763764</t>
  </si>
  <si>
    <t>Sushma b</t>
  </si>
  <si>
    <t>Wispnet</t>
  </si>
  <si>
    <t xml:space="preserve">Enhanced Polyp Segmentation in Colonoscopy Videos using Deep RGB and Depth Fusion Strategies
</t>
  </si>
  <si>
    <t>Electronic ISBN:979-8-3315-2422-7</t>
  </si>
  <si>
    <t>Sushma B</t>
  </si>
  <si>
    <t>Computing for Sustainability and Intelligent Future (COMP-SIF)</t>
  </si>
  <si>
    <t>UNet and Dense Extreme Inception Networks: A Unified Approach to Archaeological Artifact Drawing Generation</t>
  </si>
  <si>
    <t>https://ieeexplore.ieee.org/abstract/document/11005337</t>
  </si>
  <si>
    <t>https://ieeexplore.ieee.org/abstract/document/10969917</t>
  </si>
  <si>
    <t>ICCMC-2025</t>
  </si>
  <si>
    <t>Multi-Stream Feature Fusion Framework with Separable Convolutional LSTM for Violence Detection in
Surveillance Video</t>
  </si>
  <si>
    <t>Accepted    7/1/2025</t>
  </si>
  <si>
    <t>Second International Conference on Electronics, Communication, Computing and Control
Technology (ICECCC 2025)</t>
  </si>
  <si>
    <t>“WCE-BLEED-NET: A CONVOLUTIONAL NEURAL NETWORK
WITH ADAPTIVE ATTENTION MODULE FOR BLEEDING FRAME AND REGION DETECTION IN
WIRELESS CAPSULE ENDOSCOPY VIDEO”</t>
  </si>
  <si>
    <t>Presented-May-2025</t>
  </si>
  <si>
    <t>AI Driven Crop Classification and Yield Prediction Using Deep Learning</t>
  </si>
  <si>
    <t>Sutapa Sarkar</t>
  </si>
  <si>
    <t>ICESC 2025</t>
  </si>
  <si>
    <t>Power Allocation Coefficient Optimization in NOMA in a 5G Perspective</t>
  </si>
  <si>
    <t>Sophiya Susan S</t>
  </si>
  <si>
    <t>Aryan Vijay, Sachin S, Naveen Kumar S, Sunidhi Pawar M.</t>
  </si>
  <si>
    <t>ICSCSA- 2025</t>
  </si>
  <si>
    <t>Real Time Distributed Asset Tracking and Management System using Low Power IoT Networks with GPS and Interactive Front- End Interface</t>
  </si>
  <si>
    <t>ICSCSA- 2026</t>
  </si>
  <si>
    <t>IoT BASED SMART SHOPPING CART USING RFID</t>
  </si>
  <si>
    <t>Nandini Rao G</t>
  </si>
  <si>
    <t>Suryansh</t>
  </si>
  <si>
    <t>NMITCON</t>
  </si>
  <si>
    <t xml:space="preserve">Pose based real time fall detection and notification </t>
  </si>
  <si>
    <t>Dr. Naveen Kumar G N</t>
  </si>
  <si>
    <t>16th ICCCNT 2025"</t>
  </si>
  <si>
    <t>Unsupervised CPS Anomaly Detection Using Isolation Forest
with Adaptive Thresholding</t>
  </si>
  <si>
    <t>Dr. Naveen Kumar G N, 
Prof. Manjunath Gudur</t>
  </si>
  <si>
    <t>GC4T-2025</t>
  </si>
  <si>
    <t>AI and ML-based Framework for Malware Detection in Cyber-Physical Contexts</t>
  </si>
  <si>
    <t>Krishna Teja Yadav CHT, Madhu GC</t>
  </si>
  <si>
    <t>ICECCC, 2025</t>
  </si>
  <si>
    <t>SOFTWARE BASED PERFORMANCE EVALUATION OF DATA ENCRYPTION ALGORITHMS”</t>
  </si>
  <si>
    <t>Dr. Eisha Akanksha</t>
  </si>
  <si>
    <t xml:space="preserve">Taylor &amp; Francis </t>
  </si>
  <si>
    <t>Study of Electrical Transport and Optical Properties of Indium Tin Oxide Nanoparticles Thin Film</t>
  </si>
  <si>
    <t>Publiched in 2024</t>
  </si>
  <si>
    <t>https://drive.google.com/file/d/1PVj7WIGXk_FdHKOxr7HG9ni12X65fe1x/view?usp=sharing</t>
  </si>
  <si>
    <t>A DATA-DRIVEN APPROACH TO BANKRUPTCY PREDICTION USING MACHINE LEARNING</t>
  </si>
  <si>
    <t>Prof. Sachin, Dr. Susheel Kumar</t>
  </si>
  <si>
    <t>IEEE- ICANCS 2025</t>
  </si>
  <si>
    <t>Transparent and Scalable E-Voting Framework Using Zero-Knowledge Rollups on Blockchain</t>
  </si>
  <si>
    <t>IEEE -ICANCS 2025</t>
  </si>
  <si>
    <t>Deep Reinforcement Learning Driven Control and Optimization for Cyber-Physical System in Smart Manufacturing</t>
  </si>
  <si>
    <t>Anju Das</t>
  </si>
  <si>
    <t>CCPIS 2025</t>
  </si>
  <si>
    <t>Optimal and Robust Control Analysis of Ball and Plate System</t>
  </si>
  <si>
    <t>Sutapa Sarkar, Monika Singh, K P Sharmila, M. Pappa,
Mahesh K. Jha</t>
  </si>
  <si>
    <t>ICICV 2025</t>
  </si>
  <si>
    <t>IoT-Based Cattle Monitoring</t>
  </si>
  <si>
    <t>Sridhar N</t>
  </si>
  <si>
    <t xml:space="preserve">ICECCC-2025 </t>
  </si>
  <si>
    <t>A smart Wi-Fi enabled IoT framework for Fishermen tracking and Communication</t>
  </si>
  <si>
    <t>979-8-3315-2162-2.</t>
  </si>
  <si>
    <t>Design and Development of Quadruped Robot for Carrying and Operating Agro Tools in Agricultural Fields</t>
  </si>
  <si>
    <t xml:space="preserve"> 2025 International Conference on Knowledge Engineering and Communication Systems (ICKECS)</t>
  </si>
  <si>
    <t>AUTOMATED HYDROPONIC VERTICAL FARMING USING IOT</t>
  </si>
  <si>
    <t>979-8-3315-3701-2</t>
  </si>
  <si>
    <t>https://doi.org/10.1109/ICKECS65700.2025.11035782</t>
  </si>
  <si>
    <t>Dr. Niranjan L</t>
  </si>
  <si>
    <t>Farm to Folk Using Machine Learning</t>
  </si>
  <si>
    <t>ISBN Number 979-8-3315-2162-2.</t>
  </si>
  <si>
    <t>ICCEECS-2025</t>
  </si>
  <si>
    <t>Optimizing Network Longevity: A Comprehensive Digital Cluster Approach for Enhanced Lifetime Efficiency in
Wireless Sensor Networks</t>
  </si>
  <si>
    <t>Dr Ramesh P</t>
  </si>
  <si>
    <t>MRIE 2025</t>
  </si>
  <si>
    <t>Optimizing Arrangement Hitches in Cloud Computing Using a Multi-Objective Improved Genetic Algorithm</t>
  </si>
  <si>
    <t>Accepted in May</t>
  </si>
  <si>
    <t>A Framework for Overloaded Host Detection and Scheduling Optimization in Cloud Environments</t>
  </si>
  <si>
    <t>IEEE International Conference on Innovations in
Power and Advanced Computing Technologies”, i-PACT-2025</t>
  </si>
  <si>
    <t>Na</t>
  </si>
  <si>
    <t>Comparative Evaluation of MPPT Algorithms for Modified SEPIC Converters under Dynamic Solar Irradiance</t>
  </si>
  <si>
    <t>Accepted in June</t>
  </si>
  <si>
    <t>An Enhanced Contextual and Sentiment-Aware Semantic Search in Social Media Text</t>
  </si>
  <si>
    <t>https://drive.google.com/file/d/1pirK0ekI1kWFmgA0EzA_eSy2gB0tjRyM/view?usp=sharing</t>
  </si>
  <si>
    <t>Dr. Sanchari Saha, Aparna Ponnuru</t>
  </si>
  <si>
    <t>Sixteenth International Conference on Advances in Computing, Control, and Telecommunication Technologies - ACT 2025, IDES and Association of Computer Electrical Electronics and Communication Engineers (ACEECom) and will be held during June 25-26, 2025; Hyderabad, India.
 https://act.theides.org/2025/</t>
  </si>
  <si>
    <t>A Framework for Real-Time, Adaptive Mobile Agents for Data Aggregation in Edge Computing Environment.</t>
  </si>
  <si>
    <t>Accepted 25 May 2025</t>
  </si>
  <si>
    <t>Mr. Abdul Jabbar</t>
  </si>
  <si>
    <t>AI&amp;DS</t>
  </si>
  <si>
    <t>Research on Database Query Optimization using
Deep Q Networks based Decision Tree</t>
  </si>
  <si>
    <t>https://drive.google.com/drive/folders/1EiInRKfN3mq-Ig6ON6O6Q0iumAmofoeW</t>
  </si>
  <si>
    <t>Dr. Ayyappa Bathinapatla</t>
  </si>
  <si>
    <t>CHEM</t>
  </si>
  <si>
    <t>Current Analytical Chemistry</t>
  </si>
  <si>
    <t>A Review on Nanomaterial-based Point-of-Care Devices: Emphasis on Cardiovascular Diseases</t>
  </si>
  <si>
    <t>In press, 10 July, 2024</t>
  </si>
  <si>
    <t>1875-6727</t>
  </si>
  <si>
    <t>10.2174/0115734110287874240629095513</t>
  </si>
  <si>
    <r>
      <rPr>
        <u/>
        <sz val="12"/>
        <color rgb="FF1155CC"/>
        <rFont val="Times New Roman"/>
      </rPr>
      <t>Comprehensive Analytical Chemistry</t>
    </r>
    <r>
      <rPr>
        <u/>
        <sz val="12"/>
        <color rgb="FF000000"/>
        <rFont val="Times New Roman"/>
      </rPr>
      <t xml:space="preserve"> ((Hand book))</t>
    </r>
  </si>
  <si>
    <t>Metallic silver and copper oxide nanoparticles: Uses in food preservation and impacts on the environment</t>
  </si>
  <si>
    <r>
      <rPr>
        <u/>
        <sz val="12"/>
        <color rgb="FF1155CC"/>
        <rFont val="Times New Roman"/>
      </rPr>
      <t>Volume 107</t>
    </r>
    <r>
      <rPr>
        <u/>
        <sz val="12"/>
        <color rgb="FF1F1F1F"/>
        <rFont val="Times New Roman"/>
      </rPr>
      <t>, 2024, Pages 183-230</t>
    </r>
  </si>
  <si>
    <t>0166-526X</t>
  </si>
  <si>
    <r>
      <rPr>
        <u/>
        <sz val="10"/>
        <color rgb="FF1155CC"/>
        <rFont val="Arial"/>
      </rPr>
      <t>https://doi.org/10.1016/bs.coac.2024.08.015</t>
    </r>
  </si>
  <si>
    <t>Dr. Priti Gupta</t>
  </si>
  <si>
    <t>Recent Advances in Electrochemical Science and Technology
(ICWEC 2023) 
Published inSpringer Proceedings in Materials</t>
  </si>
  <si>
    <t>Corrosion Inhibition Studies on Mild
Steel by Tetramethyl Ammonium
Bromide in Hydrochloric Acid Medium</t>
  </si>
  <si>
    <t>978-981-97-3958-5</t>
  </si>
  <si>
    <t>https://doi.org/10.1007/978-981-97-3958-5_13</t>
  </si>
  <si>
    <t>Dr. Varsha Brahmkhatri</t>
  </si>
  <si>
    <t>Discover Nano</t>
  </si>
  <si>
    <t>Gold nanoparticle encapsulated hybrid MOF: Synthesis, characterization, and co-drug delivery of 5-Fluorouracil and Curcumin</t>
  </si>
  <si>
    <t>Published in 11 December 2024</t>
  </si>
  <si>
    <t>2731-9229</t>
  </si>
  <si>
    <t>https://link.springer.com/article/10.1186/s11671-024-04152-z</t>
  </si>
  <si>
    <t>ACS Chemical Neuroscience</t>
  </si>
  <si>
    <t>Polymeric Nanodiscs Comprising 5-Fluorouracil for Inhibition of Protein Aggregation and Their Anti-Alzheimer’s Activity in the Drosophila Model</t>
  </si>
  <si>
    <t>Published 18 December 2024</t>
  </si>
  <si>
    <t>1948-7193</t>
  </si>
  <si>
    <r>
      <rPr>
        <u/>
        <sz val="10"/>
        <color rgb="FF1155CC"/>
        <rFont val="Arial"/>
      </rPr>
      <t>https://pubs.acs.org/doi/10.1021/acschemneuro.4c00458</t>
    </r>
  </si>
  <si>
    <t>Journal of Hazardous Materials Advances</t>
  </si>
  <si>
    <t>Recent Developments in Melamine Detection: Applications of Gold and Silver Nanostructures in Colorimetric and Fluorometric Assays</t>
  </si>
  <si>
    <r>
      <rPr>
        <u/>
        <sz val="12"/>
        <color rgb="FF1155CC"/>
        <rFont val="Times New Roman"/>
      </rPr>
      <t>Volume 17</t>
    </r>
    <r>
      <rPr>
        <sz val="12"/>
        <color rgb="FF1F1F1F"/>
        <rFont val="Times New Roman"/>
      </rPr>
      <t>, February 2025, 100553</t>
    </r>
  </si>
  <si>
    <t>2772-4166</t>
  </si>
  <si>
    <r>
      <rPr>
        <u/>
        <sz val="10"/>
        <color rgb="FF1155CC"/>
        <rFont val="Arial"/>
      </rPr>
      <t>https://doi.org/10.1016/j.hazadv.2024.100553</t>
    </r>
  </si>
  <si>
    <t>Journal of Food Composition and Analysis</t>
  </si>
  <si>
    <t>New Frontiers in Polyphenol Analysis: A Review of Electrochemical Sensors and Commercial Devices Enhancing Food and Beverage Analysis</t>
  </si>
  <si>
    <r>
      <rPr>
        <u/>
        <sz val="12"/>
        <color rgb="FF1155CC"/>
        <rFont val="Times New Roman"/>
      </rPr>
      <t>Volume 140</t>
    </r>
    <r>
      <rPr>
        <sz val="12"/>
        <color rgb="FF1F1F1F"/>
        <rFont val="Times New Roman"/>
      </rPr>
      <t>, April 2025, 107161</t>
    </r>
  </si>
  <si>
    <t>1096-0481</t>
  </si>
  <si>
    <r>
      <rPr>
        <u/>
        <sz val="10"/>
        <color rgb="FF1155CC"/>
        <rFont val="Arial"/>
      </rPr>
      <t>https://doi.org/10.1016/j.jfca.2024.107161</t>
    </r>
  </si>
  <si>
    <t>Dr. I. Pakrudheen</t>
  </si>
  <si>
    <t>Ceramics International</t>
  </si>
  <si>
    <t>Template-free synthesis of the highly ordered, efficient nano Nd2O3 -TiO2 for visible-light-driven photocatalytic degradation of Rhodamine B</t>
  </si>
  <si>
    <t>Published 6 February 2025.</t>
  </si>
  <si>
    <t>1873-3956</t>
  </si>
  <si>
    <r>
      <rPr>
        <u/>
        <sz val="10"/>
        <color rgb="FF1155CC"/>
        <rFont val="Arial"/>
      </rPr>
      <t>https://doi.org/10.1016/j.ceramint.2024.12.107</t>
    </r>
  </si>
  <si>
    <t>Dr Ayyappa Bathinapatla</t>
  </si>
  <si>
    <t>Journal of hazardous materials advannces</t>
  </si>
  <si>
    <t>Impact of plastic contaminants on marine ecosystems and advancement in the detection of micro/nano plastics: A review</t>
  </si>
  <si>
    <t xml:space="preserve">2772-4166
</t>
  </si>
  <si>
    <r>
      <rPr>
        <u/>
        <sz val="10"/>
        <color rgb="FF1155CC"/>
        <rFont val="Arial"/>
      </rPr>
      <t>https://doi.org/10.1016/j.hazadv.2025.100736</t>
    </r>
  </si>
  <si>
    <t xml:space="preserve">Dr Prabhat Gautum </t>
  </si>
  <si>
    <t>Indian Journal of Pure &amp; Applied Physics (IJPAP)</t>
  </si>
  <si>
    <t>Q3/Scopus</t>
  </si>
  <si>
    <t>Bench Top Process and Their Scalability for Industrial Production of Nanoparticles Insights</t>
  </si>
  <si>
    <t>0019-5596</t>
  </si>
  <si>
    <t>https://doi.org/10.56042/ijpap.v63i5.18117</t>
  </si>
  <si>
    <r>
      <rPr>
        <u/>
        <sz val="12"/>
        <color rgb="FF1155CC"/>
        <rFont val="Times New Roman"/>
      </rPr>
      <t>Nano‐Biosensor Technologies for Diagnosis of Infectious Diseases</t>
    </r>
    <r>
      <rPr>
        <u/>
        <sz val="12"/>
        <color rgb="FF000000"/>
        <rFont val="Times New Roman"/>
      </rPr>
      <t xml:space="preserve"> (Book by Wiley-scrivener publishers)</t>
    </r>
  </si>
  <si>
    <t>Role of Nanomaterials in the Development of Nanobiosensors for Infectious Diseases</t>
  </si>
  <si>
    <r>
      <rPr>
        <u/>
        <sz val="10"/>
        <color rgb="FF1155CC"/>
        <rFont val="Arial"/>
      </rPr>
      <t>https://doi.org/10.1002/9781394287697.ch3</t>
    </r>
  </si>
  <si>
    <t xml:space="preserve">Dr Suvitha A </t>
  </si>
  <si>
    <t>Experimental and DFT perspectives: exploring spectral, linear and nonlinear optical properties of p-nitrophenol complex crystal for NLO applications</t>
  </si>
  <si>
    <t>Published 24 September 2024</t>
  </si>
  <si>
    <t>https://link.springer.com/article/10.1007/s10854-024-13512-5</t>
  </si>
  <si>
    <t xml:space="preserve">Dr S S Hegde </t>
  </si>
  <si>
    <t>Inorganic Chemistry Communications</t>
  </si>
  <si>
    <t>Fabrication of SnSe nanostructures visible light photodetectors</t>
  </si>
  <si>
    <t>Published 9 October 2024</t>
  </si>
  <si>
    <t>1879-0259</t>
  </si>
  <si>
    <t>https://www.sciencedirect.com/science/article/abs/pii/S1387700324012656</t>
  </si>
  <si>
    <t>Dr. S S Hegde</t>
  </si>
  <si>
    <t>Journal of Photochemistry and Photobiology A: Chemistry</t>
  </si>
  <si>
    <t>Remarkable NH3 gas sensing performance of spray deposited Tb doped WO3
thin films at room temperature</t>
  </si>
  <si>
    <t>Published 19 October 2024</t>
  </si>
  <si>
    <t>1873-2666</t>
  </si>
  <si>
    <t>https://doi.org/10.1016/j.jphotochem.2024.116087</t>
  </si>
  <si>
    <t>Dr. M. Antony Lilly Grace</t>
  </si>
  <si>
    <t>Bulletin of Materials Science</t>
  </si>
  <si>
    <t>Fabrication of Ag injection in Bi2S3 (AgBiS2) thin films for photoelectrochemical cell applications</t>
  </si>
  <si>
    <t>Published 23 August 2024</t>
  </si>
  <si>
    <t>0973-7669</t>
  </si>
  <si>
    <t>https://doi.org/10.1007/s12034-024-03290-5</t>
  </si>
  <si>
    <t>Dr.A.Suvitha</t>
  </si>
  <si>
    <t xml:space="preserve">International Conference on Recent Advancements in Materials Science and Technology 2024 (ICRAMST 24) , Published in Springer Proceedings </t>
  </si>
  <si>
    <t>FT-IR, UV, NMR, Spectral Examinations Report of 2-(2,4-Difluorophenyl)-1,3-Bis-(1,2,4-Triazol-1-yl) Propan-2-ol on the Basis of Boosting Electric and Optical Properties Using DFT</t>
  </si>
  <si>
    <t>1867-4941</t>
  </si>
  <si>
    <t>https://link.springer.com/chapter/10.1007/978-3-031-69970-2_13</t>
  </si>
  <si>
    <t>Quantum Computational and Spectroscopic Investigation (UV), MEP, HOMO-LUMO, Pharmacokinetic Studies of Meloxicam: A DFT Study</t>
  </si>
  <si>
    <t>https://link.springer.com/chapter/10.1007/978-3-031-69970-2_8</t>
  </si>
  <si>
    <t>National Conference on Nanomaterials (NCN-2024) 11/07/2024 - 12/07/2024 Tamilnadu, India</t>
  </si>
  <si>
    <t>Optimization of Thermal and Rheological Performance in Non-Polar Binary Fluids Using Hybrid CuO Nanoparticles</t>
  </si>
  <si>
    <t>1742-6596</t>
  </si>
  <si>
    <t>https://iopscience.iop.org/article/10.1088/1742-6596/2886/1/012010</t>
  </si>
  <si>
    <t>Investigation  of  Dielectric  Behavior  of  CuO Nanofluids  with  Mixed  Alcohol-Amine  Solvents: Butanol-Diethylamine  and  Isopropanol- Diethylamine</t>
  </si>
  <si>
    <t>https://iopscience.iop.org/article/10.1088/1742-6596/2886/1/012009</t>
  </si>
  <si>
    <t>Investigation on Synthesis, Crystal Growth, Structure, NLO properties, and Computational studies of an Inorganic-Organic Hybrid Material: Tetrabromo zincate (II) Piperazinium</t>
  </si>
  <si>
    <t>Published 9 December 2024</t>
  </si>
  <si>
    <t>https://doi.org/10.1016/j.inoche.2024.113620</t>
  </si>
  <si>
    <t xml:space="preserve">Dr.Suvitha A </t>
  </si>
  <si>
    <t>National Conference on Nanomaterials (NCN-2024)
Journal of Physics: Conference Series</t>
  </si>
  <si>
    <t xml:space="preserve"> Journal of the Iranian Chemical Society </t>
  </si>
  <si>
    <t>Solvothermal method synthesized SnS nanoplates composites for electrochemical sensing of toxic ions Hg2+ and Pb2+</t>
  </si>
  <si>
    <t>1735-2428</t>
  </si>
  <si>
    <r>
      <rPr>
        <u/>
        <sz val="10"/>
        <color rgb="FF1155CC"/>
        <rFont val="Arial"/>
      </rPr>
      <t>https://doi.org/10.1007/s13738-024-03145-0</t>
    </r>
  </si>
  <si>
    <t>Appl. Phys. A</t>
  </si>
  <si>
    <t>Remarkable fast-response visible light photodetectors based on SnS thin films on silicon substrates</t>
  </si>
  <si>
    <t>Published 06 January 2025</t>
  </si>
  <si>
    <t>1432-0630</t>
  </si>
  <si>
    <r>
      <rPr>
        <u/>
        <sz val="10"/>
        <color rgb="FF1155CC"/>
        <rFont val="Arial"/>
      </rPr>
      <t>https://doi.org/10.1007/s00339-024-08189-w</t>
    </r>
  </si>
  <si>
    <t>Optical Materials</t>
  </si>
  <si>
    <t xml:space="preserve">High performance application of antimony doped indium  sulfide thin films: Preparation, characterizationa dn optical studies </t>
  </si>
  <si>
    <t>1873-1252</t>
  </si>
  <si>
    <t>https://www.sciencedirect.com/science/article/abs/pii/S0925346725002630</t>
  </si>
  <si>
    <t>Frontiers in Toxicology</t>
  </si>
  <si>
    <t>Comprehensive overview of the toxicities of small-molecule cryoprotectants for carnivorous spermatozoa: foundation for computational cryobiotechnology</t>
  </si>
  <si>
    <t>2673-3080</t>
  </si>
  <si>
    <t>https://www.frontiersin.org/journals/toxicology/articles/10.3389/ftox.2025.1477822/full</t>
  </si>
  <si>
    <t>Heterocyclic Letters</t>
  </si>
  <si>
    <t>Dihydo isoxazole scaffolds: Design, Synthesis and Biological evolution</t>
  </si>
  <si>
    <t>2231–3087</t>
  </si>
  <si>
    <t>https://drive.google.com/file/d/1A1VrBOvOYjbaSnDm5wQzkk6JTl3r4FGi/view?usp=drive_link</t>
  </si>
  <si>
    <t>Sudarshana R</t>
  </si>
  <si>
    <t>Yes
B Divyashree( 6th sem ECE)</t>
  </si>
  <si>
    <t xml:space="preserve">International Journal of Self_Propagating High- Temperature Synthesis </t>
  </si>
  <si>
    <t>Solid State Self Propagating Combustion Synthesis of Surface Oxidized Copper Nanoparticles and Specific Cpacitance studies</t>
  </si>
  <si>
    <t xml:space="preserve"> 1061-3862</t>
  </si>
  <si>
    <t>https://drive.google.com/drive/folders/15PXlCNveHApEzOX1RuvDuKKgxcYdZfVl?usp=drive_link</t>
  </si>
  <si>
    <t>Materials Chemistry and Physics</t>
  </si>
  <si>
    <t>Enhanced oxygen ion conductivity in La2Zr2-xTixO7 based pyrochlore electrolyte for intermediate temperature solid oxide fuel cell fabrication</t>
  </si>
  <si>
    <r>
      <rPr>
        <u/>
        <sz val="10"/>
        <color rgb="FF1155CC"/>
        <rFont val="Arial"/>
      </rPr>
      <t>https://doi.org/10.1016/j.matchemphys.2025.131188</t>
    </r>
  </si>
  <si>
    <t>Dr. Prabhat Gautam</t>
  </si>
  <si>
    <t>Rasayan J. Chem.</t>
  </si>
  <si>
    <t>Tuning the properties of push-pull molecuar systems via  fluorine (F), trifluoromethyl (CF3) and
pentafluorosulfanyl (SF5) group substitution</t>
  </si>
  <si>
    <t>June 2025 (Accepted)</t>
  </si>
  <si>
    <t>ISSN: 0974-1496(Print)
ISSN: 0976-0083(Online)</t>
  </si>
  <si>
    <r>
      <rPr>
        <sz val="10"/>
        <rFont val="Arial"/>
      </rPr>
      <t xml:space="preserve">Accepted: 
</t>
    </r>
    <r>
      <rPr>
        <u/>
        <sz val="10"/>
        <color rgb="FF000000"/>
        <rFont val="Arial"/>
      </rPr>
      <t xml:space="preserve">
https://drive.google.com/drive/folders/1sqomThjYS-oJMFahuq9_9Z0hQ9TLCzXg?usp=sharing</t>
    </r>
  </si>
  <si>
    <t>Manjunath V Gudur</t>
  </si>
  <si>
    <t>Published in Nov - 2024</t>
  </si>
  <si>
    <t>https://iopscience.iop.org/article/10.1088/1402-4896/ad8c01</t>
  </si>
  <si>
    <t xml:space="preserve">Manjunath V Gudur and Naveen Kumar G N </t>
  </si>
  <si>
    <t>Sushma T V</t>
  </si>
  <si>
    <t>ICBMESH2025</t>
  </si>
  <si>
    <t>Cardiothoracic ratio for Congenital Heart Disease Detection using Deep learning</t>
  </si>
  <si>
    <t>Accepted March 2025</t>
  </si>
  <si>
    <t>https://drive.google.com/file/d/1pRAC7YffXF1tmbPxit2tXC8FVjkUpIE3/view?usp=drive_link</t>
  </si>
  <si>
    <t>Privacy-Preserving Data Analysis using Decentralized Blockchain-Based Authentication with Zero-Knowledge Cloud Auditing</t>
  </si>
  <si>
    <t>https://drive.google.com/drive/u/0/folders/1iZj2sTu2uQaGZvJFDMImshR5c7lDG7d1</t>
  </si>
  <si>
    <t>Patent Details AY 24-25</t>
  </si>
  <si>
    <r>
      <rPr>
        <b/>
        <u/>
        <sz val="11"/>
        <color rgb="FF1155CC"/>
        <rFont val="Calibri"/>
      </rPr>
      <t>S.No</t>
    </r>
    <r>
      <rPr>
        <b/>
        <sz val="11"/>
        <color theme="1"/>
        <rFont val="Calibri"/>
      </rPr>
      <t>.</t>
    </r>
  </si>
  <si>
    <t>Patent Application No.</t>
  </si>
  <si>
    <t>Status of Patent (Published / Granted)</t>
  </si>
  <si>
    <t>Inventor/s Name</t>
  </si>
  <si>
    <t>Title of the Patent</t>
  </si>
  <si>
    <t>Applicant/s Name</t>
  </si>
  <si>
    <r>
      <rPr>
        <b/>
        <sz val="11"/>
        <color rgb="FF000000"/>
        <rFont val="Calibri, Arial"/>
      </rPr>
      <t>Patent Filed Date (</t>
    </r>
    <r>
      <rPr>
        <b/>
        <sz val="10"/>
        <color rgb="FF000000"/>
        <rFont val="Calibri"/>
      </rPr>
      <t xml:space="preserve">DD/MM/YYYY) </t>
    </r>
  </si>
  <si>
    <r>
      <rPr>
        <b/>
        <sz val="11"/>
        <color rgb="FF000000"/>
        <rFont val="Calibri, Arial"/>
      </rPr>
      <t>Patent Published Date / Granted Date (</t>
    </r>
    <r>
      <rPr>
        <b/>
        <sz val="10"/>
        <color rgb="FF000000"/>
        <rFont val="Calibri"/>
      </rPr>
      <t>DD/MM/YYYY)</t>
    </r>
  </si>
  <si>
    <t xml:space="preserve">   Published proof link</t>
  </si>
  <si>
    <t>422112-001</t>
  </si>
  <si>
    <t>Design grant</t>
  </si>
  <si>
    <t>Hanumantha Ravi, K.Meenakshi</t>
  </si>
  <si>
    <t>Mat</t>
  </si>
  <si>
    <t>Educational Toy</t>
  </si>
  <si>
    <t>Hanumantha Ravi, K.Meenakshi, CMRIT</t>
  </si>
  <si>
    <t>https://drive.google.com/file/d/1_acHJucvUnNODfV7RmoN_vCDEEQ2-ByU/view?usp=sharing</t>
  </si>
  <si>
    <t>Two-in-one Mechanical Pencil</t>
  </si>
  <si>
    <t>Balaji C, CMRIT</t>
  </si>
  <si>
    <t>23/09//2024</t>
  </si>
  <si>
    <t>https://drive.google.com/file/d/1owEMsOp4u_tHNjWVaHNDJYz_xMo23hUY/view?usp=drive_link</t>
  </si>
  <si>
    <t>Filed</t>
  </si>
  <si>
    <t>Dr. Parthasarathy P &amp; Dr. Venkatesh M</t>
  </si>
  <si>
    <t>Hydrazine-Assisted Synthesis of High Performance MXene/rGO Nanocomposites</t>
  </si>
  <si>
    <t>Dr. Parthasarathy P, Dr. Venkatesh M, CMRIT</t>
  </si>
  <si>
    <t>20/09/2024</t>
  </si>
  <si>
    <t>Dr. Venkatesh M &amp; Dr. Parthasarathy P</t>
  </si>
  <si>
    <t>Graphene Nanogrid FET Biosensors for Ultra
Low Viral Protein Detection</t>
  </si>
  <si>
    <t>Dr. Venkatesh M, Dr. Parthasarathy P, CMRIT</t>
  </si>
  <si>
    <t>KASHIF AHMED</t>
  </si>
  <si>
    <t>SUN TRACKING SOLAR TREE</t>
  </si>
  <si>
    <t>28-06-2024</t>
  </si>
  <si>
    <t>published</t>
  </si>
  <si>
    <t>Mrs. KANIKA AGRAWAL</t>
  </si>
  <si>
    <t>AI-ASSISTED LOW CARBON FOOTPRINT CONCRETE MIXTURES FOR SUSTAINABLE CONSTRUCTION</t>
  </si>
  <si>
    <t>29/08/2024</t>
  </si>
  <si>
    <t>https://drive.google.com/file/d/1Wdt3kVOAWrNxxvh8mYOUhXsK8WThjnMf/view?usp=sharing</t>
  </si>
  <si>
    <t xml:space="preserve">Filed </t>
  </si>
  <si>
    <t>Prof. Vyshali Rao K P, Mr. Chethan B, Mr. Navneethram V K</t>
  </si>
  <si>
    <t>Pneumatically Cleanable Railbin</t>
  </si>
  <si>
    <t>Prof. Vyshali Rao K P, Mr. Chethan B, Mr. Navneethram V K, CMRIT</t>
  </si>
  <si>
    <t>27/09/2024</t>
  </si>
  <si>
    <t>EcoFynd Biodegradable Twine</t>
  </si>
  <si>
    <t>Organic Care Body Brush</t>
  </si>
  <si>
    <t>M_Patent</t>
  </si>
  <si>
    <t>Predictive Maintenance and Defect Analysis System for Electronic Gadgets using Explainable AI(XAI)</t>
  </si>
  <si>
    <t>M Patent_ 2024-Aug-ISE-T002</t>
  </si>
  <si>
    <t>DR. M. Poorani</t>
  </si>
  <si>
    <t>Portable Step stool - An Enhanced Footrest</t>
  </si>
  <si>
    <t>https://drive.google.com/drive/folders/1GNPti1g5ixRy9ml7w0QAqCPKxBDHHV76?usp=sharing</t>
  </si>
  <si>
    <t>Smart Mobility Support for Senior Citizens</t>
  </si>
  <si>
    <t>https://drive.google.com/drive/folders/1vxdfjV6yoRSo8RxpdWkTogccxP5d655p?usp=sharing</t>
  </si>
  <si>
    <t xml:space="preserve">Dr. Geetanjali </t>
  </si>
  <si>
    <t>PROCESSOR ARCHITECTURE FOR
DIFFERENTIABLE AUTONOMOUS
DRIVING</t>
  </si>
  <si>
    <t>12.9.2024</t>
  </si>
  <si>
    <t>https://drive.google.com/drive/folders/1JZ5j_zX4rRXCiTimjyJEqlWf-md_3Nz-</t>
  </si>
  <si>
    <t>Shilpa Mangesh Pande</t>
  </si>
  <si>
    <t>IntelliPack- A Smart School Bag</t>
  </si>
  <si>
    <t>13/12/2024</t>
  </si>
  <si>
    <t>2024-Dec-ISE-T004</t>
  </si>
  <si>
    <t>Dhivya.R,CMRI</t>
  </si>
  <si>
    <t>IoT-Based Emergency Vehicle Sound Detection and Traffic Signal Preemption Using Artificial Intelligence for Prioritization</t>
  </si>
  <si>
    <t>https://drive.google.com/drive/folders/11dJ55EgEPYYtjEPYMLFVLy5aeznDWCAV?usp=drive_link</t>
  </si>
  <si>
    <t>Method to detect the presence of a device with wireless
communication capability</t>
  </si>
  <si>
    <t>Preethi A, CMRIT</t>
  </si>
  <si>
    <t>22/11/2024</t>
  </si>
  <si>
    <t>Dr Meenakshi R Patil,Dr Richa Tengshe, Dr Sridevi S</t>
  </si>
  <si>
    <t>Wearable sensor based Foetus Health Monitoring Device</t>
  </si>
  <si>
    <t>Dr Meenakshi Patil</t>
  </si>
  <si>
    <t>Dr. Srividya R</t>
  </si>
  <si>
    <t xml:space="preserve">AN INNOVATIVE AUTOMATED WASTE SEGREGATOR POWERED USING RENEWABLE RESOURCE </t>
  </si>
  <si>
    <t>17/12/24</t>
  </si>
  <si>
    <t>M-PATENT(2024-Dec-ISE-T001)</t>
  </si>
  <si>
    <t>filed</t>
  </si>
  <si>
    <t>Dr. Venkatesh Naik</t>
  </si>
  <si>
    <t xml:space="preserve">Telescope pole chainsaw for easy cocunut plucking </t>
  </si>
  <si>
    <t>https://drive.google.com/drive/u/1/folders/1AWvfhGWIQQcdRhZCfld41Cdv6Ko4pjHF</t>
  </si>
  <si>
    <t xml:space="preserve">Nidhi Joshi Parsai </t>
  </si>
  <si>
    <t>Iot driven Tamper evident sealing and monitoring syetem for secure pckage delivery system</t>
  </si>
  <si>
    <t>27/12/2024</t>
  </si>
  <si>
    <t>30/01/2025</t>
  </si>
  <si>
    <t>M_Patent (2024-Dec-ISE-T007)</t>
  </si>
  <si>
    <t>Dr S.Vijayalakshmi</t>
  </si>
  <si>
    <t>Next-Generation Smart Water Bottle: AI-Driven Hydration bottle</t>
  </si>
  <si>
    <t>17.12.2024</t>
  </si>
  <si>
    <t>Anshika Shukla, Priyanka.S.Talekar</t>
  </si>
  <si>
    <t>DUAL-MODEL DRIVER DROWSINESS DETECTION SYSTEM USING VOICE AND EYE TRACKING</t>
  </si>
  <si>
    <t>18.10.2024</t>
  </si>
  <si>
    <t>Priyanka.S.Talekar, Anshika Shukla</t>
  </si>
  <si>
    <t>REAL TIME POTHOLE DEPTH-WIDTH DETECTION USING SONAR(SOUND NAVIGATION AND RANGING) TECHNOLOGY ON WATER</t>
  </si>
  <si>
    <t>7.11.2024</t>
  </si>
  <si>
    <t>IOT BASED VOICE ASSISTANT EDUCATING DEVICE FOR VISUALLY IMPAIRED STUDENTS</t>
  </si>
  <si>
    <t>2.12.2024</t>
  </si>
  <si>
    <t xml:space="preserve"> Dr. Viji K, Dr. Chitra K</t>
  </si>
  <si>
    <t xml:space="preserve">	A DC-Microgrid connected fast electric vehicle charging system</t>
  </si>
  <si>
    <t>28/12/2024</t>
  </si>
  <si>
    <t>Prof. Ashutosh Srivastava
Dr. P Susheelkumar P</t>
  </si>
  <si>
    <t>Low-Power Versatile Capacitive Sensor with RFID for Reliable Performance in Variable Conditions</t>
  </si>
  <si>
    <t>Prof. Ashutosh Srivastava
Dr. P Susheelkumar P
CMRIT</t>
  </si>
  <si>
    <t>17/12/2024</t>
  </si>
  <si>
    <t xml:space="preserve">
Dr. P Susheelkumar P , Prof. Ashutosh Srivastava</t>
  </si>
  <si>
    <t>High Gain andMore ResponsiveError-FreeInductive Sensor inVariableEnvironmentalConditions</t>
  </si>
  <si>
    <t>17/01/2025</t>
  </si>
  <si>
    <t>Gomathi T, Dhivya R, CMRIT</t>
  </si>
  <si>
    <t>CellThermaSync</t>
  </si>
  <si>
    <t>23/12/2024</t>
  </si>
  <si>
    <t>Daya Rameshbhai Thummar</t>
  </si>
  <si>
    <t>Solar-Powered Drip Irrigation System with Dual Modes for Indoor and Outdoor Plants</t>
  </si>
  <si>
    <t>Daya Rameshbhai Thummar,CMRIT</t>
  </si>
  <si>
    <t>Smart Animal Deterrent system for farmland</t>
  </si>
  <si>
    <t>K.Rajalakshmi,CMRIT</t>
  </si>
  <si>
    <t>30/12/2024</t>
  </si>
  <si>
    <t>Prof. Anaswara Venunath</t>
  </si>
  <si>
    <t>Smart Pen for scanning handwritten text with Real time meaning and translation</t>
  </si>
  <si>
    <t>https://drive.google.com/drive/folders/1natnJWJqYpkprUJzLKDk1VYXMbSHBeBB?usp=drive_link</t>
  </si>
  <si>
    <t>Prof. Apurva Chaudhari</t>
  </si>
  <si>
    <t>Wearable Hand Band with Long Flexible Bending Wire and Universal Phone Holder</t>
  </si>
  <si>
    <t>13/02/2025</t>
  </si>
  <si>
    <t>Mandatory Patent</t>
  </si>
  <si>
    <t>ANN MATHEWS</t>
  </si>
  <si>
    <t>Intelligent Vision Suport for Visually Impaired</t>
  </si>
  <si>
    <t>26/12/2024</t>
  </si>
  <si>
    <t>PERSONALIZED AUTOMATIC ELEVATOR EXPERIENCE SYSTEM USING BIOMETRIC/SMARTCARDS</t>
  </si>
  <si>
    <t>NOVY JACOB, NAVYA V.K</t>
  </si>
  <si>
    <t>Adaptive AI-Driven Smart Charging Network for Electric Vehicles with Dynamic Energy Redistribution</t>
  </si>
  <si>
    <t>21/01/2025</t>
  </si>
  <si>
    <t>Filled</t>
  </si>
  <si>
    <t xml:space="preserve">AI-Powered IOT devices for predictive maintenance in smart cities </t>
  </si>
  <si>
    <t>Additional Patent (2025-Feb-ISE-T002)</t>
  </si>
  <si>
    <t>Dr.KAVITHA.D, Dr.Meenakshi Patil</t>
  </si>
  <si>
    <t>Voice controlled home automation system using NLP</t>
  </si>
  <si>
    <t>25/1/2025</t>
  </si>
  <si>
    <t>Wearable blood leak detector during haemodialysis</t>
  </si>
  <si>
    <t>Nandini Rao G , Prof. Ashutosg Srivastava</t>
  </si>
  <si>
    <t>Dr.Ananth Kumar M.S. &amp; Dr. Niranjan L</t>
  </si>
  <si>
    <t>Smart Helmet
with Wind-SpeedActivated Visor
Mechanism.</t>
  </si>
  <si>
    <t>18-01-2025</t>
  </si>
  <si>
    <t>A naked eye cancer cells detection system and implementation method with a defect-based 2D photonic crystal structure</t>
  </si>
  <si>
    <t>09.01.2025</t>
  </si>
  <si>
    <t>Pooja Goud,Ranjini K</t>
  </si>
  <si>
    <t>“Smart tag enabled Blanket system for theft detection in Indian Railway AC Coaches”</t>
  </si>
  <si>
    <t>Smart Attendance System using Multi-Face Recognition for Cohort Attendance Automation</t>
  </si>
  <si>
    <t>14/02/2025</t>
  </si>
  <si>
    <t>202441071247 A</t>
  </si>
  <si>
    <t>INTELLIGENT HYDROPONIC FARMING WITH IOT-DRIVEN SENSOR DATA ANALYSIS</t>
  </si>
  <si>
    <t>Madhu G.C, CMRIT</t>
  </si>
  <si>
    <t>Dr. saba tahseen</t>
  </si>
  <si>
    <t>Smart Agricultural Drone System for Precision Farming</t>
  </si>
  <si>
    <t>Dr. saba Tahsee, CMRIT</t>
  </si>
  <si>
    <t>`31/12/2024</t>
  </si>
  <si>
    <t>Anaswara Venunadh, Vijayasanthi,Suruchi</t>
  </si>
  <si>
    <t>Automatic Table Cleaner using UV Light Sterilization</t>
  </si>
  <si>
    <t>14/03/25</t>
  </si>
  <si>
    <t>28/03/2025</t>
  </si>
  <si>
    <t>2025-Jan-ISE-I002</t>
  </si>
  <si>
    <t>IoT-Enabled, AI-Driven Integrated System for Real-Time Blood Management, Ambulance Navigation, and Dynamic Traffic Control in Emergency Medical Services</t>
  </si>
  <si>
    <t>451462-001</t>
  </si>
  <si>
    <t xml:space="preserve">V.Ilango,K.Venkateswaran,SRIDHAR N,Panchikattil
Susheelkumar
Sreedharan
</t>
  </si>
  <si>
    <t>Spraying Machine</t>
  </si>
  <si>
    <t>SRIDHAR N</t>
  </si>
  <si>
    <t>Keka Mukhopadhyaya</t>
  </si>
  <si>
    <t>IOT BASED DEVICE FOR RAIN AND SUN SHADE</t>
  </si>
  <si>
    <t>Keka Mukhopadhyaya,CMRIT</t>
  </si>
  <si>
    <t>REAL-TIME FETALAND MATERNAL HEALTH
MONITORING WITH INTEGRATED WEARABLE
DEVICE</t>
  </si>
  <si>
    <t>Dr. Naveen Kumar G N, CMRIT</t>
  </si>
  <si>
    <t>Smart bed monitoring the sleep cycles and various health metrics display</t>
  </si>
  <si>
    <t>2024-Aug-ISE-T007</t>
  </si>
  <si>
    <t>K ABHIJITH SARALAYA</t>
  </si>
  <si>
    <t>AI-OPTIMIZED METHOD FOR PRODUCING CARBON NANOTUBES
FROM PLASTIC WASTE USING THERMAL DECOMPOSITION</t>
  </si>
  <si>
    <t>16-08-2024</t>
  </si>
  <si>
    <t>14-03-2025</t>
  </si>
  <si>
    <t>LINK PROOF</t>
  </si>
  <si>
    <t>Kanika Agrawal</t>
  </si>
  <si>
    <t>Blockchain-Enabled Solution for Safeguarding
 Health Records.</t>
  </si>
  <si>
    <t>https://drive.google.com/drive/folders/1iVseuRNRbdfo_6p0-MC42sY9EXbfMwL8?usp=sharing</t>
  </si>
  <si>
    <t>Eco friendly yoga mats with water hyacinth</t>
  </si>
  <si>
    <t>Patent</t>
  </si>
  <si>
    <t>SMART ADAPTIVE DETACHABLE AUTOMATED SPIKES SOLE FOR HIKING AND TREKKING SHOES</t>
  </si>
  <si>
    <t>14/03/2025</t>
  </si>
  <si>
    <t>MAndatory_Patent_2024-25</t>
  </si>
  <si>
    <t>“ NECKBAND WITHOUT EARPIECES
 THAT SHOOTS DIRECTED SOUND ”</t>
  </si>
  <si>
    <t>Smart IoT Spike Buster</t>
  </si>
  <si>
    <t>17/03/2025</t>
  </si>
  <si>
    <t>acknowledgement.pdf</t>
  </si>
  <si>
    <t xml:space="preserve">Ms Rencita Maria Colaco </t>
  </si>
  <si>
    <t>RightWrite Slate: Intelligent Handwriting Assistant</t>
  </si>
  <si>
    <t xml:space="preserve">Rencita Maria Colaco </t>
  </si>
  <si>
    <t>28/3/2025</t>
  </si>
  <si>
    <t>https://drive.google.com/drive/u/0/folders/1aSYBDYtFpQwp-Hqw2xEcBnPH8o7arzU2</t>
  </si>
  <si>
    <t>Dr Sam Gilvine</t>
  </si>
  <si>
    <t>Dynamic AI-Powered Smart Pricing System with Raspberry Pi or Retail Optimization</t>
  </si>
  <si>
    <t>https://drive.google.com/drive/u/0/folders/1R500f51SPPxcZfza8-MDdYtT_ksGF2wz</t>
  </si>
  <si>
    <t>Dr Sam Gilvine                         (Extra for 2025-2026)</t>
  </si>
  <si>
    <t>GrowBot: Smart AI for Effortless Indoor Gardening</t>
  </si>
  <si>
    <t>16/03/2025</t>
  </si>
  <si>
    <t>https://drive.google.com/drive/u/0/folders/1WGmCEeC_cPweGTsnMP6JeJk5krBgPQIh</t>
  </si>
  <si>
    <t>SmartPuff: AI Pillow for Posture, Snore, and Sleep Quality Detection</t>
  </si>
  <si>
    <t>Dr. Rinisha Bagaria</t>
  </si>
  <si>
    <t>26/06/2025</t>
  </si>
  <si>
    <t>https://drive.google.com/drive/u/0/folders/1dVsUk8rDOFsrhxfY9fz5dqM3pNWlZkOG</t>
  </si>
  <si>
    <t>Vijay Anand P</t>
  </si>
  <si>
    <t>Intelligent IoT-Enabled Heel Rehabilitation System with AI-Based Predictive Recovery Analysis</t>
  </si>
  <si>
    <t>17.6.25</t>
  </si>
  <si>
    <t>https://drive.google.com/drive/folders/1kT6Ym5Bd5M0MDGxOKqGAhKGsl35fj3EE?usp=drive_link</t>
  </si>
  <si>
    <t>Vedashree L V</t>
  </si>
  <si>
    <t>Sliding Window with Integrated Dust-Removal Fiber Spring</t>
  </si>
  <si>
    <t>https://drive.google.com/drive/folders/1ygwWb8WQWx0lPM9580xbg3CUzzDroMJZ?usp=drive_link</t>
  </si>
  <si>
    <t>Ms Pratimarani</t>
  </si>
  <si>
    <t>Smart Neckband for Real Time Posture Correction</t>
  </si>
  <si>
    <t>https://drive.google.com/drive/u/0/folders/1mIi_dpGn1vUNhrTekZ_o-K2wrM7yFht1</t>
  </si>
  <si>
    <t>202441050598A</t>
  </si>
  <si>
    <t>Ms. Jareena Begum (no RCID)</t>
  </si>
  <si>
    <t>Smart Locker System using dactylogram</t>
  </si>
  <si>
    <t>Ms. Jareena Begum</t>
  </si>
  <si>
    <t>https://drive.google.com/drive/u/0/folders/1V4sDRE6s35q4euhUDK-oK932i-hiKlqJ</t>
  </si>
  <si>
    <t>Ms. Vidhyavathi Kotha (no RCID)</t>
  </si>
  <si>
    <t>AI based organic Waste Composer</t>
  </si>
  <si>
    <t>Ms. Vidhyavathi Kotha</t>
  </si>
  <si>
    <t>https://drive.google.com/drive/folders/1X5eaOHdWGmIpir-7btwPsO8iwiYudDl0?usp=drive_link</t>
  </si>
  <si>
    <t>448996-001</t>
  </si>
  <si>
    <t>K.Meenakshi</t>
  </si>
  <si>
    <t>Stress detection device</t>
  </si>
  <si>
    <t>Meenakshi, Hnaumantha Ravi, Akshit Srijan</t>
  </si>
  <si>
    <t>22.02.2025</t>
  </si>
  <si>
    <t>https://drive.google.com/file/d/1VgyLPrjylvRSCvSvrMQUPMhE2GmfTAKx/view?usp=drive_link</t>
  </si>
  <si>
    <t>457879-001</t>
  </si>
  <si>
    <t>Dr.K Meenakshi and Karthikaa Sathesh</t>
  </si>
  <si>
    <t>Social Phone</t>
  </si>
  <si>
    <t>2024-Nov-BS-T001.pdf</t>
  </si>
  <si>
    <t>SELF HEATING BOTTLE USING BATTERY FOR LIQUIDS</t>
  </si>
  <si>
    <t>P.Kavitha</t>
  </si>
  <si>
    <t>15/04/2025</t>
  </si>
  <si>
    <t>Mandatory_Patent (2025-Feb-ISE-T003)</t>
  </si>
  <si>
    <t>Dr.Gnaneswari. G, CMRIT</t>
  </si>
  <si>
    <t>Eye Gestures based interaction with smart watch UI using smart glasses</t>
  </si>
  <si>
    <r>
      <rPr>
        <u/>
        <sz val="10"/>
        <color rgb="FF1155CC"/>
        <rFont val="Arial"/>
      </rPr>
      <t>https://drive.google.com/file/d/1O74nawh67xpn-wItq2KCfwVaUbXL1Fyn/view?usp=sharing</t>
    </r>
  </si>
  <si>
    <t>I Load</t>
  </si>
  <si>
    <t>Emotion-Aware VR Systems for Integrating Adaptive Virtual Environments with Hardware-Aligned Surroundings</t>
  </si>
  <si>
    <r>
      <rPr>
        <u/>
        <sz val="10"/>
        <color rgb="FF1155CC"/>
        <rFont val="Arial"/>
      </rPr>
      <t>https://drive.google.com/file/d/1vbqt_-tTyQQ38vN2ZgvY11ryAOGrNN0Z/view?usp=sharing</t>
    </r>
  </si>
  <si>
    <t>M Load</t>
  </si>
  <si>
    <t>Pooja S, CMRIT</t>
  </si>
  <si>
    <t>AI-integrated Personalized Monitoring for Migraine Management</t>
  </si>
  <si>
    <r>
      <rPr>
        <u/>
        <sz val="10"/>
        <color rgb="FF1155CC"/>
        <rFont val="Arial"/>
      </rPr>
      <t>https://drive.google.com/file/d/1VsXZR2mU_ODkwR7LWFyN0yFEtPCMf8IO/view?usp=sharing</t>
    </r>
  </si>
  <si>
    <t>IoT-Driven Adaptive Summarization for Diverse Cognitive Needs</t>
  </si>
  <si>
    <t>13/5/2025</t>
  </si>
  <si>
    <r>
      <rPr>
        <u/>
        <sz val="10"/>
        <color rgb="FF1155CC"/>
        <rFont val="Arial"/>
      </rPr>
      <t>https://drive.google.com/file/d/1-ds4bqycDFOG2oEP8hu01ut4ENUSIW19/view?usp=sharing</t>
    </r>
  </si>
  <si>
    <t>Portable Digital Board Game Tabletop Projector</t>
  </si>
  <si>
    <t>17/04/2025</t>
  </si>
  <si>
    <t>1.  Dr. Sanchari Saha, 
2.	Aakarsh Divyam, 
3.	Anant Kumar Gupta 
4.	Ananya A Sai</t>
  </si>
  <si>
    <t>A Sensor-Driven Hydration System with Real-Time Feedback for Optimal Water Intake</t>
  </si>
  <si>
    <t>22.4.2025</t>
  </si>
  <si>
    <t>Context-Aware Mood Sensing Smart Home System with Multi-Device Control and Voice Integration Based on Full-Face Recognition</t>
  </si>
  <si>
    <t>28/4/2025</t>
  </si>
  <si>
    <t>1.Dr Chandrika,
2.Dr. Rajesh
3.Amrutha A
4.Nischitha
5.Neha A</t>
  </si>
  <si>
    <t>Energize your Mind Stay sharp in the Class</t>
  </si>
  <si>
    <t>Chandrika -CMRIT</t>
  </si>
  <si>
    <t>24/03/2025</t>
  </si>
  <si>
    <t>https://drive.google.com/drive/u/1/folders/1hIVa7l8CnhptIXFP__T1ulNStelOq77o</t>
  </si>
  <si>
    <t>Varsha Jituri</t>
  </si>
  <si>
    <t>Automated Self-Cleaning Mechanism for Solar Panels Using Passive and Active Hybrid Systems</t>
  </si>
  <si>
    <t>19/05/2025</t>
  </si>
  <si>
    <t>M_patent(2025-May-ISE-T001)</t>
  </si>
  <si>
    <t>OnePulse: Single handed gamingcontroller device</t>
  </si>
  <si>
    <t>Anaswara Venunadh,Sajal Kumar,Utkarsh Sharma,Vijay Shankar,Sameer Khan,Sushant Dhakal,Tanmay Raj</t>
  </si>
  <si>
    <t>2025-May-ISE-I001</t>
  </si>
  <si>
    <t>PORTABLE SOLAR PANEL TARP FOR TREKKING AND AGRICULTURAL
APPLICATIONS</t>
  </si>
  <si>
    <t>28/05/2025</t>
  </si>
  <si>
    <t>M_Patent(2024-Dec-ISE-T002)</t>
  </si>
  <si>
    <t>Dr.Ciyamala kushbu S</t>
  </si>
  <si>
    <t>INJECTP</t>
  </si>
  <si>
    <t>M_Patent (2024-Dec-ISE-T005)</t>
  </si>
  <si>
    <t>202541009055</t>
  </si>
  <si>
    <t>K Komala Devi</t>
  </si>
  <si>
    <t>AI Powered Multi-Crop Intercropping Recommendations for small scale farmers</t>
  </si>
  <si>
    <t>Komala Devi</t>
  </si>
  <si>
    <t>2025-Jan-ISE-T003</t>
  </si>
  <si>
    <t>Ranjini K, Pooja Goud</t>
  </si>
  <si>
    <t>Equipment for Separating Jowar Stems and Panicles During Harvest</t>
  </si>
  <si>
    <t>24/02/2025</t>
  </si>
  <si>
    <t>System and Method for Predicting Tree Uprooting Timeline for Roadside Safety Management</t>
  </si>
  <si>
    <t>13/06/2025</t>
  </si>
  <si>
    <t>Sensor Driven Solar Panel Cleaning</t>
  </si>
  <si>
    <t>S Hiten,Saket Kumar,Rohit Kumar,Rohit N Naik,Rohan Kumar Jha</t>
  </si>
  <si>
    <t>20/02/2025</t>
  </si>
  <si>
    <t>2024-Dec-ISE-T012</t>
  </si>
  <si>
    <t>Adaptive Wearable Device for Personalized Health Monitoring and Therapy</t>
  </si>
  <si>
    <t>14/6/2025</t>
  </si>
  <si>
    <t>Multipurpose Lightweight Hybrid UAV with AI Enhanced UAV network</t>
  </si>
  <si>
    <t>16/06/25</t>
  </si>
  <si>
    <t>Ch.Manasa</t>
  </si>
  <si>
    <t>Interactive Learning Pen</t>
  </si>
  <si>
    <t>17/6/2025</t>
  </si>
  <si>
    <t>M_Patent(2024-Dec-ISE-T010)</t>
  </si>
  <si>
    <t>M load</t>
  </si>
  <si>
    <t>Prof.Vijayasanthi</t>
  </si>
  <si>
    <t>AI-ENHANCED IOT FRAMEWORK FOR REAL-TIME STRAWBERRY DISEASE DIAGNOSIS AND PREVENTION</t>
  </si>
  <si>
    <t>22/10/2024</t>
  </si>
  <si>
    <t>25/10/2024</t>
  </si>
  <si>
    <t>M_Patent(2024-Oct-ISE-T001)</t>
  </si>
  <si>
    <t>Dr.Suruchi</t>
  </si>
  <si>
    <t>Machine Learning-Based Automated Sorting and Grading Systemfor Post-Harvest Processing</t>
  </si>
  <si>
    <t>2025-Mar-ISE-T003</t>
  </si>
  <si>
    <t>The adjustable SmartScan Bookmark</t>
  </si>
  <si>
    <t>M_patent(2025-Jan-ISE-I001)</t>
  </si>
  <si>
    <t>Prof.Jayashree</t>
  </si>
  <si>
    <t>An AI-Powered System for Automatic Night Blindness Detection and Evaluation</t>
  </si>
  <si>
    <t>28/04/2025</t>
  </si>
  <si>
    <t>2024-Nov-ISE-I001</t>
  </si>
  <si>
    <t>Automatic Engine Cut-off System for Two-Wheelers
Upon Left Handlebar Disengagement to Prevent
Unsafe</t>
  </si>
  <si>
    <t>30/06/2025</t>
  </si>
  <si>
    <t>https://drive.google.com/drive/folders/1cARSmCQhCy6CXSXJFBTFhXFDNHIEvVIW?usp=drive_link</t>
  </si>
  <si>
    <t>Dr.Jagadishwari</t>
  </si>
  <si>
    <t>AUTOMATED PET DISPENSER</t>
  </si>
  <si>
    <t>27/06/2025</t>
  </si>
  <si>
    <t>Multi-modal Thought Board System</t>
  </si>
  <si>
    <t>24/06/2025</t>
  </si>
  <si>
    <t>Multiclass Segregation of E-waste in Chute system</t>
  </si>
  <si>
    <t>23/06/2025</t>
  </si>
  <si>
    <t>Smart Kettle with Real-Time Water Composition Filtering and Flavor Profiling</t>
  </si>
  <si>
    <t>20/06/2025</t>
  </si>
  <si>
    <t xml:space="preserve">Novel Multi-Use Shipping Materials with Smart Biodegradable Packaging with Functional Enhancements.
</t>
  </si>
  <si>
    <t>MEDICATION REMINDER BAND WITH CARETAKER CONNECTIVITY</t>
  </si>
  <si>
    <t>Self Powered Traffic Signal System using Piezoelectric Noise Energy and Environmental Sensors</t>
  </si>
  <si>
    <t>24/6/2025</t>
  </si>
  <si>
    <t>Dr.Senthil velan  S</t>
  </si>
  <si>
    <t>Overhead Tank Water Flow based Power Generator Assisted with Dual Spring Assisted Balanced Wheel</t>
  </si>
  <si>
    <t>27.06.20205</t>
  </si>
  <si>
    <t xml:space="preserve">Prof.Harikrishnan </t>
  </si>
  <si>
    <t>Smart Water Bottle for Dehydration Detection by using Real-Time Biomarkers Sensing Technology</t>
  </si>
  <si>
    <t>M_Patent_2025-Feb-ISE-T003</t>
  </si>
  <si>
    <t>Prof.Akansha</t>
  </si>
  <si>
    <t>AI-BASED TRAINER MIRROR FOR PERSONAL FITNESS</t>
  </si>
  <si>
    <t>24/01/2025</t>
  </si>
  <si>
    <t>https://drive.google.com/drive/folders/11CAjg81Rd7N9M1ipAlLKmz3WE37L7ic6?usp=drive_link</t>
  </si>
  <si>
    <t>Prof.Neera Chaudhary</t>
  </si>
  <si>
    <t>VERSATILE DATA PREPROCESSING SYSTEM FOR DEEP LEARNING</t>
  </si>
  <si>
    <t>https://drive.google.com/drive/folders/1Yep8WhlwbjcvghjVsEQcPQWY7cK5h0Qf?usp=drive_link</t>
  </si>
  <si>
    <t>Dr. Sgara M Baligidad</t>
  </si>
  <si>
    <t>Moisture-Resistant Tubular Inline Dry Box for 3D PrintingFilament with Built-In Heating Mechanism</t>
  </si>
  <si>
    <t>https://drive.google.com/file/d/158sdTkcCf4bguSCtaia1LsRa3tKY21sC/view?usp=sharing</t>
  </si>
  <si>
    <t>Dr Harisha P</t>
  </si>
  <si>
    <t>TechShuttle: Innovative Corporate Commuting Solution</t>
  </si>
  <si>
    <t>https://drive.google.com/drive/folders/1Tuxp1QTl3RPNLoK2W_HbjtRiFBCgpg61</t>
  </si>
  <si>
    <t>Sleeping Support for Passengers inSeater bus</t>
  </si>
  <si>
    <t>https://drive.google.com/drive/folders/1mNTAalKXQCs-PSNal6Zq1hp05b1UusYc</t>
  </si>
  <si>
    <t>Dr. Puneeth Kumar N</t>
  </si>
  <si>
    <t>Wooden Replaceable Rubber Plate Stamp</t>
  </si>
  <si>
    <t>28-06-2025</t>
  </si>
  <si>
    <t>M Patent_2025-June-Mech-T001</t>
  </si>
  <si>
    <t>Natures Guardian Eco Friendly Lake Restoration and Waste Collector</t>
  </si>
  <si>
    <t>I Load Patent_2025-June-Mech-T002</t>
  </si>
  <si>
    <t>Mandatory Patent_2024-July-Mech-T001</t>
  </si>
  <si>
    <t>Design and building of a mobile biogas plant equipped with sensors for measuring pressure and temperature</t>
  </si>
  <si>
    <t>https://drive.google.com/drive/folders/1vSUhp-kk63TLsVyRN-7rxwWqd4EBJBDh?usp=sharing</t>
  </si>
  <si>
    <t>Dr S Seetha</t>
  </si>
  <si>
    <t>Ergonomic Glove for wrist support while using Mouse</t>
  </si>
  <si>
    <t>25-06-25</t>
  </si>
  <si>
    <t>https://drive.google.com/drive/folders/14SO_qjAunfZgUDyD2fzebxpq67AaJkbv?usp=drive_link</t>
  </si>
  <si>
    <t>Wireless selfie stick controlled with hand</t>
  </si>
  <si>
    <t>26th June 2025</t>
  </si>
  <si>
    <t>https://drive.google.com/drive/folders/1BYuHszlV_bebexKEmF_eqz-DEVhklE4t?usp=drive_link</t>
  </si>
  <si>
    <t>Moumita Roy, CMRIT, Mounika A, Nandan Kumar R</t>
  </si>
  <si>
    <t>A Predictive Fire Spread Model for Early Forest Fire Detection and Prevention System Utilizing AI-Powered Drones and IoT Sensors</t>
  </si>
  <si>
    <t>Moumita Roy, CMRIT</t>
  </si>
  <si>
    <t>https://drive.google.com/file/d/1V3k7OmdjbNQC4jqF-nilTmllZQ0L_inL/view?usp=sharing</t>
  </si>
  <si>
    <t>Moumita Roy, CMRIT, A N Suhas, Shashank C G</t>
  </si>
  <si>
    <t>AI-Based Empathy Measurement and Mentoring Platform for Enhanced Teacher-Student Interaction</t>
  </si>
  <si>
    <t>Moumita Roy, CMRIT, Daya R Thummar</t>
  </si>
  <si>
    <t>https://drive.google.com/drive/folders/1NuZQr-U78w0QBlQG5LKFbYEb1obNhWKm?usp=drive_link</t>
  </si>
  <si>
    <t>AI-Powered Adaptive Wound Healing Patch for Veterinary Use</t>
  </si>
  <si>
    <t>13/6/2025</t>
  </si>
  <si>
    <t>https://drive.google.com/drive/folders/1yJGdd3mXQtm8L-fuTD5anakKef-oqbyD?usp=drive_link</t>
  </si>
  <si>
    <t>AI-Powered System for Identification and Ordering of GI-Tagged Handloom Fabrics Using Computer Vision.</t>
  </si>
  <si>
    <t>21/6/2025</t>
  </si>
  <si>
    <t>https://drive.google.com/file/d/1PYLhjE34ZWITP51c-bVK-3Qf1Bbzf-Kf/view?usp=drive_link</t>
  </si>
  <si>
    <t>Dhivya R</t>
  </si>
  <si>
    <t>SleepSafe:IOT-Based Fall Prevention System For INfants/Toodlers</t>
  </si>
  <si>
    <t>Dhivya R,CMRIT,Dr.Rohini V</t>
  </si>
  <si>
    <t>14/06/2025</t>
  </si>
  <si>
    <t>https://drive.google.com/drive/folders/1YTGmwIxuBnX3aMmm5G8dLLZsK9aXHHnZ?usp=drive_link</t>
  </si>
  <si>
    <t>" FabricInsight AI -Fabric Identification and</t>
  </si>
  <si>
    <t>Varsha Pawar,CMRIT,Dhivya R, Nuha, Rakshith</t>
  </si>
  <si>
    <t>https://drive.google.com/drive/folders/1yvrTzzyT6kyxaXa92jGPjLkCkzmqD23E?usp=drive_link</t>
  </si>
  <si>
    <t>System and Method for Generating Explainable Ai powered personalized Lifestyle Recommendations from Wearable Device Data</t>
  </si>
  <si>
    <t>Varsha Pawar,CMRIT,Ashwini Patil, Rahul B,Rajesh C</t>
  </si>
  <si>
    <t>https://drive.google.com/drive/folders/14OjhQzANeQ-nhAibW06PrGw2f27eKssx?usp=drive_link</t>
  </si>
  <si>
    <t>AI/ML-Powered System for Disease Diagnosis and Personalized Homeopathic Medicine Formulation with Counterfactual Explanations"</t>
  </si>
  <si>
    <t>Varsha Pawar,CMRIT</t>
  </si>
  <si>
    <t>27/6/2025</t>
  </si>
  <si>
    <t>2025-Mar-MCA-I004</t>
  </si>
  <si>
    <t>Ashwini Patil P</t>
  </si>
  <si>
    <t>Solar-Powered AI Beekeeping System</t>
  </si>
  <si>
    <t>Ashwini Patil P,CMRIT</t>
  </si>
  <si>
    <t>25/6/2025</t>
  </si>
  <si>
    <t>https://drive.google.com/drive/folders/1hwi6Z5yEzeLkBs6dKlZ1ijiVKiXZJrp1?usp=drive_link</t>
  </si>
  <si>
    <t>HydroShield: Advanced Water Body
Surveillance</t>
  </si>
  <si>
    <t>https://drive.google.com/drive/folders/1eIDLJRgEB5v0MYjVaWKHpiO6zYZMC1H3?usp=drive_link</t>
  </si>
  <si>
    <t>Dr.Vakula Rani J</t>
  </si>
  <si>
    <t>“SYSTEM AND METHOD FOR REAL-TIME VERIFICATION AND ADVISORY OF COSMETIC PRODUCTS USING ADVANCED COMP</t>
  </si>
  <si>
    <t>Vakula Rani J,CMRIT</t>
  </si>
  <si>
    <t>https://drive.google.com/drive/u/1/folders/1pUEqqn1oKh5yTXDnpChpX4ZnAUcyFHlV</t>
  </si>
  <si>
    <t>SMART BRICK DRYING SYSTEM WITH EDGE-BASED LIGHTWEIGHT DEEP LEARNING AND SOLAR-POWERED IOT INTEGRATION</t>
  </si>
  <si>
    <t>Vakula Rani J,CMRIT,
Vinutha Y N,
Sudeep S,
Charithya MJ
Aishwarya Jakka</t>
  </si>
  <si>
    <t>https://drive.google.com/file/d/1ynKyLTbAylevaN7go3lY-QGCWwCo6NkY/view?usp=sharing</t>
  </si>
  <si>
    <t>MULTI-SENSOR AND AI-BASED PORTABLE ANALYZER DEVICE FOR HONEY ADULTERATION DETECTION</t>
  </si>
  <si>
    <t>Vakula Rani J,CMRIT,
Aishwarya Jakka</t>
  </si>
  <si>
    <t>https://drive.google.com/file/d/1y3nVR5tEDSQdQkHZuyQmw-H607szXwl1/view?usp=sharing</t>
  </si>
  <si>
    <t>LIGHTWEIGHT ML-INTEGRATED PREGNANCY MONITORING WEARABLE FOR MATERNALAND POSTPARTUM HEALTH</t>
  </si>
  <si>
    <t>Vakula Rani J,CMRIT,
Gunasheela J
Charan R
Daniel Gladson B
Aishwarya Jakka</t>
  </si>
  <si>
    <t>https://drive.google.com/drive/u/1/folders/1c_ia1zMrJhzZ2TOSnKIPt8gZA1cIIK-W</t>
  </si>
  <si>
    <t>SYSTEM AND METHOD FOR A CENTRALIZED KNOW YOUR CUSTOMER (KYC) PLATFORM WITH GEOLOCATION INTEGRATION</t>
  </si>
  <si>
    <t>V,Ilango,CMRIT</t>
  </si>
  <si>
    <t>https://drive.google.com/drive/u/1/folders/1TkhcaS8SSkbPkiAhZKM36EVNRDamrzZI</t>
  </si>
  <si>
    <t xml:space="preserve">System and Methods for Predicting Cognitive Behavioural Patterns among Social Media
Users Engaged in Digital Learning
</t>
  </si>
  <si>
    <t>https://drive.google.com/drive/folders/1vDzAruVRWZJSuXtV7XnWDU-EhPAozPHP?usp=sharing</t>
  </si>
  <si>
    <t>Ms Kavya shri, CMRIT</t>
  </si>
  <si>
    <t>AI-Enabled Smart Pepper Spray Device with Preemptive Threat Detection and
Secure Evidence Cloud Backup.</t>
  </si>
  <si>
    <t>1.7.2025</t>
  </si>
  <si>
    <t>Navaneetha M</t>
  </si>
  <si>
    <t>Smart-Lock:Call Blocking System for Two wheeler</t>
  </si>
  <si>
    <t>Predicting the Lifespan of a road using IoT and AI</t>
  </si>
  <si>
    <t>An Online UPS based on Transformer less Switched Inductor Z-Source Inverter</t>
  </si>
  <si>
    <t>16.6.2025</t>
  </si>
  <si>
    <t>https://drive.google.com/drive/folders/16nlmR-qqEglO9husp5CfJPnHYk-B0Z5J?usp=drive_link</t>
  </si>
  <si>
    <t>Smitha N</t>
  </si>
  <si>
    <t>AI-POWERED SMART SHOES FOR THE VISUALL Y
IMPAIRED</t>
  </si>
  <si>
    <t>Raveesh Hegde</t>
  </si>
  <si>
    <t>AI Based Voice Morphing Device for Content Creators</t>
  </si>
  <si>
    <t>Raveesh Hegde, CMR Institute of Technology, Bengaluru</t>
  </si>
  <si>
    <t>23.05.2025</t>
  </si>
  <si>
    <t>Mahesh Kumar Jha</t>
  </si>
  <si>
    <t>Multi Microphone Beamforming with Deep Learning</t>
  </si>
  <si>
    <t>Mahesh Kumar Jha, CMR Institute of Technology, Bengaluru</t>
  </si>
  <si>
    <t>Personalized Noise Reduction Device for Hearing Impaired Users</t>
  </si>
  <si>
    <t>Monika Singh, CMR Institute of Technology, Bengaluru</t>
  </si>
  <si>
    <t>IoT BASED SMART SHOPPING CART USING
RFID WITH SHOP MAP LAYOUT</t>
  </si>
  <si>
    <t>25.02.2025</t>
  </si>
  <si>
    <t>Sharmila K.P</t>
  </si>
  <si>
    <t>Magnetic charger adapter with phone holder and cable organizer</t>
  </si>
  <si>
    <t>MULTI MICROPHONE Beamforming with Deep Learning</t>
  </si>
  <si>
    <t>Mahesh Kumar Jha,
CMR Institute of Technology, Bengaluru</t>
  </si>
  <si>
    <t>23/05/2025</t>
  </si>
  <si>
    <t>ADVANCED LEAK DETECTION AND WATER CONSERVATION DEVICE</t>
  </si>
  <si>
    <t>23/05/2026</t>
  </si>
  <si>
    <t>Method and System for child safety on  Two wheelers</t>
  </si>
  <si>
    <t>18-6-2025</t>
  </si>
  <si>
    <t>Dr.K.Vekateswaran</t>
  </si>
  <si>
    <t>AI Assisted Plant Medicinal Spray System</t>
  </si>
  <si>
    <t>18/06/2025</t>
  </si>
  <si>
    <t>Forensic Aid: A System to Track Object Movements
in Crime Scenes Across different Time</t>
  </si>
  <si>
    <t>Abhishek javali</t>
  </si>
  <si>
    <t>18-06-2025</t>
  </si>
  <si>
    <t>Abinash Panda</t>
  </si>
  <si>
    <t>Sensor-Embedded Smart Garments for Health Monitoring</t>
  </si>
  <si>
    <t>Abinash Panda,Dr.Meenakshi Patil, CMR Institute of Technology, Bengaluru</t>
  </si>
  <si>
    <t>Kavitha N Pillai</t>
  </si>
  <si>
    <t>AI-Enabled Hair Straightener</t>
  </si>
  <si>
    <t>Dr Sridevi S</t>
  </si>
  <si>
    <t>25-06-2025</t>
  </si>
  <si>
    <t>Varroa Mite Detection in Bee Colonies using a
Hyperparameter-Free RFF-based CNN and Real-
Time Notification</t>
  </si>
  <si>
    <t>Dr. Rangeet Mitra, 
Prof. Ashutosh, 
Prof. Venkateswaran</t>
  </si>
  <si>
    <t>Green Energy-Powered Water Dispenser</t>
  </si>
  <si>
    <t>Dr. Sutapa Sarkar</t>
  </si>
  <si>
    <t>29-06-2025</t>
  </si>
  <si>
    <t>Abhishek Javali</t>
  </si>
  <si>
    <t>Lower limb airbag system for motorcycles</t>
  </si>
  <si>
    <t>20-05-2025</t>
  </si>
  <si>
    <t>Robotic Automated Ambulance for Emergency services in smart cities</t>
  </si>
  <si>
    <t>Dr Meenakshi R Patil,Dr Meenakshi R Patil,Dr Sridevi S, Sachin Aralikatti, Akarsh P, Varun N, Mahesh P, Manohar K Reddy, Shreyas M, Ganesh S and Nandan K.</t>
  </si>
  <si>
    <t>Dual Power Bank</t>
  </si>
  <si>
    <t>Meenakshi R Patil</t>
  </si>
  <si>
    <t>29/06/2025</t>
  </si>
  <si>
    <t>uploaded_files</t>
  </si>
  <si>
    <t>Dr Meenakshi R Patil, Dr Niranjan L, Dr Sridevi S, Kavya. S, Hema. R Karthik.R, Sujith and CMR Institute of Technology , Bengaluru</t>
  </si>
  <si>
    <t xml:space="preserve">Tablet Dispenser with Sensor and Speaker System and the method thereof
</t>
  </si>
  <si>
    <t>uploaded_pdf</t>
  </si>
  <si>
    <t>106/3346/2025/CHE 202541016394</t>
  </si>
  <si>
    <t xml:space="preserve">AMISHA CHANDRA,ANAGHA SRINIVAS,HARSHA DIWAKAR,PRATHAM SINHA
</t>
  </si>
  <si>
    <t xml:space="preserve">Sophiya Susan S </t>
  </si>
  <si>
    <t>25/2/2025</t>
  </si>
  <si>
    <t xml:space="preserve"> Krishna Teja Yadav CH T, Sridevi S, Pramod R, Sanath,Karthik,Manoj H S, Manoj S
</t>
  </si>
  <si>
    <t>FPGA-Based Real-Time Age Estimation System Using Retinal Imaging and Generational Data</t>
  </si>
  <si>
    <t>Krishna Teja</t>
  </si>
  <si>
    <t>25/6/25</t>
  </si>
  <si>
    <t xml:space="preserve">Eisha Akanksha, Shivani, Shruthi, Mamtha, Monika A, </t>
  </si>
  <si>
    <t>Livestock Data Management System.</t>
  </si>
  <si>
    <t>Eisha Akanksha</t>
  </si>
  <si>
    <t>Anju Das,Dr.Viji,Dr.Chitra K</t>
  </si>
  <si>
    <t>A SYSTEM FOR PREVENTING ACCIDENTS IN HAIR PIN BENDS OF HILLY AREA ROADS &amp; A METHOD THEREOF</t>
  </si>
  <si>
    <t>23/6/25</t>
  </si>
  <si>
    <t>Dr. Niranjan, Dr. Suhas, Dr. Sridhar N, Shilpa A N &amp; Praveen D Jadhav</t>
  </si>
  <si>
    <t>Smart AI-Enabled Thermal Management for PetrolStations in HighTemperature Regions</t>
  </si>
  <si>
    <t xml:space="preserve">Dr. Niranjan, Shilpa A N, Dr. Sridhar N, Praveen D Jadhav &amp; Dr. Suhas </t>
  </si>
  <si>
    <t>Dynamic Path Clearance Strategies for
Emergency Vehicles in Smart Traffic Systems</t>
  </si>
  <si>
    <t>25.06.2025</t>
  </si>
  <si>
    <t>Dr.Parthasarathy P &amp; Dr.Venkatesh M</t>
  </si>
  <si>
    <t>Ultra-Scaled Double-Gate Graphene Nanoribbon GaN/InSb TFETs for Low-Power High-Performance
Biomolecule Detection</t>
  </si>
  <si>
    <t>Dr.Parthasarathy P</t>
  </si>
  <si>
    <t xml:space="preserve">Shijili PT                          Divya kumari                  Spurthy Maria Pais   </t>
  </si>
  <si>
    <t>AI-Based Smart Hair Profiling and Dynamic Product Recommendation System with Temporal and Environment</t>
  </si>
  <si>
    <t>20/6/2025</t>
  </si>
  <si>
    <t>Chandana K S</t>
  </si>
  <si>
    <t>Self-Destructing AI-Powered Emails</t>
  </si>
  <si>
    <t>27-06-2025</t>
  </si>
  <si>
    <t>Divya Kumari</t>
  </si>
  <si>
    <t xml:space="preserve">    AI-Based Smart Irrigation System for Precision Farming</t>
  </si>
  <si>
    <t>20-06-2025</t>
  </si>
  <si>
    <t>Gold nanoparticle encapsulated hybrid MOF, ZIF-8@ZIF-67: Synthesis, characterization, and drug delivery applications.</t>
  </si>
  <si>
    <t>24/08/2024</t>
  </si>
  <si>
    <t>https://drive.google.com/file/d/1M6pVzPrqcjgXbBQRNe6NS7Z6p-c9NWrE/view?usp=sharing</t>
  </si>
  <si>
    <t>Polymeric Nano discs for Efficient Drug Deliver</t>
  </si>
  <si>
    <t>https://drive.google.com/file/d/1ABBgJRwUgrc6Uye1cnlqvB01k2x2QXpA/view?usp=sharing</t>
  </si>
  <si>
    <t xml:space="preserve">Dr. Ayyappa Bathinapatla </t>
  </si>
  <si>
    <t xml:space="preserve">CHEM </t>
  </si>
  <si>
    <t>Efficient electrocatalytic water splitting enabled by RGO/Bi2Se3 NPS synergistic interface</t>
  </si>
  <si>
    <t>https://drive.google.com/file/d/1DQwY1Io126uYSDmFlfzEusFfBJRten1Y/view?usp=drive_link</t>
  </si>
  <si>
    <t>SMART POWER CONSUMPTION METER WITH AC-DC CONVERSION.</t>
  </si>
  <si>
    <t>https://drive.google.com/drive/u/0/folders/1VLOVVPF3T_ISiKDlh_SBiZfCvJSempZd</t>
  </si>
  <si>
    <t>Dr Raveesha K H</t>
  </si>
  <si>
    <t>SCIENCE TOY-SOLENOID MAGNETIC FIELD</t>
  </si>
  <si>
    <t>https://iprsearch.ipindia.gov.in/RQStatus/CBR_Viewer.aspx?DocketNo=NDYyNDg=&amp;Date=MDcvMDUvMjAyNQ==&amp;Ipo=SVBPMg==</t>
  </si>
  <si>
    <t>Apparatus and Method to Degrade Methyl Blue Dye</t>
  </si>
  <si>
    <t>Sudarshana Raman</t>
  </si>
  <si>
    <t>17/06/2025</t>
  </si>
  <si>
    <t>https://drive.google.com/drive/folders/1VC9dsnU22Z3KBqG_dgZaXccgS_UuodP-?usp=drive_link</t>
  </si>
  <si>
    <t>Dr.I.Pakrudheen</t>
  </si>
  <si>
    <t>Method for Upcycling Plastic Waste into Carbon-Based Adsorbents for Efficient Removal of Antihypertensive Drugs from Contaminated Water Sources</t>
  </si>
  <si>
    <t>24/06/25</t>
  </si>
  <si>
    <t>PATENT eFiling.pdf</t>
  </si>
  <si>
    <t>Dr.Vighneshwar Seetaram Bhat</t>
  </si>
  <si>
    <t>ELECTROMAGNETIC WAVE KIT FOR CLASSROOM-</t>
  </si>
  <si>
    <t>Dr. Vighneshwar Seetaram Bhat</t>
  </si>
  <si>
    <t>20/05/2025</t>
  </si>
  <si>
    <t>https://drive.google.com/drive/folders/19exb9JZ7Znb6OhKREs585k4bsooMmAOG?usp=drive_link</t>
  </si>
  <si>
    <t>A LOW COST OFFLINE SYSTEM FOR SECURE AND TRACEABLE DOCUMENT SHARING USING ENCRYPTED QR ACCESS AND WATERMARKING</t>
  </si>
  <si>
    <t>https://drive.google.com/drive/folders/1HQ6xmK1RiILu3tALsWgrw2ceyD1NoDFU?usp=drive_link</t>
  </si>
  <si>
    <t>Dr. Dhananjay Dey</t>
  </si>
  <si>
    <t>Fabrication of novel halogen-bond assisted 2D inorganic-organic hybrid halide perovskite (IPA)2(FA)Pb2I7</t>
  </si>
  <si>
    <t>25/06/25</t>
  </si>
  <si>
    <t>https://drive.google.com/drive/folders/1F4y_riLy_yoRMYleutJA4GPEjf9aXjIL?usp=drive_link</t>
  </si>
  <si>
    <t>Carbon Dioxide Capture Device</t>
  </si>
  <si>
    <t>https://drive.google.com/drive/folders/1SMzbWA4AhyDuEkbGiUHvo5mBzBGbPuhL?usp=drive_link</t>
  </si>
  <si>
    <t>Dr. Fazlur Rahaman</t>
  </si>
  <si>
    <t>INDOLE-2-CARBOHYDRAZIDE AND ITS COMPLEXESFOR ANTIMICROBIAL ACTIVITIES</t>
  </si>
  <si>
    <t>https://drive.google.com/drive/folders/14xrbbWcrmn-kgcTplt9eC_1DztaF030w?usp=drive_link</t>
  </si>
  <si>
    <t>PORTABLE WATER RECYCLING SYSTEM</t>
  </si>
  <si>
    <t>https://drive.google.com/file/d/1pJgTkyO6eaDUjX6suSaE6xfiG9DJNPBz/view?usp=sharing</t>
  </si>
  <si>
    <t>Dr. Satyabrata Das</t>
  </si>
  <si>
    <t>A Robotic Device for Capturing Cockroaches Alive</t>
  </si>
  <si>
    <t>receipt.pdf</t>
  </si>
  <si>
    <t>A Robotic Device for Detecting and Capturing Small Lizards in Indoor Environments</t>
  </si>
  <si>
    <t>Receipt.pdf</t>
  </si>
  <si>
    <t>Ramdas Balan</t>
  </si>
  <si>
    <t>Fe-Layered hydrochar from garden waste</t>
  </si>
  <si>
    <t>https://drive.google.com/file/d/1suGG7WvrStAjgiVw8je9saIGrTPAciS-/view?usp=drive_link</t>
  </si>
  <si>
    <t xml:space="preserve">Dr Rajesh Gopal </t>
  </si>
  <si>
    <t>Wearbale health motering and ealier warning system</t>
  </si>
  <si>
    <t>https://drive.google.com/file/d/1okzEzkDHpFqSAVKg7IHFuZGlsCdzkC51/view?usp=drive_link</t>
  </si>
  <si>
    <t>Smart waste management using AI and Ml</t>
  </si>
  <si>
    <t>https://drive.google.com/file/d/19TFk8II9Lh930gs3wqkyS0FvzBdq5b9K/view?usp=drive_link</t>
  </si>
  <si>
    <t>4-PHENYLTHIAZOLE-2-SEMICARBAZIDE AND ITSCOMPLEXES FOR ANTIMICROBIAL ACTIVITIES</t>
  </si>
  <si>
    <t>https://drive.google.com/drive/folders/1EsKp8TY5vx4nUq-yYPf6nsAbAuIm4fWM?usp=sharing</t>
  </si>
  <si>
    <t>Finger strapped small size portable Pulse Oximeter</t>
  </si>
  <si>
    <t>https://drive.google.com/file/d/1hLwarIyx57mftX0I03QL1I_9_rCgqt-m/view?usp=sharing</t>
  </si>
  <si>
    <t>Shymansundar Hegde</t>
  </si>
  <si>
    <t>AI POWERED CHILD PROTECTION SYSTEM FOR HAZARDOUS AREAS IN
HOUSING SOCIETIES</t>
  </si>
  <si>
    <t>Dr. Sushma T V, Prof.  Abhishek J</t>
  </si>
  <si>
    <t>Adaptive noise cancellation using DeepLearning</t>
  </si>
  <si>
    <t>. 202341026997</t>
  </si>
  <si>
    <t>Granted</t>
  </si>
  <si>
    <t>Dr Shreekanth M Prabhu, Prof. Smitha N  202341026997</t>
  </si>
  <si>
    <t>Novel Print System with Intelligent Intermediation</t>
  </si>
  <si>
    <t>Dr Shreekanth M Prabhu, Prof. Smitha N</t>
  </si>
  <si>
    <t>https://drive.google.com/file/d/1K22S9APLmzGDrXMm-7z0czTJo-N5-JBn/view?usp=sharing</t>
  </si>
  <si>
    <t>S.No.</t>
  </si>
  <si>
    <t xml:space="preserve">Dept. </t>
  </si>
  <si>
    <t>Name of Faculty</t>
  </si>
  <si>
    <t>Title of the Proposal</t>
  </si>
  <si>
    <r>
      <rPr>
        <b/>
        <sz val="10"/>
        <color theme="1"/>
        <rFont val="&quot;Times New Roman&quot;"/>
      </rPr>
      <t xml:space="preserve">Proposal Amount Submitted
</t>
    </r>
    <r>
      <rPr>
        <b/>
        <sz val="10"/>
        <color rgb="FFFF0000"/>
        <rFont val="&quot;Times New Roman&quot;"/>
      </rPr>
      <t>(write in full digits. e.g. 300000 not as 3L)</t>
    </r>
  </si>
  <si>
    <t>Date of Submission
(DD-MM-YYYY)</t>
  </si>
  <si>
    <t>Application ID</t>
  </si>
  <si>
    <t>Agency Name</t>
  </si>
  <si>
    <t>Agency Type</t>
  </si>
  <si>
    <t>Current status</t>
  </si>
  <si>
    <t>Sanctioned Amount</t>
  </si>
  <si>
    <t>Amount Received</t>
  </si>
  <si>
    <t>Remarks</t>
  </si>
  <si>
    <t>Sanctioned letter</t>
  </si>
  <si>
    <t>VENKATESWARAN K, Sridhar N, Niranajan L</t>
  </si>
  <si>
    <t>Remote Sensing and GIS Tools for Ecology Biodiversity         and 
Conservation</t>
  </si>
  <si>
    <t>1,00,000/-</t>
  </si>
  <si>
    <t>Ref. 282024002059, SQUID-1983-VK-9024</t>
  </si>
  <si>
    <t>SERB</t>
  </si>
  <si>
    <t>Financial Assistance For Seminar/Symposia</t>
  </si>
  <si>
    <t>Rejected</t>
  </si>
  <si>
    <t>Development of High performance nanocomposite materials for enhanced CO2 capture and reduction towards environmental Mitigation based on Cu functionalized ZnO Quantum Dot decorated with 2D-Fe-Mxene</t>
  </si>
  <si>
    <t>33,91,000/-</t>
  </si>
  <si>
    <t>23/07/2024</t>
  </si>
  <si>
    <t>TPN / 112364</t>
  </si>
  <si>
    <t>DST</t>
  </si>
  <si>
    <t>DST-Funded Project</t>
  </si>
  <si>
    <t>Submitted</t>
  </si>
  <si>
    <t xml:space="preserve"> Large-Scale Fabrication of Carbon/Graphene-Based Quantum-Dot
 Devices for Universal and Sustainable Quantum Technologies      </t>
  </si>
  <si>
    <t>22,65,000/-</t>
  </si>
  <si>
    <t>TTDF24QSTL005</t>
  </si>
  <si>
    <t>DST - Quantum</t>
  </si>
  <si>
    <t>One-week seminar series on AI-driven semiconductor Revolution in Intelligent &amp; Industrial Systems
 Shaping India's Technological Growth</t>
  </si>
  <si>
    <t>SSY/2024/001025</t>
  </si>
  <si>
    <t>Development of an encapsulated multienzyme doped Quantum Dots based POCT Device for detection of multiple
 neurotransmitters</t>
  </si>
  <si>
    <t>32,84,000/-</t>
  </si>
  <si>
    <t>23/09/2024</t>
  </si>
  <si>
    <t xml:space="preserve"> TPN / 115958</t>
  </si>
  <si>
    <t xml:space="preserve"> Bio-Enabler: Next-Gen Microbial BioGenics for Sustainable Metal Ion Extraction
 and Advanced Bio-Chemical Production</t>
  </si>
  <si>
    <t>36,88,000/-</t>
  </si>
  <si>
    <t>24/09/2024</t>
  </si>
  <si>
    <t>BT/TEMP24220/BMH-01/24</t>
  </si>
  <si>
    <t>DBT</t>
  </si>
  <si>
    <t>Dr.Viji K &amp; Dr. Susheelkumar</t>
  </si>
  <si>
    <t>Industrial Internet of Things (IIoT) - Enabled technologies, challenges, and future directions</t>
  </si>
  <si>
    <t>18/09/24</t>
  </si>
  <si>
    <t>ATAL</t>
  </si>
  <si>
    <t>AICTE</t>
  </si>
  <si>
    <t>Dr. Venkateswaran K &amp; Dr. Abinash Panda</t>
  </si>
  <si>
    <t>Green Photonics: A smart way towards Sustainable Future</t>
  </si>
  <si>
    <t>13/09/2024</t>
  </si>
  <si>
    <t>ATAL FDP</t>
  </si>
  <si>
    <t>Building Resilient and Sustainable Healthcare Systems: AI, Telemedicine, and Green Innovations for India's Future</t>
  </si>
  <si>
    <t xml:space="preserve">Silicon Quantum Qubits: The Future of Semiconductor-Based Quantum Computing </t>
  </si>
  <si>
    <t>Eco-Friendly Bio-Digesters for Rural Sanitation and Clean Energy</t>
  </si>
  <si>
    <t>UBA</t>
  </si>
  <si>
    <t>Smart Rural Empowerment for Sustainable Growth</t>
  </si>
  <si>
    <t>Prof.Anju Das and Dr.Viji</t>
  </si>
  <si>
    <t>Sparking Curiosity in Robotics with Fun Experiments for School  Kids</t>
  </si>
  <si>
    <t xml:space="preserve">Community Learning Hub with Solar-Powered Micro Server and Collaborative Teaching Model  </t>
  </si>
  <si>
    <t>1,00,000</t>
  </si>
  <si>
    <t>C-1406/KA/CHB/PISE/1LAKH/5</t>
  </si>
  <si>
    <t>Dr. Kesavamoorthy R.</t>
  </si>
  <si>
    <t>Establishing a Rural Entrepreneurship Cell and Local Innovation Hub for Sustainable Rural Development: A Student-Led Initiative</t>
  </si>
  <si>
    <t>C-1406/KA/CHB/EITIS/1LAKH/1</t>
  </si>
  <si>
    <t>Approved. yet to get sanction order.</t>
  </si>
  <si>
    <t>Navaneetha N</t>
  </si>
  <si>
    <t xml:space="preserve">Montessori Coaching Application for Anganavadi teachers and students </t>
  </si>
  <si>
    <t>C-1406/KA/CHB/CREI/1LAKH/9</t>
  </si>
  <si>
    <t>Ms.Anshika Shukla, Ms. Priyanka S Talekar</t>
  </si>
  <si>
    <t>SpokenText: An Application to Support Early Literacy Development</t>
  </si>
  <si>
    <t>24/9/2024</t>
  </si>
  <si>
    <t>GOI</t>
  </si>
  <si>
    <t xml:space="preserve">Prof.Arvind R and Prof.Sugunadevi C </t>
  </si>
  <si>
    <t>Designing and distributing low-cost kits for improved soil health management: An affordable approach to soil testing kits</t>
  </si>
  <si>
    <t>28/09/2024</t>
  </si>
  <si>
    <t>Dr. Suruchi  &amp; Dr. Adwitiya Sinha</t>
  </si>
  <si>
    <t>Portable Solar Harvesting Device for Generating Sustainable Energy for Daily Needs in Rural Villages</t>
  </si>
  <si>
    <t>Dr, M. Poorani &amp; Dr. S. Seetha</t>
  </si>
  <si>
    <t>The AI Creator: Generating Text, Images, and Video with Generative Intelligence</t>
  </si>
  <si>
    <t>14/09/2024</t>
  </si>
  <si>
    <t>ATAL FDP - Online</t>
  </si>
  <si>
    <t>Dr.Sam Gilvine Samuvel and Mr. Vijay Anand</t>
  </si>
  <si>
    <t xml:space="preserve">Program for Developing All Inclusive Agricultural Sectors </t>
  </si>
  <si>
    <t>C-1406/KA/CHB/RCAD/1LAKH/2</t>
  </si>
  <si>
    <t>Dr.Viji &amp; Prof.Anju Das</t>
  </si>
  <si>
    <t>Installation of Board Plotter (BoardBot) for Village School</t>
  </si>
  <si>
    <t>Dr. Kesavamurthy, Dr Preethi Jacob</t>
  </si>
  <si>
    <t>Building Bridges, Creating Opportunities: Rural Tourism for Livelihood and Entrepreneurship Development</t>
  </si>
  <si>
    <t>1, 00000</t>
  </si>
  <si>
    <t>C-1406/KA/BUR/RLED/1LAKH/5</t>
  </si>
  <si>
    <t>Received Grant on 25.7.2024</t>
  </si>
  <si>
    <t>Dr.Venkateshwaran,Dr.Niranjan L,Dr.Sridhar N</t>
  </si>
  <si>
    <t xml:space="preserve">Development and Installation of Effective Insect Trapping System in cropfields of channasandra village </t>
  </si>
  <si>
    <t>Dr.Niranjan L</t>
  </si>
  <si>
    <t>EcoHarvest Dehydrator: Design and Development of IoT-based Solar-Powered Drying for Vegetables, Fruits &amp; Herbs</t>
  </si>
  <si>
    <t>Dr Sharmila K P</t>
  </si>
  <si>
    <t xml:space="preserve">Year-Round Farming for Sustainable Livelihoods and Rural Agripreneurship
</t>
  </si>
  <si>
    <t>Dr Pappa M</t>
  </si>
  <si>
    <t>Popularizing Electronics among School Kids through Basic Attractive Experiments</t>
  </si>
  <si>
    <t>C-1406/KA/BUR/RLED/1LAKH/7</t>
  </si>
  <si>
    <t>Ongoing</t>
  </si>
  <si>
    <t>Setting Up Science Laboratory</t>
  </si>
  <si>
    <t>C-1406/KA/BUR/RLED/1LAKH/8</t>
  </si>
  <si>
    <t xml:space="preserve">Dr, Vakula Rani J </t>
  </si>
  <si>
    <t>FarmVet Assist: Online Livestock healthcare App</t>
  </si>
  <si>
    <t>C-1406/KA/CHB/RIFE/1LAKH/4</t>
  </si>
  <si>
    <t>Not Santioned</t>
  </si>
  <si>
    <t>Dr. Geetanjali , Dr. Ramesh</t>
  </si>
  <si>
    <t>Solar Panel Lifecycle Management</t>
  </si>
  <si>
    <t>ICSSR-RMM-2024-2989</t>
  </si>
  <si>
    <t>ICSSR</t>
  </si>
  <si>
    <t>Solar Cooling Systems for Water Pumps under KUSUM: A Sustainable Solution for Hot Climates</t>
  </si>
  <si>
    <t>Sep_2024</t>
  </si>
  <si>
    <t>Rencita Maria Colaco</t>
  </si>
  <si>
    <t>Village Gateway: Your Gateway to Available Facilities</t>
  </si>
  <si>
    <t>C-1406/KA/CHB/RIFE/50K/3</t>
  </si>
  <si>
    <t>Dr.V.ILANGO</t>
  </si>
  <si>
    <t xml:space="preserve">AI-Powered Personalized Learning Ecosystem that integrates  Emotional Intelligence
</t>
  </si>
  <si>
    <t>2284000/-</t>
  </si>
  <si>
    <t>29/10/20204</t>
  </si>
  <si>
    <t>ICSSR-RMM-2024-3939</t>
  </si>
  <si>
    <t xml:space="preserve">Result Pending </t>
  </si>
  <si>
    <t>Dynamic Portfolio Optimization Using Quantum-Inspired Tensor Networks</t>
  </si>
  <si>
    <t>1400000/-</t>
  </si>
  <si>
    <t>IISc-Q-Pragathi Cohort   II</t>
  </si>
  <si>
    <t>IISc</t>
  </si>
  <si>
    <t>Ms.Anshika Shukla,                                                   Ms. Priyanka S Talekar</t>
  </si>
  <si>
    <t>AI for Student Success: A Research Project on Personalized Learning and Adaptive Assessment in Indian Education</t>
  </si>
  <si>
    <t>ICSSR-SES-2024-639</t>
  </si>
  <si>
    <t>Indian Council Of Social Science Research</t>
  </si>
  <si>
    <t>Submitted. Yet to receive acceptance/rejection notification</t>
  </si>
  <si>
    <t>Research on Quantum Computing Techniques for Advanced Financial Analytics</t>
  </si>
  <si>
    <t>05-Nov.2024</t>
  </si>
  <si>
    <t>NA , filled google form,</t>
  </si>
  <si>
    <t>IISc-Q_Pragathi</t>
  </si>
  <si>
    <t>Prof. Jayashree &amp; Dr. Suruchi</t>
  </si>
  <si>
    <t>Engaging Young Minds: Web App Basics for Primary Students.</t>
  </si>
  <si>
    <t>27/09/2025</t>
  </si>
  <si>
    <t>Dr. Srividya R and Prof. Nidhi Joshi</t>
  </si>
  <si>
    <t>“ANTARJALA: An Innovative Water Saving Strategy using RenewableResources for Rural Areas”</t>
  </si>
  <si>
    <t>C-1406/KA/CHB/WRMT/1LAKH/2</t>
  </si>
  <si>
    <t>Dr Mohan N &amp; Prof.Sachin Aralikatti</t>
  </si>
  <si>
    <t>Sustainable Solutions in Healthcare: A Business Approach to Smart Medical Waste Disposal BIN (SMWDB), Using Autoclave sterilization technology.</t>
  </si>
  <si>
    <t>15000/-</t>
  </si>
  <si>
    <t>Nov_30th_2024</t>
  </si>
  <si>
    <t>48S_MBA_0058</t>
  </si>
  <si>
    <t>KSCST</t>
  </si>
  <si>
    <t>GOK</t>
  </si>
  <si>
    <t>5000/-</t>
  </si>
  <si>
    <t>https://www.kscst.org.in/spp/48_series/08_48S_SPP_sanctioned_projects_26March2025.pdf</t>
  </si>
  <si>
    <t>AI-Enhanced Video Steganography for Secure Weather Data Transmission and Disaster Prediction</t>
  </si>
  <si>
    <t>5811640/-</t>
  </si>
  <si>
    <t>23-11-2024</t>
  </si>
  <si>
    <t>ANRF/ECRG/2024/006315/ENS/ver-1</t>
  </si>
  <si>
    <t>ANRF</t>
  </si>
  <si>
    <t>Not Sanctioned</t>
  </si>
  <si>
    <t>Dr. Suruchi</t>
  </si>
  <si>
    <t>Knowldege graphs and Analysis for research communities</t>
  </si>
  <si>
    <t>3684420/-</t>
  </si>
  <si>
    <t>19-11-2024</t>
  </si>
  <si>
    <t>ANRF/ECRG/2024/005530</t>
  </si>
  <si>
    <t>A Quantum Computing-Based Hybrid Information Retrieval and Answer System for Solving Mathematical Problems</t>
  </si>
  <si>
    <t>13,90,000/-</t>
  </si>
  <si>
    <t>Q-Pragathi Cohort- II scheme of QuRP</t>
  </si>
  <si>
    <t>Quantum Research Park, IISc Bengaluru</t>
  </si>
  <si>
    <t>Submiitted</t>
  </si>
  <si>
    <t xml:space="preserve">Development of Multifunctional hybrid Nanocomposite 
based on Boron Nitride-Graphene-TMD for Enhanced Thermal Management in 
Hypersonic Missile Systems </t>
  </si>
  <si>
    <t>34,61,000/-</t>
  </si>
  <si>
    <t>DRDO</t>
  </si>
  <si>
    <t>Design and Fabrication of TiO2/Graphene-CNT Composite 2D Semiconductor Materials for Advanced TFET Quantum Device Applications</t>
  </si>
  <si>
    <t xml:space="preserve">30,04,000/- </t>
  </si>
  <si>
    <t>DST-PM-ECRG</t>
  </si>
  <si>
    <t>Design and Development of Poly-enzyme Scaffold-Based POC Devices for Simultaneous Detection of Serotonin and Epinephrine in Physiological and Synthetic Body Fluids</t>
  </si>
  <si>
    <t>23,28,000/-</t>
  </si>
  <si>
    <t>Development of Polyelectrolyte-gold Coated Coreless Optical Fiber Sensor for Non-invasive Detection of Diabetes Through VOCs Biomarkers</t>
  </si>
  <si>
    <t>32,84,210/-</t>
  </si>
  <si>
    <t>17-11-2024</t>
  </si>
  <si>
    <t>ANRF/ECRG/2024/001098/ENS</t>
  </si>
  <si>
    <t>PM-ECRG</t>
  </si>
  <si>
    <t>Dr Sushma T V, Dr Sridhar N</t>
  </si>
  <si>
    <t>AICTE Approved online ATAL FDP on "Artificial Intelligence in Satellite Image Processing &amp; Applications"</t>
  </si>
  <si>
    <t xml:space="preserve">AICTE </t>
  </si>
  <si>
    <t>Government</t>
  </si>
  <si>
    <t>Sanctioned</t>
  </si>
  <si>
    <t>UC,SC yet to submit</t>
  </si>
  <si>
    <t>Dr. Sagar Baligidad, Dr. Niranjan L</t>
  </si>
  <si>
    <t>AICTE Approved online ATAL FDP on "Unlocking value in Modern Manufacturing using Artificial INtelligence""</t>
  </si>
  <si>
    <t>3,50,000/-</t>
  </si>
  <si>
    <t>Received Grant on 30.11.2024</t>
  </si>
  <si>
    <t>AI-Enhanced Hybrid Feature Selection for Improved Diagnostic Accuracy in Gynaecological Cancer Detection</t>
  </si>
  <si>
    <t>20-11-2024</t>
  </si>
  <si>
    <t>CAR-2024-01-000686</t>
  </si>
  <si>
    <t>ICMR</t>
  </si>
  <si>
    <t xml:space="preserve"> AI-Driven Multimodal Research System for Early Detection and Personalized Intervention in Global Mental Health</t>
  </si>
  <si>
    <t>13.Jan.2025</t>
  </si>
  <si>
    <t>TPN / 123451</t>
  </si>
  <si>
    <t>DST-NSTMIS</t>
  </si>
  <si>
    <t>Research and Development of an AI-Based Science, Technology, and Innovation (STI) Observatory for Enhanced Policy Decision-Making</t>
  </si>
  <si>
    <t>20.Jan.2025</t>
  </si>
  <si>
    <t>TPN / 123604</t>
  </si>
  <si>
    <t xml:space="preserve">ROOTERY-Automated Hydroponics urban farming </t>
  </si>
  <si>
    <t>10, 00,000/-</t>
  </si>
  <si>
    <t xml:space="preserve">NIDHI PRAYAS grant </t>
  </si>
  <si>
    <t>NIDHI PRAYAS start up grant</t>
  </si>
  <si>
    <t>Dr. Chitra K, Dr. Viji K</t>
  </si>
  <si>
    <t>Advancing 6G Networks with Network Data Analytics Functions: Machine Learning for Security, Privacy, and Resource Efficiency</t>
  </si>
  <si>
    <t>43,00,000</t>
  </si>
  <si>
    <t>19-12-24</t>
  </si>
  <si>
    <t>Ministry of Electronics and Information Technology</t>
  </si>
  <si>
    <r>
      <rPr>
        <sz val="10"/>
        <color theme="1"/>
        <rFont val="Arial"/>
      </rPr>
      <t xml:space="preserve"> Dr. Viji K, </t>
    </r>
    <r>
      <rPr>
        <sz val="10"/>
        <color theme="1"/>
        <rFont val="Arial"/>
      </rPr>
      <t>Dr. Chitra K</t>
    </r>
  </si>
  <si>
    <t>Efficient AI Controlled Power Management System for DC-Microgrid 
with Bi-directional GaN Converter</t>
  </si>
  <si>
    <t>32,00,000</t>
  </si>
  <si>
    <t>13-01-25</t>
  </si>
  <si>
    <t>TPN / 123505</t>
  </si>
  <si>
    <t>NSTMIS</t>
  </si>
  <si>
    <t>Point-of-Care Electrochemical Sensor with Multi-Enzyme Nanocomposite Scaffold for Early Detection of Multiple Neurotransmitters in Psychiatric Diagnostics</t>
  </si>
  <si>
    <t>21,06,000</t>
  </si>
  <si>
    <t>21-11-2024</t>
  </si>
  <si>
    <t>CAR-2024-01-000298</t>
  </si>
  <si>
    <t>Quantum Dot-Driven POCT for Neurotransmitter Detection
 Innovation and SampT Potential</t>
  </si>
  <si>
    <t>28,86,000</t>
  </si>
  <si>
    <t>TPN / 122321</t>
  </si>
  <si>
    <t>DSR-NSTMIS</t>
  </si>
  <si>
    <t>Dr. P. Susheelkumar S &amp; Dr. Meenakshi R. Patil</t>
  </si>
  <si>
    <t>AI based Border Surveillance and Security Alert System for Armed forces using Energy Efficient Sensor Networks</t>
  </si>
  <si>
    <t>48,86,200</t>
  </si>
  <si>
    <t>13-01-2025</t>
  </si>
  <si>
    <t>TPN / 123414</t>
  </si>
  <si>
    <t>Dr. P. Susheelkumar S &amp; Dr. Viji K</t>
  </si>
  <si>
    <t>IoT and Cloud Computing with AWA</t>
  </si>
  <si>
    <t>26-09-2024</t>
  </si>
  <si>
    <t>Dr. Meenakshi Patil &amp; Dr. P. Susheelkumar S.</t>
  </si>
  <si>
    <t>AI &amp; Analytics Innovation Program</t>
  </si>
  <si>
    <t xml:space="preserve">Enhanced Neural Network for classification of Hyperspectral Imagery using ensembled models
</t>
  </si>
  <si>
    <t>10,00,000</t>
  </si>
  <si>
    <t>17-01-2025</t>
  </si>
  <si>
    <t>RES-NRSC-2024-005</t>
  </si>
  <si>
    <t>ISRO</t>
  </si>
  <si>
    <t xml:space="preserve">Dr Vedavathi </t>
  </si>
  <si>
    <t>Investigations of UV Continuum Variability and Velocity resolved
Structure of Broad Line Regions (BLR) in Low Redshift Active Galaxies</t>
  </si>
  <si>
    <t>ANRF/IRG/2024/001068/EAS</t>
  </si>
  <si>
    <t>Anusandhan National Research Foundation</t>
  </si>
  <si>
    <t>MATHS</t>
  </si>
  <si>
    <t>Optimization Framework for Water Resource Allocation</t>
  </si>
  <si>
    <t>WISER</t>
  </si>
  <si>
    <t>IGSTC</t>
  </si>
  <si>
    <t>Dr K Meenakshi, Dr Hanumantha Ravi PVN</t>
  </si>
  <si>
    <t>OPTIMAL STRATEGIES FOR SIR EPIDEMIC MODELS IN CATTLE AND NEUTROSOPHIC FUZZY MODELLING</t>
  </si>
  <si>
    <t>Research proposal</t>
  </si>
  <si>
    <t>NBHM</t>
  </si>
  <si>
    <t>IoT driven microgrid system</t>
  </si>
  <si>
    <t>DST/NSTMIS/2025/803</t>
  </si>
  <si>
    <t>Dr. Nageswara Rao Atyam</t>
  </si>
  <si>
    <t>A Comprehensive Machine Learning-Based STI Dashboard for Viksit Bharat 2047, enabling real-time forecasting, sector-wise resource optimization, and SDG-oriented impact evaluation within a unified framework.</t>
  </si>
  <si>
    <t>49,80,000</t>
  </si>
  <si>
    <t>DST/NSTMIS/2025/297</t>
  </si>
  <si>
    <t>Dr Chanadrika N</t>
  </si>
  <si>
    <t>A study on Technology Adoption in Startup's &amp; SME's With Refrence to selected Sector's In karnataka A Frame work for ATMA Nirbhar Bharath through technological Innovations.</t>
  </si>
  <si>
    <t>DST/NSTMIS/2025/412</t>
  </si>
  <si>
    <t>Hybrid Neural Network Model for Accounting Digital Transactions</t>
  </si>
  <si>
    <t>ICAI Research Project Scheme 2024- Project Proposal</t>
  </si>
  <si>
    <t xml:space="preserve">Presented in 1st Shortlisting Committee Meeting </t>
  </si>
  <si>
    <t xml:space="preserve"> Predicting Cardiovascular
Events through skin blood flow analysis</t>
  </si>
  <si>
    <t>₹6538000</t>
  </si>
  <si>
    <t>14.02.2025</t>
  </si>
  <si>
    <t>RES-HSFC-2024-005</t>
  </si>
  <si>
    <t>Dr.Sanchari Saha (PI), Prof. Smitha N (co-PI)</t>
  </si>
  <si>
    <t>Leveraging Satellite Imagery for the Identification and Assessment of Optimal Land Cover for Sustainable Land Management.</t>
  </si>
  <si>
    <t xml:space="preserve">18,60,400
</t>
  </si>
  <si>
    <t>28.1.2025</t>
  </si>
  <si>
    <t>TPN / 124122</t>
  </si>
  <si>
    <t>Dr. Kesavamoorthy R &amp; Navaneetha M</t>
  </si>
  <si>
    <t>Revolutionizing E-Waste Management with Deep Learning Innovations</t>
  </si>
  <si>
    <t>31,35,000</t>
  </si>
  <si>
    <t>30.1.2025</t>
  </si>
  <si>
    <t>TPN / 124641</t>
  </si>
  <si>
    <t>Dr. Preethi Sheba Hepsiba &amp; Smitha N</t>
  </si>
  <si>
    <t>AI-powered multi-sensor system for real-time, non-invasive detection and quantification of pesticide and chemical residues on fresh produce to ensure food safety.</t>
  </si>
  <si>
    <t>47,10,000</t>
  </si>
  <si>
    <t>TPN / 124445</t>
  </si>
  <si>
    <t>Prof. Krishna Sowjanya K (PI) &amp; Dr. V N Manju (CO-PI)</t>
  </si>
  <si>
    <t>Advanced Persistent Threats, Breach and Botnet Detection system using network traffic analysis Area of Research Network Security</t>
  </si>
  <si>
    <t>58,76,400</t>
  </si>
  <si>
    <r>
      <rPr>
        <u/>
        <sz val="10"/>
        <color rgb="FF1155CC"/>
        <rFont val="Arial"/>
      </rPr>
      <t>RES-SAC-2024-020</t>
    </r>
  </si>
  <si>
    <t>AI-Driven Research and Development of Real-Time Health Monitoring and Predictive Analytics for Astronauts in Long-Duration Space Missions</t>
  </si>
  <si>
    <t>30.01.2025</t>
  </si>
  <si>
    <t>No id Received uploaded document submitted copy in attachment</t>
  </si>
  <si>
    <t>ISRO-GRASP</t>
  </si>
  <si>
    <t>Dr. Suruchi Sabherwal &amp; Prof . Jayashree M</t>
  </si>
  <si>
    <t>Advanced Malware Detection for Social Networks using Machine
Learning and AI</t>
  </si>
  <si>
    <t>11, 08, 0900</t>
  </si>
  <si>
    <t>30. 01. 2025</t>
  </si>
  <si>
    <t>DST/NSTMIS/2025/613</t>
  </si>
  <si>
    <t xml:space="preserve">Dr.Gomathi.T </t>
  </si>
  <si>
    <t>An Agentic AI Based W-PALS for Higher Education Learner</t>
  </si>
  <si>
    <t>24-1-2025</t>
  </si>
  <si>
    <t>TPN / 123967</t>
  </si>
  <si>
    <t>Result Pending</t>
  </si>
  <si>
    <t>Dr.K.Rajalakshmi, Dr. Gomathi T, Dr. Ilango V and Prof. Moumita Roy</t>
  </si>
  <si>
    <t>AI Driven Interactive Learning Support System Bytebuddy- an Virtual Assistant</t>
  </si>
  <si>
    <t>30-1-2025</t>
  </si>
  <si>
    <t>TPN / 124268</t>
  </si>
  <si>
    <t xml:space="preserve">Dr. Gnaneswari Gnanaguru
</t>
  </si>
  <si>
    <t xml:space="preserve">Household Energy Consumption Prediction Model based on the effect of weather conditions utilizing 
home installed energy and weather measuring equipments.
</t>
  </si>
  <si>
    <t>TPN / 124123</t>
  </si>
  <si>
    <t xml:space="preserve">Prof.Varsha
</t>
  </si>
  <si>
    <t>Blockchain-Enhanced Electronic Legal Proceedings Analysis System
with Explainable AI Integration</t>
  </si>
  <si>
    <t>TPN / 123985</t>
  </si>
  <si>
    <t xml:space="preserve">Dr.Vakula Rani                                                        </t>
  </si>
  <si>
    <t>Foldable Water Storage and Distribution: A Low-Cost Solution for Smallholder Farmers in Resource-Limited Areas</t>
  </si>
  <si>
    <t>₹22,00,000</t>
  </si>
  <si>
    <t>TPN/124374</t>
  </si>
  <si>
    <t>Dr. Sagar M B</t>
  </si>
  <si>
    <t>AI-Powered Electro-Osmotic Micro-Syringe for Targeted Anti-VEGF Therapy</t>
  </si>
  <si>
    <t>27,76,000</t>
  </si>
  <si>
    <t>TPN / 124562</t>
  </si>
  <si>
    <t>Dr.Dipansha Kumari</t>
  </si>
  <si>
    <t>Exploring the relationship between intrinsic and extrinsic geometric properties of Shapes.</t>
  </si>
  <si>
    <t>25,00,000</t>
  </si>
  <si>
    <t>31-1-2025</t>
  </si>
  <si>
    <t>TPN / 124409</t>
  </si>
  <si>
    <t>Dr.Archie Thakur</t>
  </si>
  <si>
    <t>Machine Learning Driven Dynamic Cooling System Using Nanofluids and Boundaries</t>
  </si>
  <si>
    <t>TPN/124428</t>
  </si>
  <si>
    <t>Dr.Shivakumar</t>
  </si>
  <si>
    <t>Nanoparticle-Enhanced Rayleigh-B233nard Convection A Novel Approach Integrating Bifurcation Analysis and Physics-Informed Neural Networks for Advanced Thermal Management</t>
  </si>
  <si>
    <t>TPN / 124274</t>
  </si>
  <si>
    <t>Dr. Abinash Panda, Dr. Sridhar N</t>
  </si>
  <si>
    <t>Optical Fiber Sensor Development with Polyelectrolyte-Gold Surface Modification for Detection of Kidney Diseases by Analyzing Ammonia Gas in Exhaled Breath</t>
  </si>
  <si>
    <t>28,04,000</t>
  </si>
  <si>
    <t>27.01.2025</t>
  </si>
  <si>
    <t>TPN / 124075</t>
  </si>
  <si>
    <t>Dr. P. Susheelkumar S.  &amp;           Dr. Venkateswaran K</t>
  </si>
  <si>
    <t>RF Power enabled Smart Automized Agriculture System using
Wireless Sensing Network</t>
  </si>
  <si>
    <t>45,25,000</t>
  </si>
  <si>
    <t>29.01.2025</t>
  </si>
  <si>
    <t>TPN / 123519</t>
  </si>
  <si>
    <t>Dr. Geetanjali, Prof. Ranjitha</t>
  </si>
  <si>
    <t>Advanced Data Processing Techniques for Space Applications</t>
  </si>
  <si>
    <t>40,90,000</t>
  </si>
  <si>
    <t>Not received</t>
  </si>
  <si>
    <t>Dr Ramesh P, Dr Geetanjali</t>
  </si>
  <si>
    <t>"Advanced Miniaturized Protection Architecture for
High-Efficiency DC-DC Power Conversion in
Aerospace Systems"</t>
  </si>
  <si>
    <t>Dr, Harish P &amp; Dr. venkatesh Naik</t>
  </si>
  <si>
    <t>Residual stress measurement and mitigation in high thickness AA2219 alloy friction stir welds for next generation launch vehicles</t>
  </si>
  <si>
    <t>Dr Sagar M B &amp; Dr. Harish P</t>
  </si>
  <si>
    <t>Surface finish improvement of laser Directed Energy deposition products</t>
  </si>
  <si>
    <t>Dr Sagar M B &amp; Dr. Vakula Rani</t>
  </si>
  <si>
    <t xml:space="preserve">Dr Sagar M B &amp; </t>
  </si>
  <si>
    <t>Evaluating the Printability of Carbon-PEEK Nanocomposites for Autonomous Space Construction"</t>
  </si>
  <si>
    <t>Dr Suvitha A</t>
  </si>
  <si>
    <t>Novelty in the creation of novel drugs for enhancing the immune system of women using CADD via DFT</t>
  </si>
  <si>
    <t>94,00,000</t>
  </si>
  <si>
    <t xml:space="preserve">GATES FOUNDATION </t>
  </si>
  <si>
    <t>Dr. Dipansha Kumari</t>
  </si>
  <si>
    <t>Geodesic Motion Planning for Robotic Arms in High Dimensional Configuration space</t>
  </si>
  <si>
    <t>Real time Data Processing of a Lightweight Hybrid UAV for Disaster Monitoring Applications</t>
  </si>
  <si>
    <t>Rs. 30,44,200</t>
  </si>
  <si>
    <t>25/02/25</t>
  </si>
  <si>
    <t>Not Received</t>
  </si>
  <si>
    <t>ISRO-RACs</t>
  </si>
  <si>
    <t>Design and Development of Astro agriculture system for crop monitoring</t>
  </si>
  <si>
    <t>Rs. 7,76,000</t>
  </si>
  <si>
    <t>Dr. Richa Tenghse, Dr. Meenakshi Patil, Dr.Susheelkumar S</t>
  </si>
  <si>
    <t>Development of Personalized Instrumentation for Astronauts (SAC)</t>
  </si>
  <si>
    <t>Rs. 6,30,000</t>
  </si>
  <si>
    <t>27/02/25</t>
  </si>
  <si>
    <t>Dr. Meenakshi Patil, Dr.Susheelkumar S, Dr. Richa Tenghse</t>
  </si>
  <si>
    <t>Development of Integrated Crew Health Monitoring System (HSFC</t>
  </si>
  <si>
    <t>5,00,000</t>
  </si>
  <si>
    <t>26/02/25</t>
  </si>
  <si>
    <t xml:space="preserve">Dr. Naveen Kumar G N &amp; Dr. Susheel Kumar S </t>
  </si>
  <si>
    <t>Miniaturized Circuit Protection Module for DC-DC Converters for Aerospace Applications</t>
  </si>
  <si>
    <t>6,80,000</t>
  </si>
  <si>
    <t>Dr.Sridevi S &amp; Dr.Pappa M</t>
  </si>
  <si>
    <t>Crop Health Assessment using Multispectral / Hyperspectral UAV Data and Artificial Intelligence (NRSC)</t>
  </si>
  <si>
    <t>12,84,000</t>
  </si>
  <si>
    <t>Dr. Rinisha Bagaria &amp;                Dr. Shanthi M B</t>
  </si>
  <si>
    <t>Reservoir Water Quality Monitoring Using Hyperspectral Imaging in a Mobile App</t>
  </si>
  <si>
    <t>1820000/-</t>
  </si>
  <si>
    <t>Remote Sensing-Based Crop Health Monitoring and Smart Water Management for Sustainable Farming</t>
  </si>
  <si>
    <t>30,55,000/</t>
  </si>
  <si>
    <t>28/02/25</t>
  </si>
  <si>
    <t>RACs</t>
  </si>
  <si>
    <t>Health Monitoring System and Alert Generation using AI/ML</t>
  </si>
  <si>
    <t>28/03/25</t>
  </si>
  <si>
    <t>IIRPSG-2025-01-02600</t>
  </si>
  <si>
    <t>Dr. Jagadishwari</t>
  </si>
  <si>
    <t>AI powered mental health monitoring and support system</t>
  </si>
  <si>
    <t>30/03/25</t>
  </si>
  <si>
    <t>IIRPSG-2025-01-05205</t>
  </si>
  <si>
    <t>Edge AI-Based Assistive Device for Seamless Communication Between Deaf-Mute and Hearing Individuals in Emergencies</t>
  </si>
  <si>
    <t>42,90,000</t>
  </si>
  <si>
    <t>01.04.2025</t>
  </si>
  <si>
    <t>ANRF/JBG/2025/000201/EST</t>
  </si>
  <si>
    <t>JC Bose Grant</t>
  </si>
  <si>
    <t>Smitha N(PI) &amp; Dr Sanchari Saha(Co-PI)</t>
  </si>
  <si>
    <t>Monitoring Sepsis Detection Through Unstructured Data at Varying Time Intervals</t>
  </si>
  <si>
    <t>21,65,800/-</t>
  </si>
  <si>
    <t>ANRF/JBG/2025/000280/EST</t>
  </si>
  <si>
    <t>Savitha NJ (PI)
Sagarika Behera (Co-PI)</t>
  </si>
  <si>
    <t>AI-BloodSync</t>
  </si>
  <si>
    <t>26,75,800/-</t>
  </si>
  <si>
    <t>ANRF/JBG/2025/000310/HST</t>
  </si>
  <si>
    <t>Savitha N J
Dr. Jayanthi N</t>
  </si>
  <si>
    <t>Optimized Emergency Response System for Blood Management and Traffic Clearance to Enhance Survival Rates</t>
  </si>
  <si>
    <t>29,90,000</t>
  </si>
  <si>
    <t>29.1.2025</t>
  </si>
  <si>
    <t>TPN / 124336</t>
  </si>
  <si>
    <t>BlockSTEM: Blockchain Credentials for Gamified Learning</t>
  </si>
  <si>
    <t>US $18,000</t>
  </si>
  <si>
    <t>9th April 2025</t>
  </si>
  <si>
    <t>2025 IEEE Computer Society Emerging Technologies Call for Proposals for 2025-2026 Projects</t>
  </si>
  <si>
    <t>Private</t>
  </si>
  <si>
    <t>Krishna Sowjanya K (PI)
Dr. V N Manju (Co-PI)</t>
  </si>
  <si>
    <t>Post-Quantum Cryptography-Based Blockchain Framework for Securing IoT Infrastructure in Smart Cities</t>
  </si>
  <si>
    <t>US $9500</t>
  </si>
  <si>
    <t>12.04.2025</t>
  </si>
  <si>
    <t>Development of a Web Automation Tool Using Generative AI and Agentic AI for Indian Businesses and Users</t>
  </si>
  <si>
    <t>5.4.2025</t>
  </si>
  <si>
    <t xml:space="preserve"> Emerging Tech Grants-IEEE</t>
  </si>
  <si>
    <t>AI-Driven Glaucoma Detection: Applying ML approach for Early Diagnosis and Prevention</t>
  </si>
  <si>
    <t>29.3.2025</t>
  </si>
  <si>
    <t>IIRPSG-2025-01-02822</t>
  </si>
  <si>
    <t>Dr. Abinash Panda &amp; Dr. Susheel Kumar</t>
  </si>
  <si>
    <t>Design and Development of Reconfigurable Plasmonic Sensor for Detection of Lungs and Liver Diseases Through VOCs Biomarkers</t>
  </si>
  <si>
    <t>Rs. 28,84,000</t>
  </si>
  <si>
    <t>28.03.2025</t>
  </si>
  <si>
    <t>TPN / 127926</t>
  </si>
  <si>
    <t>DST-SYST</t>
  </si>
  <si>
    <t>Mathematical Foundations of Generalization in Deep Learning Models</t>
  </si>
  <si>
    <t>Rs 19,97,700/-</t>
  </si>
  <si>
    <t>27.06.2025</t>
  </si>
  <si>
    <t>Not Available</t>
  </si>
  <si>
    <t xml:space="preserve">Dr. Srividya R </t>
  </si>
  <si>
    <t>SMART ROAD SYNC</t>
  </si>
  <si>
    <t>5,000/-</t>
  </si>
  <si>
    <t>24/11/2024</t>
  </si>
  <si>
    <t>48S_BE_1967</t>
  </si>
  <si>
    <t>Project Completed</t>
  </si>
  <si>
    <t>4,000/-</t>
  </si>
  <si>
    <t>https://drive.google.com/drive/u/0/folders/1wvgFJK9u_vJtbXSW_qpbqEKk6gnQM9vH</t>
  </si>
  <si>
    <t xml:space="preserve">An Innovative 360 degree smart device for differently abled in society </t>
  </si>
  <si>
    <t>12,21,000.00
/-</t>
  </si>
  <si>
    <t>29/03/2025</t>
  </si>
  <si>
    <t xml:space="preserve"> TPN / 127095</t>
  </si>
  <si>
    <t>DST-Scheme for Young Scientist and Technologist (SYST)</t>
  </si>
  <si>
    <t>SUBMITTED</t>
  </si>
  <si>
    <t>Dr. Srividya R and prof.Nidhi joshi</t>
  </si>
  <si>
    <t>AI BASED MULTI-CHANNEL WATER DISTRIBUTION FOR MIXED CROP IRRIGATION</t>
  </si>
  <si>
    <t>12,40,000 /-</t>
  </si>
  <si>
    <t>5.5.25</t>
  </si>
  <si>
    <t xml:space="preserve"> TPN / 130464</t>
  </si>
  <si>
    <t>DST- LIFE SCIENCE</t>
  </si>
  <si>
    <t>An automated Novel SHARPS BMW Management System</t>
  </si>
  <si>
    <t>13,20,000 /-</t>
  </si>
  <si>
    <t>TPN / 130489</t>
  </si>
  <si>
    <t>DST- ENGINEERING SCIENCE</t>
  </si>
  <si>
    <t>K Meenakshi</t>
  </si>
  <si>
    <t>Mathematical Modelling for Data Analytics and Engineering</t>
  </si>
  <si>
    <t>3,00,000</t>
  </si>
  <si>
    <t>30.4.2024</t>
  </si>
  <si>
    <t>VRN/000015/23-24</t>
  </si>
  <si>
    <t>VGST</t>
  </si>
  <si>
    <t>sanctioned</t>
  </si>
  <si>
    <t>`</t>
  </si>
  <si>
    <t>Research on AI-Powered ESG Reporting for Businesses and Institutions</t>
  </si>
  <si>
    <t>Magnetic Nanoparticles for Smart Drug Delivery Systems: A step towards precision Medicine</t>
  </si>
  <si>
    <t>21,60,494</t>
  </si>
  <si>
    <t>21/4/2025</t>
  </si>
  <si>
    <t>APU/2025/00226.</t>
  </si>
  <si>
    <t>Health Care Reserch Grant 2025</t>
  </si>
  <si>
    <t>Next-Generation Magnetic mAb Conjugates for Dual-Function Drug Delivery and Disease Monitoring</t>
  </si>
  <si>
    <t>20 ,000,00</t>
  </si>
  <si>
    <t>16/5/2025</t>
  </si>
  <si>
    <t>Mendala and Bill gates foundation</t>
  </si>
  <si>
    <t>AI-Powered Autonomous Navigation Systems for Spacecraft</t>
  </si>
  <si>
    <t>12,00,000</t>
  </si>
  <si>
    <t>24/5/2025</t>
  </si>
  <si>
    <t>AI in Decoding Tribal Art Patterns and Their Socio-Cultural Significance</t>
  </si>
  <si>
    <t>16,75,000</t>
  </si>
  <si>
    <t>22/05/2025</t>
  </si>
  <si>
    <t>TPN/133423</t>
  </si>
  <si>
    <t>DST_Policy Research Cell</t>
  </si>
  <si>
    <t>Dr. Kanika Agrawal</t>
  </si>
  <si>
    <t>Secure and safe decentralized approach to protect electronic health records.</t>
  </si>
  <si>
    <t>16,00,000</t>
  </si>
  <si>
    <t>IGC</t>
  </si>
  <si>
    <t xml:space="preserve">
Prof. Komala Devi K
Prof. Dhivya R</t>
  </si>
  <si>
    <t>Predictive Modeling of Air Quality and Health Impacts in Urban India: A Data-Driven Approach for Sustainable Policy Interventions</t>
  </si>
  <si>
    <t>35,00,000</t>
  </si>
  <si>
    <t>ISGH</t>
  </si>
  <si>
    <t>Dr. Preethi Sheba Hepsiba (PI), Dr. Sanchari Saha (Co-PI)</t>
  </si>
  <si>
    <t>Towards Smart and Safe Campuses: A Policy Study on the Use of Computer Vision in Preventing Ragging</t>
  </si>
  <si>
    <t>1,97,31900</t>
  </si>
  <si>
    <t>30.05.2025</t>
  </si>
  <si>
    <t>TPN / 131858</t>
  </si>
  <si>
    <t>DST-PRC</t>
  </si>
  <si>
    <t>Gov</t>
  </si>
  <si>
    <t>"AI-Driven Early Detection and Prediction of Diabetic Nephropathy
Using Machine Learning Techniques"</t>
  </si>
  <si>
    <t>31/01/2025</t>
  </si>
  <si>
    <t>TPN / 124507</t>
  </si>
  <si>
    <t>Deep Learning for Early Detection of Diabetic Retinopathy: A Vision-Based Approach</t>
  </si>
  <si>
    <t>Prof. Dhivya R
Prof. Komala Devi K</t>
  </si>
  <si>
    <t>AI-Powered Smart Farming: An Integrated Ensemble Approach to Groundnut Leaf Disease Prediction and Classification.</t>
  </si>
  <si>
    <t>Rs. 16,10,000/-</t>
  </si>
  <si>
    <t>An Explainable AI-Based Decision Support System for Optimizing Fertilizer and Pesticide Use in Smallholder Farms.</t>
  </si>
  <si>
    <t>Rs. 7,75,000 /-</t>
  </si>
  <si>
    <t>AI Powered Support System for Post-Traumatic Stress Disorder and Trauma Screening</t>
  </si>
  <si>
    <t>16,30,931.97</t>
  </si>
  <si>
    <t>Building a Real-Time IoT-Enabled Remote Patient Monitoring System for Chronic Disease Management.</t>
  </si>
  <si>
    <t>11,44,564.19</t>
  </si>
  <si>
    <t>Prof.Jayasree, Dr.Seetha</t>
  </si>
  <si>
    <t>Neurograph : A GNN-Driven Approach to Predict Early-Stage Parkinson’s Disease</t>
  </si>
  <si>
    <t>25/06/2025</t>
  </si>
  <si>
    <t>AI Powered Secured Step</t>
  </si>
  <si>
    <t>13,19,000.00</t>
  </si>
  <si>
    <t xml:space="preserve"> 29.5.25</t>
  </si>
  <si>
    <t>TPN / 133440</t>
  </si>
  <si>
    <t>Development of Smart and Interoperable Electric Vehicle (EV) Charging
Infrastructure with Integrated Grid Connectivity"</t>
  </si>
  <si>
    <t>47,00,000</t>
  </si>
  <si>
    <t>CPRI</t>
  </si>
  <si>
    <t>Mathematical Analysis of Power System Stability Using Differential Equations and Lyapunov Theory</t>
  </si>
  <si>
    <t>19,66,200</t>
  </si>
  <si>
    <t xml:space="preserve">NBHM </t>
  </si>
  <si>
    <t>Energy-Efficient FPGA-Based Hardware Accelerators for Neural Network Execution</t>
  </si>
  <si>
    <t>24,63,300</t>
  </si>
  <si>
    <t>Dr. Ramesh P</t>
  </si>
  <si>
    <t>Mathematical Modelling and Optimization of Next-Generation
Wireless Power Transfer Systems for Electric Vehicle Charging</t>
  </si>
  <si>
    <t>Unified Framework for Traffic Surveillance at National Level with Focus on Vulnerable Zones using Computer Vision at Edge</t>
  </si>
  <si>
    <t>1516800/-</t>
  </si>
  <si>
    <t>ANRF/ARG/2025/000165</t>
  </si>
  <si>
    <t>Anusandhan National Research Foundation (ANRF)</t>
  </si>
  <si>
    <t>Serb Online</t>
  </si>
  <si>
    <t>Enhancing IT Infrastructure Security Through Empirical Analysis of Zero-Day Threats</t>
  </si>
  <si>
    <t>1755000/-</t>
  </si>
  <si>
    <t>TPN / 134788</t>
  </si>
  <si>
    <t>India Japan Science and Technology Cooperation</t>
  </si>
  <si>
    <t>AI-Driven Early Detection System for Student Mental
 Health and Academic Wellbeing in Higher Education</t>
  </si>
  <si>
    <t>6,58,000</t>
  </si>
  <si>
    <t>ANRF/ARG/2025/000009/ENS</t>
  </si>
  <si>
    <t>AI-Driven Automated Nutrient Deficiency Diagnosis and Management System for Soybean Plants</t>
  </si>
  <si>
    <t>18/6/2025</t>
  </si>
  <si>
    <t>ANRF/ARG/2025/000012/ENS</t>
  </si>
  <si>
    <t>Smart leg elevation system for varicose veins management</t>
  </si>
  <si>
    <t>IEEE grants</t>
  </si>
  <si>
    <t>Integrating Ocular Health into Hypertension Care: Reducing Blindness through Early Retinopathy Detection using Deep Learning</t>
  </si>
  <si>
    <t>Rs 17,50,000 /-</t>
  </si>
  <si>
    <t>29.6.2025</t>
  </si>
  <si>
    <t>Dr S Senthil Velan</t>
  </si>
  <si>
    <t>Prototype Development for a Yield Prediction System of Crop by obtaining the Real Time Data and further using Deep Learning and Mobile Edge Computing</t>
  </si>
  <si>
    <t>Rs. 14,00,000/-</t>
  </si>
  <si>
    <t>Investigation on the Understanding of Connotative Relationship for Kannada Language Dialects Spoken across the different districts of Karnataka using Deep Learning</t>
  </si>
  <si>
    <t>Rs. 12,00,000/-</t>
  </si>
  <si>
    <t>Development of a Deep Learning System for the Identification of Intended Thoughts and Emotions Using Facial Features and behavior of humans</t>
  </si>
  <si>
    <t>Rs. 8,00,000/-</t>
  </si>
  <si>
    <t>Crop Protect and Shield (CPS): Deep Learning based Pest Detection for a Sustainable Agriculture</t>
  </si>
  <si>
    <t>Rs. 10,00,000/-</t>
  </si>
  <si>
    <t xml:space="preserve">Intelligent Spider Robot for Diagnosing Railway Track Problems                                </t>
  </si>
  <si>
    <t xml:space="preserve">11, 80,000 INR                            </t>
  </si>
  <si>
    <t>Automatic Alert Generator Using Sonar Images for Fishermen</t>
  </si>
  <si>
    <t xml:space="preserve">  12,11,000 INR</t>
  </si>
  <si>
    <t>Prof. Narendra N &amp; Prof. Puneeth Kumar N</t>
  </si>
  <si>
    <t>Methane synthesis from agricultural waste and its
transformation into hydrogen energy</t>
  </si>
  <si>
    <t>63,16,200</t>
  </si>
  <si>
    <t>30-06-2025</t>
  </si>
  <si>
    <t>Dr. Harish P &amp; Dr. VenkateshNaik</t>
  </si>
  <si>
    <t>Advanced Research and Development on Friction Stir Welding of Dissimilar Metals (Al-Cu) for Industrial and Socioeconomic Applications</t>
  </si>
  <si>
    <t>38,28,700</t>
  </si>
  <si>
    <t xml:space="preserve">Dr. Narendra N and Venktesh Naik </t>
  </si>
  <si>
    <t>PERFORMANCE OF SINGLE CYLINDER DIESEL ENGINE FUELLED
WITH METHYL ESTER OF VEGETABLE OIL USING SELECTIVE
CATALYTIC REDUCTION (SCR)</t>
  </si>
  <si>
    <t>26,45,390</t>
  </si>
  <si>
    <t xml:space="preserve">Dr. VenkateshNaik and Dr. Narendra N </t>
  </si>
  <si>
    <t>Increasing the methane content using chemicals and turning
agricultural waste into bioenergy</t>
  </si>
  <si>
    <t>2,95,000,0</t>
  </si>
  <si>
    <t>Dr.Vakula Rani                                                           Dr.Sagar-Co-PI                                       Prof. Pooja Srivastav</t>
  </si>
  <si>
    <t>Design and Development of an AI-Integrated EEG Neuro-Sensing and Analytics System for Real-Time Emotion Recognition and Adaptive Mental Stress Mitigation</t>
  </si>
  <si>
    <t>24,50,000</t>
  </si>
  <si>
    <t>28/6/2025</t>
  </si>
  <si>
    <t>RPS-1-16515264-2025-9991</t>
  </si>
  <si>
    <t>RPS</t>
  </si>
  <si>
    <t>Artiﬁcial Intelligence-Driven Predictive Modeling of Cognitive and Behavioral Patterns among Generation Z Rural Learners Engaged in Digital Learning</t>
  </si>
  <si>
    <t>ICSSR-LSS-2025-2130</t>
  </si>
  <si>
    <t>MOE</t>
  </si>
  <si>
    <t>Residential energy consumption forecast based on weather influence</t>
  </si>
  <si>
    <t>19,97,000</t>
  </si>
  <si>
    <t>28/02/'25</t>
  </si>
  <si>
    <t>RAC</t>
  </si>
  <si>
    <t>Dr. Sagar M Baligidad</t>
  </si>
  <si>
    <t>Sustainable water management via IoT-Driven Modular Portable storage Solution.</t>
  </si>
  <si>
    <t>NIDHI Prayas Granr</t>
  </si>
  <si>
    <t>AI-Powered Electro-OsmoticMicro-Syringe for Targeted Anti-VEGF Therapy</t>
  </si>
  <si>
    <t>27,00,000</t>
  </si>
  <si>
    <t xml:space="preserve">DST </t>
  </si>
  <si>
    <t>Central Government</t>
  </si>
  <si>
    <t>"Evaluating the Printability of Carbon-PEEK Nanocomposites for Autonomous SpaceConstruction,"</t>
  </si>
  <si>
    <t>17,00,000</t>
  </si>
  <si>
    <t>21,00,000</t>
  </si>
  <si>
    <t xml:space="preserve">An automated year-round farming without soil and less water for socio-economic backward farmers </t>
  </si>
  <si>
    <t>Rs. 26,000,00/-</t>
  </si>
  <si>
    <t>22.3.2024</t>
  </si>
  <si>
    <t xml:space="preserve">No. SEED/SCSP/2022/226          </t>
  </si>
  <si>
    <t>7,66,933</t>
  </si>
  <si>
    <t>Low complexity hyperparameter-free machine learning/deep-learning 
for localization using small datasets in outdoor tactical ad-hoc networks</t>
  </si>
  <si>
    <t>Rs. 17,35,760</t>
  </si>
  <si>
    <t>18/11/2024</t>
  </si>
  <si>
    <t>ANRF/ECRG/2024/001895/ENS</t>
  </si>
  <si>
    <t>ANRF Early career Grant</t>
  </si>
  <si>
    <t>Dr. Mahesh Kumar Jha &amp; Dr. Nidhi Vaishnav</t>
  </si>
  <si>
    <t>Data-Driven and Mechanistic Models for Optimizing Cancer Treatment and Prognosis.</t>
  </si>
  <si>
    <t>Rs. 1084500</t>
  </si>
  <si>
    <t>29/05/2025</t>
  </si>
  <si>
    <t>TPN / 133804</t>
  </si>
  <si>
    <t>Department of Science &amp; Technology</t>
  </si>
  <si>
    <t>SUshma B</t>
  </si>
  <si>
    <t>Automated Hyper-spectral Vision based System for Early Diagnosis of Diseases in Silkworms</t>
  </si>
  <si>
    <t xml:space="preserve"> Rs. 520000
</t>
  </si>
  <si>
    <t>DST/NSTMIS/2025/699</t>
  </si>
  <si>
    <t>NSTMIS-DST</t>
  </si>
  <si>
    <t>VisionCare: AI Powered Integrated Monitoring and Support
System for Independent Seniors at Home</t>
  </si>
  <si>
    <t>Rs 35,00,000</t>
  </si>
  <si>
    <t>15-05-2025</t>
  </si>
  <si>
    <t>Communicated through email</t>
  </si>
  <si>
    <t>India-AI</t>
  </si>
  <si>
    <t>AI-Driven Simulation and Predictive Modeling for Sorbent-Reactor Co Design in Next-Generation Gas Separation Systems</t>
  </si>
  <si>
    <t>Rs 25,00000</t>
  </si>
  <si>
    <t>20-6-2025</t>
  </si>
  <si>
    <t>TPN / 134663</t>
  </si>
  <si>
    <t>RF based sensor and sensing systems</t>
  </si>
  <si>
    <t>Rs 9,87,735</t>
  </si>
  <si>
    <t>28-02-2025</t>
  </si>
  <si>
    <t>Point-of-Care Quantum Biosensor for Real-Time Monitoring of Multiple Neurotransmitters: A
Public Health Tool for Early Intervention in Mental and Neurological Health</t>
  </si>
  <si>
    <t>Rs.21,06,000</t>
  </si>
  <si>
    <t>20-04-2025</t>
  </si>
  <si>
    <t>Azim Premji Foundation - Health Research Grants 2025</t>
  </si>
  <si>
    <t xml:space="preserve">Private </t>
  </si>
  <si>
    <t>Development of Engineered Microbial Biogenics for Efficient Metal Ion Extraction and Scalable Bio-Chemical Production in Industrial
Applications</t>
  </si>
  <si>
    <t>Rs.16,50,000</t>
  </si>
  <si>
    <t>28-01-2025</t>
  </si>
  <si>
    <t>2025-145678</t>
  </si>
  <si>
    <t>DHR</t>
  </si>
  <si>
    <t>Govt</t>
  </si>
  <si>
    <t>Design and development of HfO2/Gr-CNT Synergized 2D Material for FE-FET Quantum-Devices</t>
  </si>
  <si>
    <t>Rs. 32,76,000/-</t>
  </si>
  <si>
    <t>19-09-2024</t>
  </si>
  <si>
    <t>TPN / 115973</t>
  </si>
  <si>
    <t>Navaneetha M,Dr. V, N Manju</t>
  </si>
  <si>
    <t>Anomaly Detection of Intruder Activity in Smart City Networks using Explainable AI and Graph Neural Networks</t>
  </si>
  <si>
    <t>21,75,000</t>
  </si>
  <si>
    <t>30/6/2025</t>
  </si>
  <si>
    <t>ANRF/ARG/2025/000178</t>
  </si>
  <si>
    <t>ANRF-ARG</t>
  </si>
  <si>
    <t>Modeling and Verifying Explainable AI Using Logic and Automata</t>
  </si>
  <si>
    <t>11,10,000</t>
  </si>
  <si>
    <t>ANRF/ARGM/2025/000213/TS</t>
  </si>
  <si>
    <t>ANRF-ARG-Matrices</t>
  </si>
  <si>
    <t>Navaneetha M,                             Dr. kesavamoorthy R.</t>
  </si>
  <si>
    <t>Navaneetha M, Dr. Shanthi M B</t>
  </si>
  <si>
    <t>From Data to Diagnosis: Deep Learning in CAD Detection</t>
  </si>
  <si>
    <t>US $19,750</t>
  </si>
  <si>
    <t>13/4/2025</t>
  </si>
  <si>
    <t>Dr. Sushma T V &amp; Dr. Susmitha A</t>
  </si>
  <si>
    <t>Development of Computer Aided Tool for Cancer Grading using H&amp;E images</t>
  </si>
  <si>
    <t>Rs 26,16,000/-</t>
  </si>
  <si>
    <t xml:space="preserve">ANRF </t>
  </si>
  <si>
    <t xml:space="preserve">Mentor: Dr. Kesavamoorthy R. Team Leader:  Anusha M (1CR21CS036)
Team Members: Aditi (1CR21CS008) and Kavya Manne (1CR21IS076)
</t>
  </si>
  <si>
    <t xml:space="preserve">Nurturing Women, Nurturing Earth - Eco Friendly Sanitary Napkins </t>
  </si>
  <si>
    <t>2024-25</t>
  </si>
  <si>
    <t>Ministry of MSME, Government of India ( MSME Idea Hackathon 4.0 (Youth)</t>
  </si>
  <si>
    <t xml:space="preserve">Mentor: Dr. Kesavamoorthy R.  Team Leader: Bellamkonda Meghana (1CR21CS048). Team Members:  Anusha M (1CR21CS036), Aditi (1CR21CS008) and Kavya Manne (1CR21IS076)
</t>
  </si>
  <si>
    <t xml:space="preserve"> Empowering Artisans: One-Stop Export Support Platform for PM Vishwakarma 18 Trades</t>
  </si>
  <si>
    <t>2023--24</t>
  </si>
  <si>
    <t xml:space="preserve">Mentor: Dr. Kesavamoorthy R. Team Leader: Aranya Bandhu (1CR23AD021)
</t>
  </si>
  <si>
    <t>Samridh: Military advanced AI based Helmet</t>
  </si>
  <si>
    <t xml:space="preserve">Mentor: Dr. Kesavamoorthy R. Team Leader: Yashica G (1CR23AI143)
Team Members: Prakshi Lakhchaura (1CR23AI083), Safa Mariyah (1CR23AI105), Sannah Sharma (1CR23AI110)
</t>
  </si>
  <si>
    <t xml:space="preserve"> Leaf Tissue </t>
  </si>
  <si>
    <t>S.No</t>
  </si>
  <si>
    <t>Name/Title of the work</t>
  </si>
  <si>
    <t>Funding  Agency</t>
  </si>
  <si>
    <t>Registration Amount(If Activity)</t>
  </si>
  <si>
    <t>No of Participants (If Applicable)</t>
  </si>
  <si>
    <t>Consultancy Amount Generated (Rs.)</t>
  </si>
  <si>
    <t>Expenses (Rs.)</t>
  </si>
  <si>
    <t>Month and Year
(Sep/Oct/Nov/Dec/Jan/Feb)</t>
  </si>
  <si>
    <t>Receipt Link</t>
  </si>
  <si>
    <t>Expert Talk</t>
  </si>
  <si>
    <r>
      <rPr>
        <u/>
        <sz val="10"/>
        <color rgb="FF1155CC"/>
        <rFont val="Arial"/>
      </rPr>
      <t>https://drive.google.com/file/d/19VmAhHGER0dnEiFQvEOm9NisTBdfkJHr/view?usp=sharing</t>
    </r>
    <r>
      <rPr>
        <sz val="10"/>
        <rFont val="Arial"/>
      </rPr>
      <t xml:space="preserve"> </t>
    </r>
  </si>
  <si>
    <t>Prof. Abhijith Saralaya</t>
  </si>
  <si>
    <t>FDP - 5 Days Online FDP on Data Analysisand Visualization with Power Bi &amp; Tableu</t>
  </si>
  <si>
    <t>Rs. 46100</t>
  </si>
  <si>
    <t>153 (153 * 300 = Rs. 45,900 but Rs. 200 paid additionaly by a partcipant by mistake, hence total amount = Rs. 46,100)</t>
  </si>
  <si>
    <t>Bill Proof</t>
  </si>
  <si>
    <t>Resource Person-Hands on PowerBI and Tableau</t>
  </si>
  <si>
    <t>Atria Institute of Technology,Bangalore</t>
  </si>
  <si>
    <t>40+</t>
  </si>
  <si>
    <t>Receipt Proof</t>
  </si>
  <si>
    <t>A three-day, hands-on session on DevOps</t>
  </si>
  <si>
    <t>Madanapalle Institute of Technology,Andhra Pradesh</t>
  </si>
  <si>
    <t>110+</t>
  </si>
  <si>
    <t>19-11-2024,20-11-2024,21-11-2024</t>
  </si>
  <si>
    <t>Resource Person-Hands-On Tableau and PowerBI</t>
  </si>
  <si>
    <t>Sai Vidya Institute of Technology, Bangalore</t>
  </si>
  <si>
    <t>140+</t>
  </si>
  <si>
    <t>03-12-2024,04-12-2024</t>
  </si>
  <si>
    <t>"VTU DevOps Laboratory: Mastering Automation and Collaboration"</t>
  </si>
  <si>
    <t>Cambridge Institute of Technology,Bangalore</t>
  </si>
  <si>
    <t>35+</t>
  </si>
  <si>
    <t>10-02-2024,11-02-2024</t>
  </si>
  <si>
    <t>CIT Proofs</t>
  </si>
  <si>
    <t>Shivakumara M J</t>
  </si>
  <si>
    <t>CV</t>
  </si>
  <si>
    <t>Consultancy - Rebound hammer Renting</t>
  </si>
  <si>
    <t>Yukti Consultants</t>
  </si>
  <si>
    <t>Resource Perosn-Hands on Workshop on Internet of Things(IoT)</t>
  </si>
  <si>
    <t>Dhanalakshmi Srinivasan Engineering College</t>
  </si>
  <si>
    <t>MEP Project Commercialization</t>
  </si>
  <si>
    <t>Aurigence Technologies pvt. Ltd</t>
  </si>
  <si>
    <t>NIl</t>
  </si>
  <si>
    <t>MITS,AP</t>
  </si>
  <si>
    <t>https://drive.google.com/drive/folders/1X8sUfn44i7igpqJGWYGoJyRUddho5BV6?usp=drive_link</t>
  </si>
  <si>
    <r>
      <rPr>
        <b/>
        <u/>
        <sz val="10"/>
        <color rgb="FF1155CC"/>
        <rFont val="Arial"/>
      </rPr>
      <t>https://drive.google.com/file/d/1bCUVXM4FkbLOfCfcS4ZcrVFmFjQk95Ob/view?usp=sharing</t>
    </r>
    <r>
      <rPr>
        <b/>
        <sz val="10"/>
        <rFont val="Arial"/>
      </rPr>
      <t xml:space="preserve"> </t>
    </r>
  </si>
  <si>
    <t>Dr Uma lakshmi</t>
  </si>
  <si>
    <t>Customer Analytics</t>
  </si>
  <si>
    <t>Benfornia LLP Banglore</t>
  </si>
  <si>
    <t>Dec-24 to Feb -25</t>
  </si>
  <si>
    <t>https://drive.google.com/drive/folders/13yZzJZfYLjnUXuolLrsS7vzAAWkx47uu?usp=drive_link</t>
  </si>
  <si>
    <t>Resource person for the 1-Day Training Program on "AIML in Healthcare"</t>
  </si>
  <si>
    <t>Sri Ramachandra Faculty of Management Sciences, Chennai</t>
  </si>
  <si>
    <t>https://drive.google.com/drive/folders/1-jc3Q5gFvNUhfgU8q8shBbUDMtTj9I7F?usp=drive_link</t>
  </si>
  <si>
    <t>5-Day STTP on "Decision Modelling using MS Excel"</t>
  </si>
  <si>
    <t>02-06 June 2025</t>
  </si>
  <si>
    <t>Pending Approval</t>
  </si>
  <si>
    <t>2-Day International Conference on Business Analytics &amp; Intelligence (BAIN-2025)</t>
  </si>
  <si>
    <t>16 - 17 May 2025</t>
  </si>
  <si>
    <t>pending approval</t>
  </si>
  <si>
    <t>Meenakshi K, Hanumantha, Pratap</t>
  </si>
  <si>
    <t>FDP (Fuzzy Sets and Linear Algebra)</t>
  </si>
  <si>
    <t>100/--200/-</t>
  </si>
  <si>
    <t>Dr Venkateswaran K &amp; Sridhar N</t>
  </si>
  <si>
    <t>FDP</t>
  </si>
  <si>
    <t>Rs.500</t>
  </si>
  <si>
    <t>Rs.14,000/-</t>
  </si>
  <si>
    <t>Nov'2024</t>
  </si>
  <si>
    <t>FDP1_Accounts Statement Dec 2024.pdf</t>
  </si>
  <si>
    <t>LTTP(R Mastery: From Basics to Advanced Data Science)</t>
  </si>
  <si>
    <t>Student - Rs 200/-
Faculty - Rs 300/-</t>
  </si>
  <si>
    <t>2025-Jan-ISE-C001_LTTP</t>
  </si>
  <si>
    <t>Session Chair for ICCIDS 2025</t>
  </si>
  <si>
    <t>SSN Insitutions, Chennai</t>
  </si>
  <si>
    <t>Consultancy Load</t>
  </si>
  <si>
    <t>Assistant Faculty for IUCEE International Educators Certification Program (IIECP)</t>
  </si>
  <si>
    <t xml:space="preserve">Indo-Universal Collaboration for Engineering Education </t>
  </si>
  <si>
    <t>https://drive.google.com/file/d/1HT0hpIzTKtHrl7SqYrDPrzPrjcLBYIH0/view?usp=drive_link</t>
  </si>
  <si>
    <t>Olympiad coaching</t>
  </si>
  <si>
    <t xml:space="preserve">Resource person for the 2 days hands-on session on "Prototype Design &amp; Development of UI/UX" </t>
  </si>
  <si>
    <t xml:space="preserve">Atria Institute of Technology,Bangalore </t>
  </si>
  <si>
    <t>150+</t>
  </si>
  <si>
    <t>C (2025-Mar-ISE-C001)</t>
  </si>
  <si>
    <t>Invited Talk</t>
  </si>
  <si>
    <t>MDSD College</t>
  </si>
  <si>
    <t>Dr. Vakula Rani</t>
  </si>
  <si>
    <t>Robotic Training</t>
  </si>
  <si>
    <t>Soham Academy of Excellence</t>
  </si>
  <si>
    <r>
      <rPr>
        <u/>
        <sz val="10"/>
        <color rgb="FF1155CC"/>
        <rFont val="Arial"/>
      </rPr>
      <t>https://drive.google.com/file/d/1LC_XwrUYxhOM2pAT7IwvK-xQDCaamPz2/view?usp=drive_link</t>
    </r>
  </si>
  <si>
    <t>Dr.Gnaneswari</t>
  </si>
  <si>
    <t>Course Expert for VTU Online (AI/DS)</t>
  </si>
  <si>
    <t>Training and Interactive Sessions</t>
  </si>
  <si>
    <r>
      <rPr>
        <u/>
        <sz val="10"/>
        <color rgb="FF1155CC"/>
        <rFont val="Arial"/>
      </rPr>
      <t>https://drive.google.com/file/d/1epFpRDEtwdWgCD23l83N3VHII4qCDs7v/view?usp=sharing</t>
    </r>
  </si>
  <si>
    <t>Dr. Sanchari Saha, Prof. Sagarika Behera, Dr. Preethi Sheba , Dr. Manju V N,  Prof. Krishna Sowjanya</t>
  </si>
  <si>
    <t>IEEE Conference ( 6th - 7th Dec 2024)</t>
  </si>
  <si>
    <t>5th International Conference on Communication, Computing &amp; Industry 6.0 (C2I6-2024)</t>
  </si>
  <si>
    <r>
      <rPr>
        <u/>
        <sz val="11"/>
        <rFont val="Calibri, sans-serif"/>
      </rPr>
      <t>https://drive.google.com/file/d/1sYf-hKdnAXPa_socW0Zqit0nvrIBoQWa/view?usp=sharing</t>
    </r>
  </si>
  <si>
    <t>LTTP</t>
  </si>
  <si>
    <t>Rs. 500</t>
  </si>
  <si>
    <t>Receipt from Accounts ( Shared by Dr. Venkatesh - Rs.30000 /- &amp; Dr. Parthasarathy - Rs.6000 /-).pdf</t>
  </si>
  <si>
    <t>Venkateswaran K &amp; Sridhar N</t>
  </si>
  <si>
    <t>Rs 500</t>
  </si>
  <si>
    <t>Rs.16000/-</t>
  </si>
  <si>
    <t>Dr. Viji K &amp; Anju Das</t>
  </si>
  <si>
    <t xml:space="preserve">Consultancy </t>
  </si>
  <si>
    <t>Nexospark Pvt Ltd</t>
  </si>
  <si>
    <r>
      <rPr>
        <u/>
        <sz val="10"/>
        <color rgb="FF1155CC"/>
        <rFont val="Arial"/>
      </rPr>
      <t>https://drive.google.com/file/d/1FURHyqSX4iscx5U1gbnHgMf4CVgYGmNe/view?usp=sharing</t>
    </r>
    <r>
      <rPr>
        <sz val="10"/>
        <rFont val="Arial"/>
      </rPr>
      <t xml:space="preserve"> </t>
    </r>
  </si>
  <si>
    <t>EVO Electricals and Electronics</t>
  </si>
  <si>
    <t>https://drive.google.com/file/d/117CfPMibRY1tn-LlfY1sOK_GIgvi2g5m/view?usp=drive_link</t>
  </si>
  <si>
    <t>Electrotech Engineers</t>
  </si>
  <si>
    <t>https://drive.google.com/file/d/10vydXNhGYlFg5bQFiIj4qKwxVZ41tF1z/view?usp=drive_link</t>
  </si>
  <si>
    <t>Particepents</t>
  </si>
  <si>
    <t xml:space="preserve">Dr Balaji C </t>
  </si>
  <si>
    <t>https://drive.google.com/file/d/1YTKMani05R5GYwtBKfJBKyhuNTeNyLqJ/view?usp=drive_link</t>
  </si>
  <si>
    <t>Web Development</t>
  </si>
  <si>
    <t>Labrys Solution Pvt. Ltd.</t>
  </si>
  <si>
    <t>https://drive.google.com/drive/folders/1eFNoMP6BLrhdPBJtgJ_-mocuzwNAHccj?usp=sharing</t>
  </si>
  <si>
    <t>Course Expert for VTU Online MCA (AI/DS)</t>
  </si>
  <si>
    <t>consultancy payment proof.pdf</t>
  </si>
  <si>
    <t>UI Design</t>
  </si>
  <si>
    <t>Indiaassurance Ltd</t>
  </si>
  <si>
    <t>https://drive.google.com/file/d/1exowLMPFgJbaO0Eb5VUCI3bw8PQ8Vo59/view?usp=sharing</t>
  </si>
  <si>
    <t>Dr. Priti Gupta &amp; Dr. Prabhat Gautam</t>
  </si>
  <si>
    <t>CHME</t>
  </si>
  <si>
    <t>Generated from STTP conducted under CoE-Materials &amp; Sensors</t>
  </si>
  <si>
    <t>https://drive.google.com/drive/folders/1rclWVAY0tpz6nrctgDXLrgnaqQX1agUR?usp=drive_link</t>
  </si>
  <si>
    <t>ECE Faculty</t>
  </si>
  <si>
    <t>ICECCC Conference 2025</t>
  </si>
  <si>
    <t>Training Session</t>
  </si>
  <si>
    <t>Pralotech Solutions</t>
  </si>
  <si>
    <t>30+</t>
  </si>
  <si>
    <t>Feb and March 2025</t>
  </si>
  <si>
    <t>2025-Feb-ISE-C001</t>
  </si>
  <si>
    <t>Prof.Suguna Devi</t>
  </si>
  <si>
    <t>C_Load(2025-Feb-ISE-C001) (Rs.5000 Prof.Suguna, Rs.5000 Prof.Arvind)</t>
  </si>
  <si>
    <t>Suruchi</t>
  </si>
  <si>
    <t>Online classes</t>
  </si>
  <si>
    <t>Mergenlab.ai</t>
  </si>
  <si>
    <t>C  (2025-June-ISE-C003)</t>
  </si>
  <si>
    <t>ISA</t>
  </si>
  <si>
    <t>July, August, September 2024</t>
  </si>
  <si>
    <t>Invoice</t>
  </si>
  <si>
    <t>The Industrial Automobiles and Suppliers</t>
  </si>
  <si>
    <t>College_Recepit_C_Load_2025.pdf</t>
  </si>
  <si>
    <t xml:space="preserve">VJT Private Limited </t>
  </si>
  <si>
    <t>Consultancy-2025-May-EEE-C001</t>
  </si>
  <si>
    <t>Dr.Jagadishwari P</t>
  </si>
  <si>
    <t>Thimmaih Institute of technology</t>
  </si>
  <si>
    <t>C_2025-June-ISE-C004.</t>
  </si>
  <si>
    <t>IoT-Based LED Lighting Programmer</t>
  </si>
  <si>
    <t>M/S JOBS ELECTRIC PVT LTD</t>
  </si>
  <si>
    <t>C Load</t>
  </si>
  <si>
    <t>AI &amp; ML Engineer</t>
  </si>
  <si>
    <t>Padmalaya Power Solutions</t>
  </si>
  <si>
    <t>https://drive.google.com/drive/folders/19iRnko_KHSL9ufF9G71yEaj1uH4Zw23N?usp=drive_link</t>
  </si>
  <si>
    <t>project</t>
  </si>
  <si>
    <t>Cap Inde Coirs Pvt. Ltd</t>
  </si>
  <si>
    <t>https://drive.google.com/file/d/1Z-oM2LXKj5UTpjJHkJ7aOhmekjQgIwpX/view?usp=drive_link</t>
  </si>
  <si>
    <t>Website Design</t>
  </si>
  <si>
    <t>Karappan Silks</t>
  </si>
  <si>
    <t>Suvitamara Designs</t>
  </si>
  <si>
    <t>2025-June-CSE-C003_Consultancy_RCID.pdf</t>
  </si>
  <si>
    <t>Ranjini K</t>
  </si>
  <si>
    <t>Front-End Developer</t>
  </si>
  <si>
    <t>Blockceuticals Pvt. Ltd</t>
  </si>
  <si>
    <t>C_LOAD</t>
  </si>
  <si>
    <t>Pooja Goud</t>
  </si>
  <si>
    <t>Dr. Shanthi M B</t>
  </si>
  <si>
    <t>Member-Board of Studies</t>
  </si>
  <si>
    <t>RRIT</t>
  </si>
  <si>
    <t>https://drive.google.com/file/d/1NV3WV4u-XO1iVLuIBVSZXeb-_mMlSO6i/view?usp=sharing</t>
  </si>
  <si>
    <t>Prof. Roma Kudale</t>
  </si>
  <si>
    <t>Teaching</t>
  </si>
  <si>
    <t>Pixaflip Technologies</t>
  </si>
  <si>
    <t>https://drive.google.com/drive/folders/1Sgv6aXuhiA7mll-jWVXEdUo7gtjl4amh?usp=sharing</t>
  </si>
  <si>
    <t>Consultancy</t>
  </si>
  <si>
    <t>Codestep Technologies</t>
  </si>
  <si>
    <t>https://drive.google.com/file/d/11AZrcU3OIR2NM0QHIhleom2qYUlt50Hv/view?usp=sharing</t>
  </si>
  <si>
    <t>Mr Vijayanand P</t>
  </si>
  <si>
    <t>Dhanalakshmi E- Pharmacy</t>
  </si>
  <si>
    <t>https://drive.google.com/drive/folders/12a70QeF899MIdmUuSDZAARSKkffEScWX?usp=drive_link</t>
  </si>
  <si>
    <t>Dr. Sam Gilvine Samuvel</t>
  </si>
  <si>
    <t>https://drive.google.com/drive/folders/136nM5WP6SJvI5JKrlQK5NqgNi2oHBnm3?usp=sharing</t>
  </si>
  <si>
    <t>Ezatlas</t>
  </si>
  <si>
    <t>https://drive.google.com/drive/folders/1XFTfhdWKiP1qfyjRwS98fifXPcTFx9E0?usp=drive_link</t>
  </si>
  <si>
    <t>https://drive.google.com/file/d/1rLov6oLG0U34dWFP-IWpMV_PqvYdhKj-/view?usp=drive_link</t>
  </si>
  <si>
    <t>Varsha Pawar</t>
  </si>
  <si>
    <t>Course Expert for VTU Online MCA</t>
  </si>
  <si>
    <t>Training Sessions</t>
  </si>
  <si>
    <t>2025-June-MCA-C002_Receipt.pdf</t>
  </si>
  <si>
    <t>EEB Engineering design and consultancy services pvt ltd.</t>
  </si>
  <si>
    <t>https://drive.google.com/file/d/1_cFZB6TWw_EBsYTPcGDBOJ_5dsjUiwpT/view?usp=sharing</t>
  </si>
  <si>
    <t xml:space="preserve">Ashutosh Srivastava </t>
  </si>
  <si>
    <t xml:space="preserve"> Workshop </t>
  </si>
  <si>
    <t>C Load receipt.pdf</t>
  </si>
  <si>
    <t xml:space="preserve">IDP Education </t>
  </si>
  <si>
    <t>https://drive.google.com/file/d/1IuL3Pb-5Yp9pddjq89oLiXMJlx117hXV/view?usp=drive_link</t>
  </si>
  <si>
    <t>Taksheela institute of education</t>
  </si>
  <si>
    <t>https://drive.google.com/file/d/1HKIldf4KmKQrc7M7KMTW6os9FM8Nn1HR/view?usp=drive_link</t>
  </si>
  <si>
    <t>TRU MODULAR</t>
  </si>
  <si>
    <t>C-Load Receipt 2025.pdf</t>
  </si>
  <si>
    <t>IEEE ECE Dept. International Conference</t>
  </si>
  <si>
    <t>Through Registration</t>
  </si>
  <si>
    <t>300/- for students
500/- for faculty, industry person</t>
  </si>
  <si>
    <t>Account Statement.pdf</t>
  </si>
  <si>
    <t>Conference</t>
  </si>
  <si>
    <t>Registration</t>
  </si>
  <si>
    <t>C-Load Calculation from Conference.pdf</t>
  </si>
  <si>
    <t>Dr.Eisha Akanksha</t>
  </si>
  <si>
    <t>MOU</t>
  </si>
  <si>
    <t>AIML Labs PVT Ltd</t>
  </si>
  <si>
    <t>https://drive.google.com/file/d/1J-6jE4M3rI-kvbq8xNxfDZAqwhyX9irZ/view?usp=sharing</t>
  </si>
  <si>
    <t>ATME, Mysore</t>
  </si>
  <si>
    <t>ATME</t>
  </si>
  <si>
    <t>ICECCC Conference, May 2024</t>
  </si>
  <si>
    <t>c_Load_ICECCC_2024.pdf</t>
  </si>
  <si>
    <t>https://drive.google.com/file/d/1JH4CrDrY-Vgl6_xyD5QhchcVyHKtwdgW/view?usp=drive_link</t>
  </si>
  <si>
    <t>Dr. P. Susheelkumar S.</t>
  </si>
  <si>
    <t>2025-May-ECE-C004_C_Load_from_ICECCC_2024.pdf</t>
  </si>
  <si>
    <t xml:space="preserve"> Resource Person</t>
  </si>
  <si>
    <t xml:space="preserve"> IEP Solutions</t>
  </si>
  <si>
    <t>May2025, June 2025</t>
  </si>
  <si>
    <t>C-Load distribution -Conference AY_24-25.pdf                                                                                  C load Bill.pdf</t>
  </si>
  <si>
    <t>Startup Initiated</t>
  </si>
  <si>
    <t>Registration Amount per head (If Event)</t>
  </si>
  <si>
    <t>Revenue Generation through Start-up (Rs.)</t>
  </si>
  <si>
    <t>Expenses(Rs.)</t>
  </si>
  <si>
    <t>Name of the Training Program</t>
  </si>
  <si>
    <t>Published / Filed Month and year
(Sep/Oct/Nov/Dec/Jan/Feb)</t>
  </si>
  <si>
    <t>FDP - 5 Days Online FDP on Data Analysisand Visualization with Power Bi &amp; Tableu-EDUCAST</t>
  </si>
  <si>
    <t>Rs. 300</t>
  </si>
  <si>
    <t>2024-Sep-ISE-C001(KomalaDevi Rs.23050/-  &amp;  Abhijith Rs.23050/- )</t>
  </si>
  <si>
    <t>Dr.V.Ilango and Dr.Gnaneswari G</t>
  </si>
  <si>
    <t>Warrion Consulting Services and Solutions PVt LTD</t>
  </si>
  <si>
    <t>Students Development Programme</t>
  </si>
  <si>
    <t>Students Development Programme-Sep 2024</t>
  </si>
  <si>
    <t>https://drive.google.com/file/d/18it-yoKJtilKEQUmopj6v6KlTCu0lGwC/view?usp=sharing</t>
  </si>
  <si>
    <t>Meenakshi K</t>
  </si>
  <si>
    <t>For AGRIHAARA</t>
  </si>
  <si>
    <t xml:space="preserve">Dr.Mohan N </t>
  </si>
  <si>
    <t>Legal Consultent We care your Business</t>
  </si>
  <si>
    <t>Legal consultent &amp; Posh traning</t>
  </si>
  <si>
    <t>Dr.Vakula Rani</t>
  </si>
  <si>
    <t>Lumyz IT Solutions</t>
  </si>
  <si>
    <t>Dr. Parthasarathy P &amp; Dr. Kavitha D</t>
  </si>
  <si>
    <t>Xenora BioWorks Privated Limited</t>
  </si>
  <si>
    <t xml:space="preserve">3 Days Online Training Program on AI &amp; Machine Learning-Driven Innovations in Microbial Culture Production for Metal Ion Extraction and Clinical Applications
</t>
  </si>
  <si>
    <t>Shivkumar, Narasimha ,Niranjan</t>
  </si>
  <si>
    <t>EC&amp;MATHS</t>
  </si>
  <si>
    <t>Nueinn Technologies</t>
  </si>
  <si>
    <t>Mastering LaTex for research and innovation hands</t>
  </si>
  <si>
    <t>LUMYZ IT Solutions</t>
  </si>
  <si>
    <t>Robic Academic Program &amp; innovation Challenges</t>
  </si>
  <si>
    <t>April/ May 2025</t>
  </si>
  <si>
    <r>
      <rPr>
        <u/>
        <sz val="10"/>
        <color rgb="FF1155CC"/>
        <rFont val="Arial"/>
      </rPr>
      <t>https://drive.google.com/file/d/13fmYwwqegJYLxouL5JUADOqokRrNkfdT/view?usp=sharing</t>
    </r>
  </si>
  <si>
    <r>
      <rPr>
        <u/>
        <sz val="10"/>
        <color rgb="FF1155CC"/>
        <rFont val="Arial"/>
      </rPr>
      <t>https://drive.google.com/file/d/1VaX7NtjCj9k_43d5NQwiDT3v3u9eA4xT/view?usp=drive_link</t>
    </r>
  </si>
  <si>
    <t>Xenora BioWorks Privated Limited (Registered Under MCA &amp; MSME)</t>
  </si>
  <si>
    <t>Project work (Outsourcing)</t>
  </si>
  <si>
    <t>April</t>
  </si>
  <si>
    <t>EDUCAST</t>
  </si>
  <si>
    <t>Data Visualization using Power BI</t>
  </si>
  <si>
    <t>2024-Sep-ISE-Udy-E001</t>
  </si>
  <si>
    <t>Pre Conference Workshop</t>
  </si>
  <si>
    <t>2024-Nov-ISE-Udy-E001</t>
  </si>
  <si>
    <t>Data Visualization using Tableau</t>
  </si>
  <si>
    <t>2024-Sep-ISE-Udy-E002 (KomalaDevi Rs.6000/-  &amp;  Abhijith Rs.6000/- )</t>
  </si>
  <si>
    <t>Rs. 10,000</t>
  </si>
  <si>
    <t>Jan/ Feb 2025</t>
  </si>
  <si>
    <t>https://drive.google.com/file/d/1GNWjyM0Yxzc2IP90ij9PzVpHyriGd7W_/view?usp=drive_link</t>
  </si>
  <si>
    <t>https://drive.google.com/file/d/1ZG2giB55FCJzlni45L3CgVE_Ms1hvRMB/view?usp=sharing</t>
  </si>
  <si>
    <t>2025-Jan-MCA-Udy-E001</t>
  </si>
  <si>
    <t>Rynam Learning Solutions</t>
  </si>
  <si>
    <t>Train the trainer programme</t>
  </si>
  <si>
    <t>https://drive.google.com/file/d/14TGQoUMpOWm2PfRbdfYgA0NsxdnPTrr3/view?usp=drive_link</t>
  </si>
  <si>
    <t>100+</t>
  </si>
  <si>
    <t>3-Day Workshop – DevOps Bootcamp: From Build Automation to Cloud-Based CI/CD Pipelines</t>
  </si>
  <si>
    <t>2025-June-ISE-Udy-E001</t>
  </si>
  <si>
    <t>2-Day Workshop – Devops and Cloud Computing</t>
  </si>
  <si>
    <t>2025-June-ISE-Udy-E002</t>
  </si>
  <si>
    <t>Internship training</t>
  </si>
  <si>
    <t xml:space="preserve"> Feb and March 2025</t>
  </si>
  <si>
    <t xml:space="preserve">2025-Feb-ISE-Udy-E001
</t>
  </si>
  <si>
    <t>E_Load(2025-Feb-ISE-Udy-E001) (Rs.15000 Prof.Suguna, Rs.15000 Prof.Arvind)</t>
  </si>
  <si>
    <t xml:space="preserve">Dr.Jagadishwari and Ms Shilpa Pande </t>
  </si>
  <si>
    <t xml:space="preserve">2025-Apr-ISE-Udy-E002 </t>
  </si>
  <si>
    <t xml:space="preserve">2024-Nov-ISE-Udy-E002
</t>
  </si>
  <si>
    <t>PGEC Registered at MCA</t>
  </si>
  <si>
    <t>SDP</t>
  </si>
  <si>
    <t>https://drive.google.com/drive/folders/1dE8KOL_iJB5vJoETVxmltkzwbXiy6S-r?usp=drive_link</t>
  </si>
  <si>
    <t>Dr. Sanchari Saha, Prof. Savitha N J, Prof. Smitha N</t>
  </si>
  <si>
    <t>AI TECH SOLUTIONS</t>
  </si>
  <si>
    <t>Internship</t>
  </si>
  <si>
    <t>Sep- Dec 2024</t>
  </si>
  <si>
    <t>2024-Sep-CSE-Udy-E001_(Savitha, Smitha, Sanchari-each-9333--)</t>
  </si>
  <si>
    <t>Project</t>
  </si>
  <si>
    <t>2025-June-CSE-Udy-E001 _(Savitha, Smitha, Sanchari-each-21k)</t>
  </si>
  <si>
    <t>MetaHeuristic coprporate India Pvt Ltd.</t>
  </si>
  <si>
    <t>Workshop</t>
  </si>
  <si>
    <t>2.05.2025</t>
  </si>
  <si>
    <t>Eload 2025 odd sem</t>
  </si>
  <si>
    <t>Installation of Eco-Saver Tech Units</t>
  </si>
  <si>
    <t>https://drive.google.com/drive/folders/1gW-vh_bC3Y-y_wfUq4O7hZ0F2ReXbjya?usp=drive_link</t>
  </si>
  <si>
    <t xml:space="preserve">Dr.Sam Gilivine </t>
  </si>
  <si>
    <t>https://drive.google.com/drive/folders/103Dm1N98Rqyvewpdg7HRrAr3ad1NfO8b?usp=sharing</t>
  </si>
  <si>
    <t>Dr. Shanthi M. B.</t>
  </si>
  <si>
    <t>Smartricity</t>
  </si>
  <si>
    <t xml:space="preserve">Getting orders for installation of ecosaver Tech units </t>
  </si>
  <si>
    <t>https://drive.google.com/file/d/1oVRUFYoMr0weTMy25jamZYYeHYf5UWig/view?usp=sharing</t>
  </si>
  <si>
    <t>1000/Person</t>
  </si>
  <si>
    <t>Internship training-JAVA</t>
  </si>
  <si>
    <t>2025-Apr-ISE-Udy-E001</t>
  </si>
  <si>
    <t>https://drive.google.com/drive/folders/1c03mAvmMB6vuu5UIIyc25DN-m1n9kgFz?usp=drive_link</t>
  </si>
  <si>
    <t>UI deisgn</t>
  </si>
  <si>
    <t>https://drive.google.com/drive/u/1/folders/1x2DYVdDkKOL3Nn1YxDVK9xirlpbeY-8b</t>
  </si>
  <si>
    <t>U SHIKSHA</t>
  </si>
  <si>
    <t>U-Shiksha -Video selling</t>
  </si>
  <si>
    <t>Nov</t>
  </si>
  <si>
    <t>https://drive.google.com/file/d/1oFare2iRxVs1AeuRuHPf-gKGlePjztp0/view?usp=drive_link</t>
  </si>
  <si>
    <t>Dr. P. Susheelkumar S.,
 Prof. Ashutosh S.,
 Prof. Sachin A.,
 Prof. Krishna Teja</t>
  </si>
  <si>
    <t>CAPAPROXI</t>
  </si>
  <si>
    <t>Online IoT Workshop and Student Inernship</t>
  </si>
  <si>
    <t>MAy</t>
  </si>
  <si>
    <t>Capaproxi Reciepts.pdf</t>
  </si>
  <si>
    <t>Dr. NAVEEN KUMAR G N</t>
  </si>
  <si>
    <t>SMARTRICITY SOLUTION</t>
  </si>
  <si>
    <t>INSTALLATION OF ECO SAVER UNITS</t>
  </si>
  <si>
    <t>E-Load receipt.2025.pdf</t>
  </si>
  <si>
    <t>INSTALLATION OF ECO SAVER UNITS AT LAPTOP MENU</t>
  </si>
  <si>
    <t>E-load 2024-2025 Receipt_Dr.Ananth.pdf</t>
  </si>
  <si>
    <t>Resource Person for DST Project through the start up "Rootery"</t>
  </si>
  <si>
    <t>Resource person</t>
  </si>
  <si>
    <t>https://drive.google.com/drive/folders/1_HKiGDLgw004091aMamFFa57fG7guQ3h</t>
  </si>
  <si>
    <t>E load receipt .pdf</t>
  </si>
  <si>
    <t>U Shiksha</t>
  </si>
  <si>
    <t>Light board product selling</t>
  </si>
  <si>
    <t>https://drive.google.com/file/d/14ugXa3J6ofageIYTTsG_SYqC93UgOH3K/view?usp=drive_link</t>
  </si>
  <si>
    <t>Installation of ECO Saver units</t>
  </si>
  <si>
    <t>E_Load</t>
  </si>
  <si>
    <t>REVOL2ROBO</t>
  </si>
  <si>
    <t>Robotics and Drones Start Up: Challenges, Opportunities and Innovations</t>
  </si>
  <si>
    <t>ACCOUNT STATEMENT.pdf</t>
  </si>
  <si>
    <t>https://drive.google.com/file/d/12QaKaPRcik8f4wuRdbQRZfGtGsJHaJr0/view?usp=drive_link</t>
  </si>
  <si>
    <t>“Mastering LaTeX for Research and
Innovation: Hands-on Training for Aspiring
Entrepreneurs and Researchers”</t>
  </si>
  <si>
    <t>https://drive.google.com/drive/folders/14D0SF1TnN_z4QWtqkPd6gzvj_8PIyo0u?usp=drive_link</t>
  </si>
  <si>
    <t>Smart Switch</t>
  </si>
  <si>
    <t>https://drive.google.com/file/d/1D7s4s0yLhpMBDyTudiQ6zgvlpvVOyWuR/view?usp=drive_link</t>
  </si>
  <si>
    <t>https://drive.google.com/file/d/1WfIQE7PVYhX0RSqoqapPLudXbVlYXW7e/view?usp=drive_link</t>
  </si>
  <si>
    <t xml:space="preserve">Number of teachers provided with financial support to attend conferences/workshops and towards membership fee of professional bodies during the year
                 </t>
  </si>
  <si>
    <t>Incentives Details AY 2024-25</t>
  </si>
  <si>
    <t>Year</t>
  </si>
  <si>
    <t>Name of the Faculty</t>
  </si>
  <si>
    <t>Name of conference/ workshop attended for which financial support provided</t>
  </si>
  <si>
    <t>Name of the professional body for which membership fee is provided</t>
  </si>
  <si>
    <t>Amount of support (Rs.)</t>
  </si>
  <si>
    <t xml:space="preserve">Journal of Social Network Analysis and Mining </t>
  </si>
  <si>
    <t>IEEE Membership</t>
  </si>
  <si>
    <t>NPTEL Course</t>
  </si>
  <si>
    <t>SCRS Membership</t>
  </si>
  <si>
    <t>Mr Vijay Anand P</t>
  </si>
  <si>
    <t>Conference Registration Fee</t>
  </si>
  <si>
    <t>Ms. Pratimarani Jena</t>
  </si>
  <si>
    <t>Mrs. Roma Kudale</t>
  </si>
  <si>
    <t>IFERP Membership</t>
  </si>
  <si>
    <t>Mrs. Anushree G</t>
  </si>
  <si>
    <t>two NPTEL Course</t>
  </si>
  <si>
    <t>Mrs. Jareena Begum</t>
  </si>
  <si>
    <t>ISTE Membership</t>
  </si>
  <si>
    <t>Mrs. Bhavana Thomas</t>
  </si>
  <si>
    <t>Mrs. Vedashree L V</t>
  </si>
  <si>
    <t>Mrs. Anusha</t>
  </si>
  <si>
    <t>Ms. Vidyavathi</t>
  </si>
  <si>
    <t>Ms. Sevanthi P</t>
  </si>
  <si>
    <t>Mrs. A Swetha Cordelia</t>
  </si>
  <si>
    <t>Ms Bhavya P K</t>
  </si>
  <si>
    <t>NPTEL course</t>
  </si>
  <si>
    <t>Mr Anil Kumar Ambati</t>
  </si>
  <si>
    <t xml:space="preserve">Physics </t>
  </si>
  <si>
    <t xml:space="preserve">Dr Suvitha </t>
  </si>
  <si>
    <t>Q2 paper</t>
  </si>
  <si>
    <t>Experimental and DFT perspectives: Exloring spectral , liner nd non linear optical properite of p- nitrophenol complex crstal for NLO appln</t>
  </si>
  <si>
    <t xml:space="preserve">Remarkable NH3 gas sensining performance of spray depositiond Tb doped WO3 thin films at room temperature </t>
  </si>
  <si>
    <t xml:space="preserve">Fabrication of SnSe nanostructure visible light photodector </t>
  </si>
  <si>
    <t>Dr.Shyam P Joy</t>
  </si>
  <si>
    <t>2024-Oct-AIML-001:  ICMLANT 2024 Registration</t>
  </si>
  <si>
    <t>ACM Membership renewal</t>
  </si>
  <si>
    <t xml:space="preserve">Ms. Novy Jacob </t>
  </si>
  <si>
    <t>MOOC: Introduction to Machine Learning; Bigdata Computing</t>
  </si>
  <si>
    <t>Ms. Shivani Gupta</t>
  </si>
  <si>
    <t>MOOC: Introduction to Machine Learning</t>
  </si>
  <si>
    <t xml:space="preserve">Ms. Navya VK </t>
  </si>
  <si>
    <t>MOOC: Introduction to Machine Learning; Research Methodology</t>
  </si>
  <si>
    <t>Ms. Priyanka ST</t>
  </si>
  <si>
    <t>M patent: 2024-Oct-AIML-T002 ;  MOOC: Introduction to Operating System</t>
  </si>
  <si>
    <t>Ms. Jeevitha R</t>
  </si>
  <si>
    <t>MOOC: Joy of computing-Python</t>
  </si>
  <si>
    <t xml:space="preserve">Ms. Anshika Shukla </t>
  </si>
  <si>
    <t>M patent: 2024-Oct-AIML-T001 ;  MOOC: Introduction to Operating System</t>
  </si>
  <si>
    <t>I-SMAC 2024 Conference</t>
  </si>
  <si>
    <t>M patent: 2024-Oct-EEE-T001 ;  MOOC: Introduction to Machine Learning</t>
  </si>
  <si>
    <t>Dr.Gomathi.T</t>
  </si>
  <si>
    <t>NPTEL MOOC and Mandatory Patent</t>
  </si>
  <si>
    <t>M Patent:2024-Dec-MCA-T001
MOOC:Big Data computing</t>
  </si>
  <si>
    <t>M Patent:2024-Dec-MCA-T005
MOOC:Introduction to Machine Learning</t>
  </si>
  <si>
    <t>IEEE Membership ID:100924906</t>
  </si>
  <si>
    <t>Conference Incentives</t>
  </si>
  <si>
    <t xml:space="preserve">Mrs. Lynsha pratheeba </t>
  </si>
  <si>
    <t>SCRS prof body membership</t>
  </si>
  <si>
    <t xml:space="preserve">Mrs. Rajeshwari Rangaswamy </t>
  </si>
  <si>
    <t>ISTE Lifetime prof body membership</t>
  </si>
  <si>
    <t>InSc Lifetime prof body membership</t>
  </si>
  <si>
    <t>Dr. Ramesh</t>
  </si>
  <si>
    <t>Q2-SCIE</t>
  </si>
  <si>
    <t>Dr.Abinash Panda</t>
  </si>
  <si>
    <t>Dr.Meenakshi R Patil</t>
  </si>
  <si>
    <t>Q1-Open Access Journal</t>
  </si>
  <si>
    <t>Prof.Manjunath V Gudur</t>
  </si>
  <si>
    <t>Q2-Regular Issue</t>
  </si>
  <si>
    <t>Dr.Rangeet Mitra</t>
  </si>
  <si>
    <t>Q1-Regular Issue</t>
  </si>
  <si>
    <t>IEEE Conference</t>
  </si>
  <si>
    <t>Dr.Sridevi S</t>
  </si>
  <si>
    <t>Paramitha Mithra</t>
  </si>
  <si>
    <t>ARVIND R</t>
  </si>
  <si>
    <t>Mandatory Patent :
Predictive Maintenance and Defect Analysis System for Electronic Gadgets Using
Explainable AI (XAI). 
RC-ID: 2024-Aug-ISE-T002</t>
  </si>
  <si>
    <t xml:space="preserve">NPTEL MOOC COURSE :
BIG DATA COMPUTING </t>
  </si>
  <si>
    <t>BS</t>
  </si>
  <si>
    <t>Pakrudheen</t>
  </si>
  <si>
    <t>Q1 Incentives</t>
  </si>
  <si>
    <t>MOOC NPTEL + Mandatory Patent 
RCID: 2024-Aug-ISE-T001</t>
  </si>
  <si>
    <t>NPTEL MOOC COURSE :
Google Cloud Computing Foundations</t>
  </si>
  <si>
    <t>Mandatory Paper, RCID: 2024-Jun-ISE-016</t>
  </si>
  <si>
    <t>Dr.Senthil Velan</t>
  </si>
  <si>
    <t>Q2 Journal</t>
  </si>
  <si>
    <t>KANIKA AGRAWAL</t>
  </si>
  <si>
    <t>MOOCs-(NPTEL)- "Data Base Management System", Mandatory Patent, (RCID: 2024-Aug-ISE-T003)</t>
  </si>
  <si>
    <t>Dr.Naveen Kumar G N</t>
  </si>
  <si>
    <t>ISTE Life Time Membership</t>
  </si>
  <si>
    <t xml:space="preserve">Q1 and Q2 </t>
  </si>
  <si>
    <t>Dr Rajendra Prasad Reddy</t>
  </si>
  <si>
    <t xml:space="preserve">Dr.Naveen Kumar G N </t>
  </si>
  <si>
    <t>CISCSD 2024 conferencs</t>
  </si>
  <si>
    <t>Prof. M. Jayashree</t>
  </si>
  <si>
    <t xml:space="preserve">Monika Singh </t>
  </si>
  <si>
    <t>Dr. Ayyappa</t>
  </si>
  <si>
    <t>Q1 Incentives (Open Acess)</t>
  </si>
  <si>
    <t>Q3 paper</t>
  </si>
  <si>
    <t>Dr. Varsha B</t>
  </si>
  <si>
    <t>Q1 Paper</t>
  </si>
  <si>
    <t>Dr. Mahesh Kumar</t>
  </si>
  <si>
    <t>Prof. Kishna Sowjanya</t>
  </si>
  <si>
    <t>Conference Incentives. 2023-July-CSE-002</t>
  </si>
  <si>
    <t>Prof. Poornima Manjunath</t>
  </si>
  <si>
    <t>Prof. Gomathi</t>
  </si>
  <si>
    <t>Prof. Suvitha A</t>
  </si>
  <si>
    <t>Q1  Incentives (open Access)</t>
  </si>
  <si>
    <t>Prof. Parthasarathy</t>
  </si>
  <si>
    <t xml:space="preserve">Two - Q2  Incentives </t>
  </si>
  <si>
    <t>Prof. Abinash Panda</t>
  </si>
  <si>
    <t>Q1  Incentives</t>
  </si>
  <si>
    <t>Prof. Keka</t>
  </si>
  <si>
    <t>Prof. Viji K</t>
  </si>
  <si>
    <t>Dr. Ayyappa B</t>
  </si>
  <si>
    <t>Dr. Preethi Sheba</t>
  </si>
  <si>
    <t>Conference Incentives &amp; Q3 Incentives</t>
  </si>
  <si>
    <t>Dr.SenthilVelan</t>
  </si>
  <si>
    <t>Dr K Chitra</t>
  </si>
  <si>
    <t>Patent and NPTEL</t>
  </si>
  <si>
    <t>Sanitha</t>
  </si>
  <si>
    <t>NPTEL &amp; FDP</t>
  </si>
  <si>
    <t>Dr. Nageswara Rao A</t>
  </si>
  <si>
    <t>NPTEL</t>
  </si>
  <si>
    <t>Ramesh P</t>
  </si>
  <si>
    <t xml:space="preserve">Patent </t>
  </si>
  <si>
    <t>Dr. Jagadishwari V</t>
  </si>
  <si>
    <t>Mrs.Shilpa Mangesh Pande</t>
  </si>
  <si>
    <t>Dr. Srividya.R</t>
  </si>
  <si>
    <t>Dr.S Seetha</t>
  </si>
  <si>
    <t>Ms K Komala Dev</t>
  </si>
  <si>
    <t>Mrs.Nidhi Joshi Parsai</t>
  </si>
  <si>
    <t>Mrs. Anaswara venunadh</t>
  </si>
  <si>
    <t>Ms. Deepa Harish</t>
  </si>
  <si>
    <t>Dr. Ciyamala Kushbu.S</t>
  </si>
  <si>
    <t>Ms C H Manasa</t>
  </si>
  <si>
    <t>Ms. Poornima Manjunath</t>
  </si>
  <si>
    <t>Ms.Varsha jituri</t>
  </si>
  <si>
    <t>Dr.Saba Tahseen</t>
  </si>
  <si>
    <t>Membership (CSI) and NPTEL</t>
  </si>
  <si>
    <t>Mr.Rakesh</t>
  </si>
  <si>
    <t>Membership CSI</t>
  </si>
  <si>
    <t>Ms. Apurva Chaudhari</t>
  </si>
  <si>
    <t>Ms.Neera Chaudhary</t>
  </si>
  <si>
    <t>Ms Akanksha</t>
  </si>
  <si>
    <t>Mrs.Jayashree.M</t>
  </si>
  <si>
    <t>Mrs M Vijayashanthi</t>
  </si>
  <si>
    <t>Ms Kavitha P</t>
  </si>
  <si>
    <t>Prof.harijkrishnan</t>
  </si>
  <si>
    <t>P Kamaleswari</t>
  </si>
  <si>
    <t>Membership (IFERP) and FDP</t>
  </si>
  <si>
    <t>Dr. Pappa.M</t>
  </si>
  <si>
    <t>Mooc &amp; Patent</t>
  </si>
  <si>
    <t>Dr. Sharmila KP</t>
  </si>
  <si>
    <t>2 Patents Filed</t>
  </si>
  <si>
    <t>Dr. Sridhar N</t>
  </si>
  <si>
    <t>Patent &amp; MOOC</t>
  </si>
  <si>
    <t>Dr. Susheel</t>
  </si>
  <si>
    <t>Dr. Mahesh Kumar Jha</t>
  </si>
  <si>
    <t>IEEE MEMBERSHIP</t>
  </si>
  <si>
    <t>Dr.Sridevi.S</t>
  </si>
  <si>
    <t>Mrs.Sutapa Sarkar</t>
  </si>
  <si>
    <t>MOOC &amp; Patent</t>
  </si>
  <si>
    <t>Ms.Suganya J</t>
  </si>
  <si>
    <t>Ms.Monika Singh</t>
  </si>
  <si>
    <t>Mr.Krishna Teja</t>
  </si>
  <si>
    <t>Mr.Sachin Aralikatti</t>
  </si>
  <si>
    <t xml:space="preserve">mooc, patent </t>
  </si>
  <si>
    <t>Mr.Manjunath V Gudur</t>
  </si>
  <si>
    <t xml:space="preserve">patent, IEEE membership </t>
  </si>
  <si>
    <t>Mr. Abhishek Javali</t>
  </si>
  <si>
    <t>IEEE membership</t>
  </si>
  <si>
    <t>Prof. Richa Tengshe</t>
  </si>
  <si>
    <t>Mr. Ashutosh Srivastava</t>
  </si>
  <si>
    <t>Mrs. Sophiya Susan</t>
  </si>
  <si>
    <t>Dr. Ananth Kumar M.S.</t>
  </si>
  <si>
    <t>MOOC AND PATENT</t>
  </si>
  <si>
    <t>Prof.Alamuru Susmitha</t>
  </si>
  <si>
    <t>Mr.Raveesh Hegde</t>
  </si>
  <si>
    <t>Patent, MOOC</t>
  </si>
  <si>
    <t>Prof. Niranjan</t>
  </si>
  <si>
    <t>Pantent &amp; IEEE member</t>
  </si>
  <si>
    <t>Patent - I Load</t>
  </si>
  <si>
    <t>Dr.Venkatesh M</t>
  </si>
  <si>
    <t>Patent -I Load</t>
  </si>
  <si>
    <t>Dr.D.Kavitha</t>
  </si>
  <si>
    <t>Dr.Sushma T V</t>
  </si>
  <si>
    <t>Ms.Anju Das</t>
  </si>
  <si>
    <t>Ms.Keka M</t>
  </si>
  <si>
    <t>Prof.Kavitha Pillai</t>
  </si>
  <si>
    <t>Mr.Madhu G C</t>
  </si>
  <si>
    <t>Dr.Preethi Sheba Hepsiba</t>
  </si>
  <si>
    <t>Other Incentives [ Patent+NPTEL]</t>
  </si>
  <si>
    <t>Dr.Sanchari Saha</t>
  </si>
  <si>
    <t>Other Incentives [Patent]</t>
  </si>
  <si>
    <t>Dr.V N Manju</t>
  </si>
  <si>
    <t>Other Incentives [Patent +MOOC ]</t>
  </si>
  <si>
    <t>Mrs. Sagarika Behera</t>
  </si>
  <si>
    <t>Other Incentives [MOOC+IEEE membrship ]</t>
  </si>
  <si>
    <t>Mrs. Savitha N J</t>
  </si>
  <si>
    <t>Other Incentives [Patent+MOOC ]</t>
  </si>
  <si>
    <t>Mrs.Smitha N</t>
  </si>
  <si>
    <t>Other Incentives [Patent +Conference ]</t>
  </si>
  <si>
    <t>Mrs.Navaneetha M</t>
  </si>
  <si>
    <t>Other Incentives [I Load Patent ]</t>
  </si>
  <si>
    <t>Mrs.Krishna Sowjanya K</t>
  </si>
  <si>
    <t xml:space="preserve">Other Incentives [Patent+MOOC ] </t>
  </si>
  <si>
    <t xml:space="preserve">Mrs.Manjula Subramaniam
</t>
  </si>
  <si>
    <t>Other Incentives [FDP ]</t>
  </si>
  <si>
    <t>Mrs. Paramita Mitra</t>
  </si>
  <si>
    <t xml:space="preserve">Mrs. Rajni Tiwari </t>
  </si>
  <si>
    <t>Other Incentives [MOOC+Patent ]</t>
  </si>
  <si>
    <t>Ms. Ann Mathews</t>
  </si>
  <si>
    <t>Other Incentives  [SCRS membership + NPTEL]</t>
  </si>
  <si>
    <t>SCRS membership</t>
  </si>
  <si>
    <t>Ms. Attar Mahay Sheetal</t>
  </si>
  <si>
    <t>Other Incentives [ Prof body membership- SCRS+AMIEE ]</t>
  </si>
  <si>
    <t>Mrs Ranjini  K</t>
  </si>
  <si>
    <t>Other Incentives [ Patent+IEEE membership ]</t>
  </si>
  <si>
    <t>Ms. Pooja Goud</t>
  </si>
  <si>
    <t xml:space="preserve">Other Incentives [Patent+NPTEL MOOC] </t>
  </si>
  <si>
    <t>Reshma R</t>
  </si>
  <si>
    <t>Other Incentives [ Patent +MOOC ]</t>
  </si>
  <si>
    <t>Kavyashri N P</t>
  </si>
  <si>
    <t>Other Incentives [ MOOC+ Patent  ]</t>
  </si>
  <si>
    <t xml:space="preserve">Bibi Oommen </t>
  </si>
  <si>
    <t>Other Incentives [ FDP ]</t>
  </si>
  <si>
    <t>M Patent:2024-Dec-MCA-T004
MooC: Programming in Java</t>
  </si>
  <si>
    <t>M Patent:2024-Dec-MCA-T003
MooC: Foundation of Clod IoT Edge ML</t>
  </si>
  <si>
    <t xml:space="preserve">Prof. Pooja </t>
  </si>
  <si>
    <t>M Patent:2024-Dec-MCA-T006
MooC: Software Engineering</t>
  </si>
  <si>
    <t>Varsha</t>
  </si>
  <si>
    <t>M Patent:2024-Nov-MCA-T001
MooC:Introduction to Machine learning</t>
  </si>
  <si>
    <t>M Patent:2024-Oct-MCA-T001
MooC:Programming in Java</t>
  </si>
  <si>
    <t xml:space="preserve">Other Incentives [ ACM membership+IEEE membership] </t>
  </si>
  <si>
    <t>Mr. Mitul Pobaru</t>
  </si>
  <si>
    <t>Other Incentives [ISTE Professional Body Membership]</t>
  </si>
  <si>
    <t>Ms. Divyakumari</t>
  </si>
  <si>
    <t>Ms. Divyamani L S</t>
  </si>
  <si>
    <t>Ms. Shijili P T</t>
  </si>
  <si>
    <t>Ms.Laya.N</t>
  </si>
  <si>
    <t xml:space="preserve">Ms Sandhya Kumari 
</t>
  </si>
  <si>
    <t>Mr Nishant Parashar</t>
  </si>
  <si>
    <t xml:space="preserve">Ms. Bala Priya C </t>
  </si>
  <si>
    <t>Other Incentives [IEEE Professional Body Membership]</t>
  </si>
  <si>
    <t>E load</t>
  </si>
  <si>
    <t>Prof.Shilpa Mangesh Pande</t>
  </si>
  <si>
    <t>C load</t>
  </si>
  <si>
    <t>Prof.Komala Devi</t>
  </si>
  <si>
    <t>Prof.Abhijith</t>
  </si>
  <si>
    <t>Prof.M Vijayasanthi</t>
  </si>
  <si>
    <t>Prof.Sugunadevi C</t>
  </si>
  <si>
    <t xml:space="preserve">Prof.R.Dhivya </t>
  </si>
  <si>
    <t>Prof.Varsha Pawar</t>
  </si>
  <si>
    <t>Prof.Moumita Roy</t>
  </si>
  <si>
    <t>E Load</t>
  </si>
  <si>
    <t>Mrs. Lynsha Prateeba</t>
  </si>
  <si>
    <t>Mrs. Rajeswari R</t>
  </si>
  <si>
    <t>C &amp; E load, Q1 &amp; Q4</t>
  </si>
  <si>
    <t>Other Incentives(Conference &amp; Patent)</t>
  </si>
  <si>
    <t>Shivakumar B N</t>
  </si>
  <si>
    <t>C &amp; E load</t>
  </si>
  <si>
    <t>Other Incentives(Patent &amp;MOOC)</t>
  </si>
  <si>
    <t xml:space="preserve">Dr.Nidhi </t>
  </si>
  <si>
    <t>K. Meenakshi</t>
  </si>
  <si>
    <t>Hanumantha Ravi</t>
  </si>
  <si>
    <t>Rajendra P</t>
  </si>
  <si>
    <t>Narasimharao B</t>
  </si>
  <si>
    <t>Dipansha Kumari</t>
  </si>
  <si>
    <t>Archie Thakur</t>
  </si>
  <si>
    <t>Gokul JK</t>
  </si>
  <si>
    <t>Asha K N</t>
  </si>
  <si>
    <t>Uma Raju</t>
  </si>
  <si>
    <t>Padmavathi P</t>
  </si>
  <si>
    <t>Kishore K V</t>
  </si>
  <si>
    <t>Karthikaa Sathesh</t>
  </si>
  <si>
    <t>Dr. Rajendra Prasad Reddy</t>
  </si>
  <si>
    <t>other incentives(Mooc)</t>
  </si>
  <si>
    <t>Dr. Sagar.M Baligidad</t>
  </si>
  <si>
    <t>other incentives(Patent)</t>
  </si>
  <si>
    <t>Prof. Harisha.P</t>
  </si>
  <si>
    <t>other incentives(Patent &amp; Mooc)</t>
  </si>
  <si>
    <t>Prof. Puneeth Kumar</t>
  </si>
  <si>
    <t>Prof. Venkatesh Naik</t>
  </si>
  <si>
    <t>Prof. Narendra N</t>
  </si>
  <si>
    <t>Prof. Prashant Hatti</t>
  </si>
  <si>
    <t>Q1&amp;Q2 paper  (open access)</t>
  </si>
  <si>
    <t>Dr Varsha B</t>
  </si>
  <si>
    <t>Q2 Incentive</t>
  </si>
  <si>
    <t>Dr. Suvitha  A</t>
  </si>
  <si>
    <t>Over &amp; above load for 4 papers</t>
  </si>
  <si>
    <t>Dr. Suvitha A</t>
  </si>
  <si>
    <t xml:space="preserve">Q1 </t>
  </si>
  <si>
    <t>Dr Ayyappa B</t>
  </si>
  <si>
    <t xml:space="preserve">Over and above load for 2 paper </t>
  </si>
  <si>
    <t xml:space="preserve">Q2 Incentive </t>
  </si>
  <si>
    <t xml:space="preserve">Sudarshana R </t>
  </si>
  <si>
    <t>Q4 Incentive</t>
  </si>
  <si>
    <t>Prof.Sudarshana R</t>
  </si>
  <si>
    <t>Dr. Shyamsunder Hegde</t>
  </si>
  <si>
    <t>Dr. Ayyappa.B</t>
  </si>
  <si>
    <t>Other Incentives(Patent)</t>
  </si>
  <si>
    <t>C- Load</t>
  </si>
  <si>
    <t>E-Load</t>
  </si>
  <si>
    <t>Dr. Narendra</t>
  </si>
  <si>
    <t>Q1 Paper, Q2 Paper (Open Access)</t>
  </si>
  <si>
    <t>Maths</t>
  </si>
  <si>
    <t>C-Load</t>
  </si>
  <si>
    <t>Q1-Open Access</t>
  </si>
  <si>
    <t>Q3,Q4 Journals</t>
  </si>
  <si>
    <t>Q3-Journal</t>
  </si>
  <si>
    <t>Q1,Q2,Q3-Journals 50% incentives</t>
  </si>
  <si>
    <t>Q2,Q3 Journals</t>
  </si>
  <si>
    <t>Q1 Journal</t>
  </si>
  <si>
    <t>Students Publications</t>
  </si>
  <si>
    <t>Name of the Department</t>
  </si>
  <si>
    <t>Student Intake</t>
  </si>
  <si>
    <t>Target (No of Students Publications)</t>
  </si>
  <si>
    <t>15-Papers,6-Patents</t>
  </si>
  <si>
    <t>6 -papers, 1- patent</t>
  </si>
  <si>
    <t>10- Paper, 19- Patents</t>
  </si>
  <si>
    <t>CIVIL</t>
  </si>
  <si>
    <t>5- papers,6- patent</t>
  </si>
  <si>
    <t xml:space="preserve">60-Present final year students </t>
  </si>
  <si>
    <t>No final Year Students</t>
  </si>
  <si>
    <t>Physics</t>
  </si>
  <si>
    <t>Chemistry</t>
  </si>
  <si>
    <t>Granted Patent</t>
  </si>
  <si>
    <t xml:space="preserve">Target </t>
  </si>
  <si>
    <t>Optional</t>
  </si>
  <si>
    <t>Total No of Faculty of the department</t>
  </si>
  <si>
    <t>Total no of papers presented/accepted/published (R Load)</t>
  </si>
  <si>
    <t>Total no of papers presented/accepted/published (Mandatory Paper)</t>
  </si>
  <si>
    <t>Total no of patents filed/published (I Load)</t>
  </si>
  <si>
    <t>Total no of patents filed/published (Mandatory Load)</t>
  </si>
  <si>
    <t xml:space="preserve">Total no of proposals submitted (&gt;5L)/Amount Received </t>
  </si>
  <si>
    <t>Consultancy amount received (Rs.)</t>
  </si>
  <si>
    <t>Amount received for E load (Rs.)</t>
  </si>
  <si>
    <t>Basic MECH</t>
  </si>
  <si>
    <t>1,26,000</t>
  </si>
  <si>
    <t>Rs. 1,42,500/-</t>
  </si>
  <si>
    <t>Rs 26,000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</si>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</sst>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₹]#,##0"/>
    <numFmt numFmtId="165" formatCode="mmm\ yyyy"/>
    <numFmt numFmtId="166" formatCode="mmmm\ yyyy"/>
    <numFmt numFmtId="172" formatCode="d\ mmmm\ yyyy"/>
    <numFmt numFmtId="173" formatCode="mmmm\-yyyy"/>
    <numFmt numFmtId="174" formatCode="mm/dd/yyyy"/>
    <numFmt numFmtId="175" formatCode="m/d/yyyy"/>
    <numFmt numFmtId="178" formatCode="mm\-dd\-yyyy"/>
    <numFmt numFmtId="180" formatCode="m\-d\-yyyy"/>
    <numFmt numFmtId="181" formatCode="mm/dd/yy"/>
    <numFmt numFmtId="183" formatCode="mmm\-yyyy"/>
    <numFmt numFmtId="184" formatCode="d\-mmm\-yyyy"/>
    <numFmt numFmtId="185" formatCode="mm\-dd\-yy"/>
    <numFmt numFmtId="186" formatCode="d\ mmm\ yyyy"/>
    <numFmt numFmtId="187" formatCode="dmmm\ yyyy"/>
    <numFmt numFmtId="188" formatCode="mm\,\ dd\,\ yyyy"/>
    <numFmt numFmtId="189" formatCode="mmm\ d\,\ yyyy"/>
    <numFmt numFmtId="190" formatCode="d\-mmmm\-yyyy"/>
    <numFmt numFmtId="191" formatCode="mmmmyyyy"/>
    <numFmt numFmtId="192" formatCode="mmmm\,\ yyyy"/>
    <numFmt numFmtId="193" formatCode="mmm\ d"/>
  </numFmts>
  <fonts count="146">
    <font>
      <sz val="10"/>
      <color rgb="FF000000"/>
      <name val="Arial"/>
      <scheme val="minor"/>
    </font>
    <font>
      <sz val="10"/>
      <color theme="1"/>
      <name val="Calibri"/>
    </font>
    <font>
      <b/>
      <sz val="14"/>
      <color theme="1"/>
      <name val="Calibri"/>
    </font>
    <font>
      <sz val="10"/>
      <name val="Arial"/>
    </font>
    <font>
      <b/>
      <sz val="12"/>
      <color theme="1"/>
      <name val="Times New Roman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u/>
      <sz val="10"/>
      <color rgb="FF0000FF"/>
      <name val="Calibri"/>
    </font>
    <font>
      <sz val="14"/>
      <color rgb="FF222222"/>
      <name val="Google Sans"/>
    </font>
    <font>
      <sz val="10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Times New Roman"/>
    </font>
    <font>
      <sz val="12"/>
      <color theme="1"/>
      <name val="Times New Roman"/>
    </font>
    <font>
      <sz val="11"/>
      <color theme="1"/>
      <name val="Arial"/>
    </font>
    <font>
      <u/>
      <sz val="12"/>
      <color rgb="FF000000"/>
      <name val="Times New Roman"/>
    </font>
    <font>
      <sz val="12"/>
      <color rgb="FF222222"/>
      <name val="Times New Roman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2"/>
      <color rgb="FF474747"/>
      <name val="Times New Roman"/>
    </font>
    <font>
      <b/>
      <sz val="12"/>
      <color rgb="FF222222"/>
      <name val="Times New Roman"/>
    </font>
    <font>
      <u/>
      <sz val="10"/>
      <color theme="1"/>
      <name val="Arial"/>
    </font>
    <font>
      <u/>
      <sz val="10"/>
      <color rgb="FF1155CC"/>
      <name val="Arial"/>
    </font>
    <font>
      <sz val="12"/>
      <color rgb="FF333333"/>
      <name val="Times New Roman"/>
    </font>
    <font>
      <sz val="12"/>
      <color rgb="FF1F1F1F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2"/>
      <color rgb="FF1155CC"/>
      <name val="Times New Roman"/>
    </font>
    <font>
      <u/>
      <sz val="12"/>
      <color rgb="FF1155CC"/>
      <name val="Apto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sz val="10"/>
      <color theme="1"/>
      <name val="Times New Roman"/>
    </font>
    <font>
      <u/>
      <sz val="10"/>
      <color rgb="FF0000FF"/>
      <name val="Arial"/>
    </font>
    <font>
      <u/>
      <sz val="10"/>
      <color rgb="FF1155CC"/>
      <name val="Arial"/>
    </font>
    <font>
      <u/>
      <sz val="12"/>
      <color rgb="FF1F1F1F"/>
      <name val="Times New Roman"/>
    </font>
    <font>
      <u/>
      <sz val="10"/>
      <color rgb="FF1155CC"/>
      <name val="Arial"/>
    </font>
    <font>
      <b/>
      <sz val="10"/>
      <color theme="1"/>
      <name val="Arial"/>
    </font>
    <font>
      <b/>
      <sz val="16"/>
      <color theme="1"/>
      <name val="Calibri"/>
    </font>
    <font>
      <b/>
      <u/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rgb="FF222222"/>
      <name val="Arial"/>
    </font>
    <font>
      <sz val="11"/>
      <color theme="1"/>
      <name val="Times New Roman"/>
    </font>
    <font>
      <sz val="10"/>
      <color rgb="FF000000"/>
      <name val="Arial"/>
    </font>
    <font>
      <u/>
      <sz val="10"/>
      <color theme="1"/>
      <name val="Arial"/>
    </font>
    <font>
      <sz val="11"/>
      <color rgb="FF000000"/>
      <name val="Times New Roman"/>
    </font>
    <font>
      <sz val="11"/>
      <color theme="1"/>
      <name val="Calibri"/>
    </font>
    <font>
      <sz val="10"/>
      <color rgb="FF222222"/>
      <name val="Times New Roman"/>
    </font>
    <font>
      <sz val="11"/>
      <color rgb="FF222222"/>
      <name val="Times New Roman"/>
    </font>
    <font>
      <b/>
      <u/>
      <sz val="10"/>
      <color rgb="FF0000FF"/>
      <name val="Arial"/>
    </font>
    <font>
      <b/>
      <sz val="10"/>
      <color theme="1"/>
      <name val="Times New Roman"/>
    </font>
    <font>
      <sz val="10"/>
      <color rgb="FF222222"/>
      <name val="Arial"/>
    </font>
    <font>
      <sz val="10"/>
      <color rgb="FF000000"/>
      <name val="Google Sans"/>
    </font>
    <font>
      <sz val="10"/>
      <color rgb="FF222222"/>
      <name val="Sans-serif"/>
    </font>
    <font>
      <sz val="9"/>
      <color rgb="FF1F1F1F"/>
      <name val="Google Sans"/>
    </font>
    <font>
      <sz val="11"/>
      <color rgb="FF1F1F1F"/>
      <name val="Google Sans"/>
    </font>
    <font>
      <u/>
      <sz val="10"/>
      <color theme="1"/>
      <name val="Arial"/>
    </font>
    <font>
      <sz val="10"/>
      <color rgb="FF434343"/>
      <name val="Tahoma"/>
    </font>
    <font>
      <sz val="10"/>
      <color theme="1"/>
      <name val="Tahoma"/>
    </font>
    <font>
      <sz val="12"/>
      <color rgb="FF0165A3"/>
      <name val="Arial"/>
    </font>
    <font>
      <b/>
      <sz val="10"/>
      <color rgb="FF222222"/>
      <name val="Times New Roman"/>
    </font>
    <font>
      <u/>
      <sz val="10"/>
      <color rgb="FF1155CC"/>
      <name val="Arial"/>
    </font>
    <font>
      <b/>
      <u/>
      <sz val="11"/>
      <color rgb="FF0000FF"/>
      <name val="Tahoma"/>
    </font>
    <font>
      <b/>
      <sz val="9"/>
      <color rgb="FF084B8A"/>
      <name val="Verdana"/>
    </font>
    <font>
      <sz val="11"/>
      <color rgb="FF202124"/>
      <name val="Roboto"/>
    </font>
    <font>
      <b/>
      <sz val="10"/>
      <color rgb="FF222222"/>
      <name val="Arial"/>
    </font>
    <font>
      <sz val="12"/>
      <color rgb="FF1F1F1F"/>
      <name val="Google Sans"/>
    </font>
    <font>
      <sz val="12"/>
      <color rgb="FF000000"/>
      <name val="Calibri"/>
    </font>
    <font>
      <sz val="10"/>
      <color rgb="FF1D2228"/>
      <name val="Helvetica Neue"/>
    </font>
    <font>
      <sz val="11"/>
      <color rgb="FF222222"/>
      <name val="Arial"/>
    </font>
    <font>
      <sz val="9"/>
      <color theme="1"/>
      <name val="Helvetica Neue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1F1F1F"/>
      <name val="Google Sans"/>
    </font>
    <font>
      <sz val="12"/>
      <color theme="1"/>
      <name val="Arial"/>
    </font>
    <font>
      <sz val="10"/>
      <color theme="1"/>
      <name val="Georgia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b/>
      <u/>
      <sz val="10"/>
      <color rgb="FF0000FF"/>
      <name val="Arial"/>
    </font>
    <font>
      <u/>
      <sz val="10"/>
      <color theme="1"/>
      <name val="Arial"/>
    </font>
    <font>
      <u/>
      <sz val="10"/>
      <color rgb="FF222222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00"/>
      <name val="Arial"/>
    </font>
    <font>
      <u/>
      <sz val="11"/>
      <color rgb="FF0000FF"/>
      <name val="Times New Roman"/>
    </font>
    <font>
      <u/>
      <sz val="11"/>
      <color rgb="FF0000FF"/>
      <name val="Times New Roman"/>
    </font>
    <font>
      <b/>
      <u/>
      <sz val="10"/>
      <color rgb="FF000000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2"/>
      <color rgb="FF222222"/>
      <name val="Times New Roman"/>
    </font>
    <font>
      <u/>
      <sz val="12"/>
      <color rgb="FF0000FF"/>
      <name val="Times New Roman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sz val="8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Times New Roman"/>
    </font>
    <font>
      <sz val="10"/>
      <color rgb="FF000000"/>
      <name val="Times New Roman"/>
    </font>
    <font>
      <u/>
      <sz val="10"/>
      <color theme="1"/>
      <name val="Arial"/>
    </font>
    <font>
      <sz val="11"/>
      <color theme="1"/>
      <name val="Bookman Old Style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1"/>
      <color rgb="FF0563C1"/>
      <name val="Calibri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202124"/>
      <name val="Arial"/>
    </font>
    <font>
      <b/>
      <sz val="13"/>
      <color theme="1"/>
      <name val="Calibri"/>
    </font>
    <font>
      <b/>
      <sz val="16"/>
      <color rgb="FF222222"/>
      <name val="Google Sans"/>
    </font>
    <font>
      <sz val="10"/>
      <name val="Calibri"/>
    </font>
    <font>
      <u/>
      <sz val="10"/>
      <color rgb="FF1155CC"/>
      <name val="Calibri"/>
    </font>
    <font>
      <b/>
      <sz val="12"/>
      <color rgb="FF000000"/>
      <name val="Times New Roman"/>
    </font>
    <font>
      <sz val="12"/>
      <color rgb="FF10147E"/>
      <name val="Times New Roman"/>
    </font>
    <font>
      <b/>
      <u/>
      <sz val="10"/>
      <color rgb="FF4F5671"/>
      <name val="Arial"/>
      <scheme val="minor"/>
    </font>
    <font>
      <u/>
      <sz val="11"/>
      <color rgb="FF1155CC"/>
      <name val="Calibri, sans-serif"/>
    </font>
    <font>
      <u/>
      <sz val="11"/>
      <color rgb="FF1155CC"/>
      <name val="&quot;Times New Roman&quot;, serif"/>
    </font>
    <font>
      <u/>
      <sz val="12"/>
      <color rgb="FF1155CC"/>
      <name val="Aptos, sans-serif"/>
    </font>
    <font>
      <u/>
      <sz val="11"/>
      <color rgb="FF1155CC"/>
      <name val="Arial"/>
    </font>
    <font>
      <b/>
      <u/>
      <sz val="11"/>
      <color rgb="FF1155CC"/>
      <name val="Calibri"/>
    </font>
    <font>
      <b/>
      <sz val="11"/>
      <color rgb="FF000000"/>
      <name val="Calibri, Arial"/>
    </font>
    <font>
      <b/>
      <sz val="10"/>
      <color rgb="FF000000"/>
      <name val="Calibri"/>
    </font>
    <font>
      <b/>
      <sz val="10"/>
      <color theme="1"/>
      <name val="&quot;Times New Roman&quot;"/>
    </font>
    <font>
      <b/>
      <sz val="10"/>
      <color rgb="FFFF0000"/>
      <name val="&quot;Times New Roman&quot;"/>
    </font>
    <font>
      <b/>
      <u/>
      <sz val="10"/>
      <color rgb="FF1155CC"/>
      <name val="Arial"/>
    </font>
    <font>
      <b/>
      <sz val="10"/>
      <name val="Arial"/>
    </font>
    <font>
      <u/>
      <sz val="11"/>
      <name val="Calibri, sans-serif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BFBFF"/>
        <bgColor rgb="FFFBFBFF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D8E5F8"/>
        <bgColor rgb="FFD8E5F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9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6" fillId="8" borderId="1" xfId="0" applyNumberFormat="1" applyFont="1" applyFill="1" applyBorder="1" applyAlignment="1">
      <alignment horizontal="center"/>
    </xf>
    <xf numFmtId="1" fontId="6" fillId="6" borderId="5" xfId="0" applyNumberFormat="1" applyFont="1" applyFill="1" applyBorder="1" applyAlignment="1">
      <alignment horizontal="center"/>
    </xf>
    <xf numFmtId="1" fontId="6" fillId="8" borderId="5" xfId="0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1" fontId="6" fillId="7" borderId="5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4" borderId="4" xfId="0" applyFont="1" applyFill="1" applyBorder="1"/>
    <xf numFmtId="0" fontId="9" fillId="3" borderId="7" xfId="0" applyFont="1" applyFill="1" applyBorder="1" applyAlignment="1">
      <alignment horizontal="center" wrapText="1"/>
    </xf>
    <xf numFmtId="0" fontId="10" fillId="5" borderId="8" xfId="0" applyFont="1" applyFill="1" applyBorder="1"/>
    <xf numFmtId="0" fontId="10" fillId="6" borderId="8" xfId="0" applyFont="1" applyFill="1" applyBorder="1"/>
    <xf numFmtId="0" fontId="10" fillId="7" borderId="8" xfId="0" applyFont="1" applyFill="1" applyBorder="1"/>
    <xf numFmtId="0" fontId="10" fillId="8" borderId="8" xfId="0" applyFont="1" applyFill="1" applyBorder="1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 applyAlignment="1">
      <alignment wrapText="1"/>
    </xf>
    <xf numFmtId="0" fontId="13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18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24" fillId="0" borderId="1" xfId="0" applyFont="1" applyBorder="1"/>
    <xf numFmtId="0" fontId="11" fillId="0" borderId="1" xfId="0" applyFont="1" applyBorder="1" applyAlignment="1">
      <alignment wrapText="1"/>
    </xf>
    <xf numFmtId="0" fontId="25" fillId="0" borderId="0" xfId="0" applyFont="1" applyAlignment="1">
      <alignment wrapText="1"/>
    </xf>
    <xf numFmtId="0" fontId="28" fillId="3" borderId="1" xfId="0" applyFont="1" applyFill="1" applyBorder="1" applyAlignment="1">
      <alignment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166" fontId="11" fillId="3" borderId="1" xfId="0" applyNumberFormat="1" applyFont="1" applyFill="1" applyBorder="1" applyAlignment="1">
      <alignment wrapText="1"/>
    </xf>
    <xf numFmtId="0" fontId="33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left" vertical="center" wrapText="1"/>
    </xf>
    <xf numFmtId="0" fontId="37" fillId="0" borderId="1" xfId="0" applyFont="1" applyBorder="1" applyAlignment="1">
      <alignment wrapText="1"/>
    </xf>
    <xf numFmtId="0" fontId="38" fillId="3" borderId="1" xfId="0" applyFont="1" applyFill="1" applyBorder="1" applyAlignment="1">
      <alignment wrapText="1"/>
    </xf>
    <xf numFmtId="0" fontId="40" fillId="3" borderId="1" xfId="0" applyFont="1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4" fontId="44" fillId="3" borderId="1" xfId="0" applyNumberFormat="1" applyFont="1" applyFill="1" applyBorder="1" applyAlignment="1">
      <alignment horizontal="center" vertical="center" wrapText="1"/>
    </xf>
    <xf numFmtId="174" fontId="44" fillId="3" borderId="9" xfId="0" applyNumberFormat="1" applyFont="1" applyFill="1" applyBorder="1" applyAlignment="1">
      <alignment horizontal="left" vertical="center" wrapText="1"/>
    </xf>
    <xf numFmtId="1" fontId="7" fillId="3" borderId="10" xfId="0" applyNumberFormat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17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3" fillId="3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3" fillId="0" borderId="0" xfId="0" applyFont="1"/>
    <xf numFmtId="0" fontId="45" fillId="0" borderId="0" xfId="0" applyFont="1" applyAlignment="1">
      <alignment horizontal="left" vertical="center" wrapText="1"/>
    </xf>
    <xf numFmtId="0" fontId="46" fillId="3" borderId="1" xfId="0" applyFont="1" applyFill="1" applyBorder="1" applyAlignment="1">
      <alignment horizontal="center"/>
    </xf>
    <xf numFmtId="0" fontId="48" fillId="0" borderId="4" xfId="0" applyFont="1" applyBorder="1" applyAlignment="1">
      <alignment horizontal="left"/>
    </xf>
    <xf numFmtId="0" fontId="48" fillId="0" borderId="4" xfId="0" applyFont="1" applyBorder="1"/>
    <xf numFmtId="0" fontId="48" fillId="0" borderId="8" xfId="0" applyFont="1" applyBorder="1" applyAlignment="1">
      <alignment horizontal="left"/>
    </xf>
    <xf numFmtId="0" fontId="48" fillId="0" borderId="8" xfId="0" applyFont="1" applyBorder="1"/>
    <xf numFmtId="0" fontId="46" fillId="3" borderId="8" xfId="0" applyFont="1" applyFill="1" applyBorder="1"/>
    <xf numFmtId="0" fontId="48" fillId="0" borderId="0" xfId="0" applyFont="1"/>
    <xf numFmtId="0" fontId="48" fillId="0" borderId="7" xfId="0" applyFont="1" applyBorder="1"/>
    <xf numFmtId="0" fontId="49" fillId="0" borderId="1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41" fillId="0" borderId="1" xfId="0" applyFont="1" applyBorder="1" applyAlignment="1">
      <alignment horizontal="left" vertical="center"/>
    </xf>
    <xf numFmtId="0" fontId="54" fillId="13" borderId="1" xfId="0" applyFont="1" applyFill="1" applyBorder="1" applyAlignment="1">
      <alignment horizontal="left" vertical="center"/>
    </xf>
    <xf numFmtId="0" fontId="41" fillId="13" borderId="1" xfId="0" applyFont="1" applyFill="1" applyBorder="1" applyAlignment="1">
      <alignment horizontal="left" vertical="center"/>
    </xf>
    <xf numFmtId="3" fontId="41" fillId="13" borderId="1" xfId="0" applyNumberFormat="1" applyFont="1" applyFill="1" applyBorder="1" applyAlignment="1">
      <alignment horizontal="left" vertical="center" wrapText="1"/>
    </xf>
    <xf numFmtId="3" fontId="55" fillId="13" borderId="1" xfId="0" applyNumberFormat="1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left" vertical="center" wrapText="1"/>
    </xf>
    <xf numFmtId="166" fontId="41" fillId="13" borderId="1" xfId="0" applyNumberFormat="1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174" fontId="13" fillId="0" borderId="1" xfId="0" applyNumberFormat="1" applyFont="1" applyBorder="1" applyAlignment="1">
      <alignment horizontal="left" vertical="center" wrapText="1"/>
    </xf>
    <xf numFmtId="0" fontId="56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75" fontId="11" fillId="3" borderId="1" xfId="0" applyNumberFormat="1" applyFont="1" applyFill="1" applyBorder="1" applyAlignment="1">
      <alignment horizontal="left" vertical="center"/>
    </xf>
    <xf numFmtId="0" fontId="46" fillId="3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horizontal="left" vertical="center" wrapText="1"/>
    </xf>
    <xf numFmtId="3" fontId="15" fillId="3" borderId="1" xfId="0" applyNumberFormat="1" applyFont="1" applyFill="1" applyBorder="1" applyAlignment="1">
      <alignment horizontal="left" vertical="center"/>
    </xf>
    <xf numFmtId="175" fontId="11" fillId="3" borderId="1" xfId="0" applyNumberFormat="1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left" vertical="center"/>
    </xf>
    <xf numFmtId="175" fontId="11" fillId="0" borderId="1" xfId="0" applyNumberFormat="1" applyFont="1" applyBorder="1" applyAlignment="1">
      <alignment horizontal="left" vertical="center" wrapText="1"/>
    </xf>
    <xf numFmtId="0" fontId="57" fillId="3" borderId="1" xfId="0" applyFont="1" applyFill="1" applyBorder="1" applyAlignment="1">
      <alignment horizontal="left" vertical="center"/>
    </xf>
    <xf numFmtId="0" fontId="58" fillId="3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3" fontId="15" fillId="9" borderId="1" xfId="0" applyNumberFormat="1" applyFont="1" applyFill="1" applyBorder="1" applyAlignment="1">
      <alignment horizontal="left" vertical="center"/>
    </xf>
    <xf numFmtId="166" fontId="13" fillId="9" borderId="1" xfId="0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46" fillId="9" borderId="1" xfId="0" applyFont="1" applyFill="1" applyBorder="1" applyAlignment="1">
      <alignment horizontal="left" vertical="center"/>
    </xf>
    <xf numFmtId="0" fontId="59" fillId="3" borderId="1" xfId="0" applyFont="1" applyFill="1" applyBorder="1" applyAlignment="1">
      <alignment horizontal="left" vertical="center"/>
    </xf>
    <xf numFmtId="183" fontId="13" fillId="0" borderId="1" xfId="0" applyNumberFormat="1" applyFont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184" fontId="11" fillId="3" borderId="1" xfId="0" applyNumberFormat="1" applyFont="1" applyFill="1" applyBorder="1" applyAlignment="1">
      <alignment horizontal="left" vertical="center" wrapText="1"/>
    </xf>
    <xf numFmtId="0" fontId="60" fillId="3" borderId="1" xfId="0" applyFont="1" applyFill="1" applyBorder="1" applyAlignment="1">
      <alignment horizontal="left" vertical="center" wrapText="1"/>
    </xf>
    <xf numFmtId="0" fontId="41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178" fontId="11" fillId="0" borderId="1" xfId="0" applyNumberFormat="1" applyFont="1" applyBorder="1" applyAlignment="1">
      <alignment horizontal="left" vertical="center" wrapText="1"/>
    </xf>
    <xf numFmtId="180" fontId="11" fillId="0" borderId="1" xfId="0" applyNumberFormat="1" applyFont="1" applyBorder="1" applyAlignment="1">
      <alignment horizontal="left" vertical="center" wrapText="1"/>
    </xf>
    <xf numFmtId="0" fontId="46" fillId="14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185" fontId="11" fillId="9" borderId="1" xfId="0" applyNumberFormat="1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/>
    </xf>
    <xf numFmtId="174" fontId="13" fillId="9" borderId="1" xfId="0" applyNumberFormat="1" applyFont="1" applyFill="1" applyBorder="1" applyAlignment="1">
      <alignment horizontal="left" vertical="center"/>
    </xf>
    <xf numFmtId="4" fontId="13" fillId="0" borderId="1" xfId="0" applyNumberFormat="1" applyFont="1" applyBorder="1" applyAlignment="1">
      <alignment horizontal="left" vertical="center"/>
    </xf>
    <xf numFmtId="0" fontId="62" fillId="3" borderId="1" xfId="0" applyFont="1" applyFill="1" applyBorder="1" applyAlignment="1">
      <alignment horizontal="left" vertical="center"/>
    </xf>
    <xf numFmtId="0" fontId="63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80" fontId="13" fillId="0" borderId="1" xfId="0" applyNumberFormat="1" applyFont="1" applyBorder="1" applyAlignment="1">
      <alignment horizontal="left" vertical="center"/>
    </xf>
    <xf numFmtId="0" fontId="46" fillId="14" borderId="0" xfId="0" applyFont="1" applyFill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0" fontId="64" fillId="3" borderId="1" xfId="0" applyFont="1" applyFill="1" applyBorder="1" applyAlignment="1">
      <alignment horizontal="left" vertical="center" wrapText="1"/>
    </xf>
    <xf numFmtId="0" fontId="65" fillId="3" borderId="1" xfId="0" applyFont="1" applyFill="1" applyBorder="1" applyAlignment="1">
      <alignment horizontal="left" vertical="center" wrapText="1"/>
    </xf>
    <xf numFmtId="187" fontId="13" fillId="0" borderId="1" xfId="0" applyNumberFormat="1" applyFont="1" applyBorder="1" applyAlignment="1">
      <alignment horizontal="left" vertical="center"/>
    </xf>
    <xf numFmtId="3" fontId="13" fillId="0" borderId="1" xfId="0" applyNumberFormat="1" applyFont="1" applyBorder="1" applyAlignment="1">
      <alignment horizontal="left" vertical="center"/>
    </xf>
    <xf numFmtId="0" fontId="46" fillId="3" borderId="4" xfId="0" applyFont="1" applyFill="1" applyBorder="1" applyAlignment="1">
      <alignment horizontal="left" vertical="center" wrapText="1"/>
    </xf>
    <xf numFmtId="0" fontId="66" fillId="0" borderId="0" xfId="0" applyFont="1" applyAlignment="1">
      <alignment horizontal="left" vertical="center"/>
    </xf>
    <xf numFmtId="188" fontId="13" fillId="0" borderId="1" xfId="0" applyNumberFormat="1" applyFont="1" applyBorder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0" fontId="46" fillId="3" borderId="0" xfId="0" applyFont="1" applyFill="1" applyAlignment="1">
      <alignment horizontal="left" vertical="center"/>
    </xf>
    <xf numFmtId="0" fontId="68" fillId="3" borderId="1" xfId="0" applyFont="1" applyFill="1" applyBorder="1" applyAlignment="1">
      <alignment horizontal="left" vertical="center"/>
    </xf>
    <xf numFmtId="0" fontId="46" fillId="3" borderId="0" xfId="0" applyFont="1" applyFill="1" applyAlignment="1">
      <alignment horizontal="left" vertical="center" wrapText="1"/>
    </xf>
    <xf numFmtId="178" fontId="13" fillId="0" borderId="1" xfId="0" applyNumberFormat="1" applyFont="1" applyBorder="1" applyAlignment="1">
      <alignment horizontal="left" vertical="center"/>
    </xf>
    <xf numFmtId="0" fontId="47" fillId="3" borderId="1" xfId="0" applyFont="1" applyFill="1" applyBorder="1" applyAlignment="1">
      <alignment horizontal="left" vertical="center"/>
    </xf>
    <xf numFmtId="0" fontId="69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70" fillId="3" borderId="1" xfId="0" applyFont="1" applyFill="1" applyBorder="1" applyAlignment="1">
      <alignment horizontal="left" vertical="center"/>
    </xf>
    <xf numFmtId="0" fontId="71" fillId="3" borderId="1" xfId="0" applyFont="1" applyFill="1" applyBorder="1" applyAlignment="1">
      <alignment horizontal="left" vertical="center" wrapText="1"/>
    </xf>
    <xf numFmtId="0" fontId="72" fillId="3" borderId="1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180" fontId="11" fillId="0" borderId="7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47" fillId="3" borderId="4" xfId="0" applyFont="1" applyFill="1" applyBorder="1" applyAlignment="1">
      <alignment horizontal="left" vertical="center" wrapText="1"/>
    </xf>
    <xf numFmtId="189" fontId="11" fillId="0" borderId="12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189" fontId="15" fillId="0" borderId="1" xfId="0" applyNumberFormat="1" applyFont="1" applyBorder="1" applyAlignment="1">
      <alignment horizontal="left" vertical="center"/>
    </xf>
    <xf numFmtId="0" fontId="73" fillId="3" borderId="1" xfId="0" applyFont="1" applyFill="1" applyBorder="1" applyAlignment="1">
      <alignment horizontal="left" vertical="center"/>
    </xf>
    <xf numFmtId="0" fontId="74" fillId="14" borderId="0" xfId="0" applyFont="1" applyFill="1" applyAlignment="1">
      <alignment horizontal="left" vertical="center"/>
    </xf>
    <xf numFmtId="174" fontId="11" fillId="3" borderId="1" xfId="0" applyNumberFormat="1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75" fillId="3" borderId="1" xfId="0" applyFont="1" applyFill="1" applyBorder="1" applyAlignment="1">
      <alignment horizontal="left" vertical="center"/>
    </xf>
    <xf numFmtId="0" fontId="75" fillId="3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7" fillId="12" borderId="1" xfId="0" applyFont="1" applyFill="1" applyBorder="1" applyAlignment="1">
      <alignment vertical="center" wrapText="1"/>
    </xf>
    <xf numFmtId="0" fontId="47" fillId="12" borderId="1" xfId="0" applyFont="1" applyFill="1" applyBorder="1" applyAlignment="1">
      <alignment vertical="center"/>
    </xf>
    <xf numFmtId="0" fontId="76" fillId="9" borderId="1" xfId="0" applyFont="1" applyFill="1" applyBorder="1" applyAlignment="1">
      <alignment horizontal="left" vertical="center" wrapText="1"/>
    </xf>
    <xf numFmtId="0" fontId="77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0" fontId="78" fillId="3" borderId="1" xfId="0" applyFont="1" applyFill="1" applyBorder="1" applyAlignment="1">
      <alignment wrapText="1"/>
    </xf>
    <xf numFmtId="178" fontId="11" fillId="3" borderId="1" xfId="0" applyNumberFormat="1" applyFont="1" applyFill="1" applyBorder="1" applyAlignment="1">
      <alignment horizontal="left" wrapText="1"/>
    </xf>
    <xf numFmtId="0" fontId="46" fillId="3" borderId="1" xfId="0" applyFont="1" applyFill="1" applyBorder="1" applyAlignment="1">
      <alignment horizontal="left" wrapText="1"/>
    </xf>
    <xf numFmtId="0" fontId="79" fillId="0" borderId="1" xfId="0" applyFont="1" applyBorder="1" applyAlignment="1">
      <alignment horizontal="left"/>
    </xf>
    <xf numFmtId="0" fontId="12" fillId="3" borderId="1" xfId="0" applyFont="1" applyFill="1" applyBorder="1" applyAlignment="1">
      <alignment wrapText="1"/>
    </xf>
    <xf numFmtId="0" fontId="46" fillId="3" borderId="1" xfId="0" applyFont="1" applyFill="1" applyBorder="1" applyAlignment="1">
      <alignment wrapText="1"/>
    </xf>
    <xf numFmtId="174" fontId="11" fillId="0" borderId="1" xfId="0" applyNumberFormat="1" applyFont="1" applyBorder="1" applyAlignment="1">
      <alignment horizontal="center" wrapText="1"/>
    </xf>
    <xf numFmtId="0" fontId="46" fillId="3" borderId="1" xfId="0" applyFont="1" applyFill="1" applyBorder="1"/>
    <xf numFmtId="181" fontId="46" fillId="3" borderId="1" xfId="0" applyNumberFormat="1" applyFont="1" applyFill="1" applyBorder="1" applyAlignment="1">
      <alignment horizontal="center"/>
    </xf>
    <xf numFmtId="0" fontId="41" fillId="3" borderId="1" xfId="0" applyFont="1" applyFill="1" applyBorder="1" applyAlignment="1">
      <alignment horizontal="left" vertical="center"/>
    </xf>
    <xf numFmtId="0" fontId="47" fillId="3" borderId="1" xfId="0" applyFont="1" applyFill="1" applyBorder="1" applyAlignment="1">
      <alignment vertical="center" wrapText="1"/>
    </xf>
    <xf numFmtId="0" fontId="47" fillId="3" borderId="1" xfId="0" applyFont="1" applyFill="1" applyBorder="1" applyAlignment="1">
      <alignment wrapText="1"/>
    </xf>
    <xf numFmtId="174" fontId="47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horizontal="left"/>
    </xf>
    <xf numFmtId="0" fontId="47" fillId="3" borderId="1" xfId="0" applyFont="1" applyFill="1" applyBorder="1" applyAlignment="1">
      <alignment vertical="center"/>
    </xf>
    <xf numFmtId="166" fontId="11" fillId="3" borderId="1" xfId="0" applyNumberFormat="1" applyFont="1" applyFill="1" applyBorder="1" applyAlignment="1">
      <alignment horizontal="left" vertical="center"/>
    </xf>
    <xf numFmtId="166" fontId="13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top" wrapText="1"/>
    </xf>
    <xf numFmtId="173" fontId="13" fillId="0" borderId="1" xfId="0" applyNumberFormat="1" applyFont="1" applyBorder="1" applyAlignment="1">
      <alignment horizontal="left" vertical="center"/>
    </xf>
    <xf numFmtId="0" fontId="80" fillId="0" borderId="1" xfId="0" applyFont="1" applyBorder="1"/>
    <xf numFmtId="3" fontId="11" fillId="3" borderId="1" xfId="0" applyNumberFormat="1" applyFont="1" applyFill="1" applyBorder="1" applyAlignment="1">
      <alignment horizontal="center" wrapText="1"/>
    </xf>
    <xf numFmtId="175" fontId="11" fillId="3" borderId="1" xfId="0" applyNumberFormat="1" applyFont="1" applyFill="1" applyBorder="1" applyAlignment="1">
      <alignment horizontal="left"/>
    </xf>
    <xf numFmtId="175" fontId="13" fillId="0" borderId="1" xfId="0" applyNumberFormat="1" applyFont="1" applyBorder="1" applyAlignment="1">
      <alignment horizontal="left" vertical="center"/>
    </xf>
    <xf numFmtId="0" fontId="12" fillId="0" borderId="1" xfId="0" applyFont="1" applyBorder="1"/>
    <xf numFmtId="184" fontId="11" fillId="0" borderId="1" xfId="0" applyNumberFormat="1" applyFont="1" applyBorder="1"/>
    <xf numFmtId="0" fontId="15" fillId="0" borderId="1" xfId="0" applyFont="1" applyBorder="1" applyAlignment="1">
      <alignment wrapText="1"/>
    </xf>
    <xf numFmtId="175" fontId="11" fillId="0" borderId="1" xfId="0" applyNumberFormat="1" applyFont="1" applyBorder="1" applyAlignment="1">
      <alignment horizontal="center" wrapText="1"/>
    </xf>
    <xf numFmtId="190" fontId="11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174" fontId="11" fillId="0" borderId="1" xfId="0" applyNumberFormat="1" applyFont="1" applyBorder="1"/>
    <xf numFmtId="178" fontId="11" fillId="0" borderId="1" xfId="0" applyNumberFormat="1" applyFont="1" applyBorder="1"/>
    <xf numFmtId="3" fontId="11" fillId="3" borderId="1" xfId="0" applyNumberFormat="1" applyFont="1" applyFill="1" applyBorder="1" applyAlignment="1">
      <alignment horizontal="left" wrapText="1"/>
    </xf>
    <xf numFmtId="0" fontId="70" fillId="3" borderId="1" xfId="0" applyFont="1" applyFill="1" applyBorder="1"/>
    <xf numFmtId="0" fontId="70" fillId="3" borderId="1" xfId="0" applyFont="1" applyFill="1" applyBorder="1" applyAlignment="1">
      <alignment wrapText="1"/>
    </xf>
    <xf numFmtId="0" fontId="46" fillId="3" borderId="0" xfId="0" applyFont="1" applyFill="1" applyAlignment="1">
      <alignment wrapText="1"/>
    </xf>
    <xf numFmtId="3" fontId="11" fillId="3" borderId="1" xfId="0" applyNumberFormat="1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4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1" fillId="15" borderId="13" xfId="0" applyFont="1" applyFill="1" applyBorder="1" applyAlignment="1">
      <alignment horizontal="center" vertical="center"/>
    </xf>
    <xf numFmtId="0" fontId="13" fillId="15" borderId="13" xfId="0" applyFont="1" applyFill="1" applyBorder="1" applyAlignment="1">
      <alignment horizontal="left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13" xfId="0" applyFont="1" applyFill="1" applyBorder="1" applyAlignment="1">
      <alignment horizontal="left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/>
    </xf>
    <xf numFmtId="0" fontId="8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right"/>
    </xf>
    <xf numFmtId="165" fontId="13" fillId="0" borderId="1" xfId="0" applyNumberFormat="1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84" fillId="0" borderId="1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wrapText="1"/>
    </xf>
    <xf numFmtId="3" fontId="13" fillId="0" borderId="1" xfId="0" applyNumberFormat="1" applyFont="1" applyBorder="1" applyAlignment="1">
      <alignment horizontal="center" vertical="center"/>
    </xf>
    <xf numFmtId="172" fontId="13" fillId="0" borderId="1" xfId="0" applyNumberFormat="1" applyFont="1" applyBorder="1" applyAlignment="1">
      <alignment horizontal="center"/>
    </xf>
    <xf numFmtId="0" fontId="86" fillId="0" borderId="1" xfId="0" applyFont="1" applyBorder="1" applyAlignment="1">
      <alignment horizontal="center" wrapText="1"/>
    </xf>
    <xf numFmtId="0" fontId="87" fillId="3" borderId="1" xfId="0" applyFont="1" applyFill="1" applyBorder="1" applyAlignment="1">
      <alignment wrapText="1"/>
    </xf>
    <xf numFmtId="164" fontId="13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/>
    </xf>
    <xf numFmtId="0" fontId="88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165" fontId="48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48" fillId="0" borderId="8" xfId="0" applyFont="1" applyBorder="1" applyAlignment="1">
      <alignment horizontal="center"/>
    </xf>
    <xf numFmtId="166" fontId="48" fillId="0" borderId="8" xfId="0" applyNumberFormat="1" applyFont="1" applyBorder="1" applyAlignment="1">
      <alignment horizontal="center"/>
    </xf>
    <xf numFmtId="0" fontId="89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 vertical="center" wrapText="1"/>
    </xf>
    <xf numFmtId="0" fontId="90" fillId="0" borderId="1" xfId="0" applyFont="1" applyBorder="1" applyAlignment="1">
      <alignment wrapText="1"/>
    </xf>
    <xf numFmtId="166" fontId="11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1" fillId="0" borderId="1" xfId="0" applyFont="1" applyBorder="1" applyAlignment="1">
      <alignment horizontal="center"/>
    </xf>
    <xf numFmtId="191" fontId="13" fillId="0" borderId="1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 wrapText="1"/>
    </xf>
    <xf numFmtId="192" fontId="13" fillId="0" borderId="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wrapText="1"/>
    </xf>
    <xf numFmtId="165" fontId="13" fillId="3" borderId="1" xfId="0" applyNumberFormat="1" applyFont="1" applyFill="1" applyBorder="1" applyAlignment="1">
      <alignment horizontal="center"/>
    </xf>
    <xf numFmtId="0" fontId="47" fillId="3" borderId="1" xfId="0" applyFont="1" applyFill="1" applyBorder="1" applyAlignment="1">
      <alignment horizontal="left" vertical="center" wrapText="1"/>
    </xf>
    <xf numFmtId="0" fontId="50" fillId="3" borderId="1" xfId="0" applyFont="1" applyFill="1" applyBorder="1" applyAlignment="1">
      <alignment vertical="center" wrapText="1"/>
    </xf>
    <xf numFmtId="0" fontId="93" fillId="12" borderId="1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0" fontId="95" fillId="11" borderId="1" xfId="0" applyFont="1" applyFill="1" applyBorder="1" applyAlignment="1">
      <alignment horizontal="left" vertical="center" wrapText="1"/>
    </xf>
    <xf numFmtId="183" fontId="11" fillId="0" borderId="1" xfId="0" applyNumberFormat="1" applyFont="1" applyBorder="1" applyAlignment="1">
      <alignment horizontal="left"/>
    </xf>
    <xf numFmtId="165" fontId="11" fillId="0" borderId="1" xfId="0" applyNumberFormat="1" applyFont="1" applyBorder="1" applyAlignment="1">
      <alignment horizontal="left" vertical="center"/>
    </xf>
    <xf numFmtId="0" fontId="13" fillId="11" borderId="1" xfId="0" applyFont="1" applyFill="1" applyBorder="1"/>
    <xf numFmtId="0" fontId="53" fillId="3" borderId="1" xfId="0" applyFont="1" applyFill="1" applyBorder="1" applyAlignment="1">
      <alignment wrapText="1"/>
    </xf>
    <xf numFmtId="0" fontId="52" fillId="3" borderId="1" xfId="0" applyFont="1" applyFill="1" applyBorder="1" applyAlignment="1">
      <alignment wrapText="1"/>
    </xf>
    <xf numFmtId="166" fontId="11" fillId="3" borderId="1" xfId="0" applyNumberFormat="1" applyFont="1" applyFill="1" applyBorder="1" applyAlignment="1">
      <alignment horizontal="center"/>
    </xf>
    <xf numFmtId="0" fontId="96" fillId="3" borderId="14" xfId="0" applyFont="1" applyFill="1" applyBorder="1" applyAlignment="1">
      <alignment wrapText="1"/>
    </xf>
    <xf numFmtId="3" fontId="11" fillId="3" borderId="1" xfId="0" applyNumberFormat="1" applyFont="1" applyFill="1" applyBorder="1" applyAlignment="1">
      <alignment horizontal="center"/>
    </xf>
    <xf numFmtId="0" fontId="97" fillId="3" borderId="14" xfId="0" applyFont="1" applyFill="1" applyBorder="1"/>
    <xf numFmtId="0" fontId="98" fillId="3" borderId="1" xfId="0" applyFont="1" applyFill="1" applyBorder="1" applyAlignment="1">
      <alignment wrapText="1"/>
    </xf>
    <xf numFmtId="3" fontId="15" fillId="3" borderId="1" xfId="0" applyNumberFormat="1" applyFont="1" applyFill="1" applyBorder="1" applyAlignment="1">
      <alignment horizontal="center"/>
    </xf>
    <xf numFmtId="0" fontId="99" fillId="3" borderId="1" xfId="0" applyFont="1" applyFill="1" applyBorder="1" applyAlignment="1">
      <alignment horizontal="center" wrapText="1"/>
    </xf>
    <xf numFmtId="0" fontId="100" fillId="3" borderId="1" xfId="0" applyFont="1" applyFill="1" applyBorder="1" applyAlignment="1">
      <alignment horizontal="center" wrapText="1"/>
    </xf>
    <xf numFmtId="0" fontId="13" fillId="10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01" fillId="0" borderId="0" xfId="0" applyFont="1" applyAlignment="1">
      <alignment horizontal="center" vertical="center" wrapText="1"/>
    </xf>
    <xf numFmtId="0" fontId="102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 wrapText="1"/>
    </xf>
    <xf numFmtId="3" fontId="11" fillId="0" borderId="1" xfId="0" applyNumberFormat="1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183" fontId="11" fillId="0" borderId="1" xfId="0" applyNumberFormat="1" applyFont="1" applyBorder="1" applyAlignment="1">
      <alignment horizontal="center"/>
    </xf>
    <xf numFmtId="0" fontId="104" fillId="0" borderId="1" xfId="0" applyFont="1" applyBorder="1" applyAlignment="1">
      <alignment wrapText="1"/>
    </xf>
    <xf numFmtId="189" fontId="11" fillId="0" borderId="1" xfId="0" applyNumberFormat="1" applyFont="1" applyBorder="1" applyAlignment="1">
      <alignment horizontal="center"/>
    </xf>
    <xf numFmtId="0" fontId="79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165" fontId="15" fillId="0" borderId="1" xfId="0" applyNumberFormat="1" applyFont="1" applyBorder="1" applyAlignment="1">
      <alignment horizontal="center"/>
    </xf>
    <xf numFmtId="0" fontId="105" fillId="15" borderId="13" xfId="0" applyFont="1" applyFill="1" applyBorder="1" applyAlignment="1">
      <alignment horizontal="left"/>
    </xf>
    <xf numFmtId="0" fontId="13" fillId="15" borderId="13" xfId="0" applyFont="1" applyFill="1" applyBorder="1" applyAlignment="1">
      <alignment horizontal="left"/>
    </xf>
    <xf numFmtId="0" fontId="13" fillId="15" borderId="13" xfId="0" applyFont="1" applyFill="1" applyBorder="1" applyAlignment="1">
      <alignment horizontal="left" wrapText="1"/>
    </xf>
    <xf numFmtId="0" fontId="13" fillId="15" borderId="13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06" fillId="0" borderId="1" xfId="0" applyFont="1" applyBorder="1" applyAlignment="1">
      <alignment horizontal="left" wrapText="1"/>
    </xf>
    <xf numFmtId="0" fontId="107" fillId="0" borderId="1" xfId="0" applyFont="1" applyBorder="1" applyAlignment="1">
      <alignment horizontal="left" wrapText="1"/>
    </xf>
    <xf numFmtId="165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08" fillId="0" borderId="1" xfId="0" applyFont="1" applyBorder="1" applyAlignment="1">
      <alignment horizontal="center"/>
    </xf>
    <xf numFmtId="193" fontId="11" fillId="0" borderId="0" xfId="0" applyNumberFormat="1" applyFont="1" applyAlignment="1">
      <alignment horizontal="left"/>
    </xf>
    <xf numFmtId="3" fontId="13" fillId="0" borderId="1" xfId="0" applyNumberFormat="1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 wrapText="1"/>
    </xf>
    <xf numFmtId="0" fontId="48" fillId="0" borderId="1" xfId="0" applyFont="1" applyBorder="1"/>
    <xf numFmtId="0" fontId="109" fillId="0" borderId="4" xfId="0" applyFont="1" applyBorder="1" applyAlignment="1">
      <alignment horizontal="left" wrapText="1"/>
    </xf>
    <xf numFmtId="0" fontId="110" fillId="0" borderId="4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3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wrapText="1"/>
    </xf>
    <xf numFmtId="0" fontId="16" fillId="0" borderId="0" xfId="0" applyFont="1"/>
    <xf numFmtId="166" fontId="11" fillId="0" borderId="1" xfId="0" applyNumberFormat="1" applyFont="1" applyBorder="1"/>
    <xf numFmtId="166" fontId="13" fillId="0" borderId="0" xfId="0" applyNumberFormat="1" applyFont="1" applyAlignment="1">
      <alignment horizontal="left"/>
    </xf>
    <xf numFmtId="0" fontId="111" fillId="12" borderId="1" xfId="0" applyFont="1" applyFill="1" applyBorder="1" applyAlignment="1">
      <alignment wrapText="1"/>
    </xf>
    <xf numFmtId="0" fontId="112" fillId="16" borderId="1" xfId="0" applyFont="1" applyFill="1" applyBorder="1" applyAlignment="1">
      <alignment vertical="center" wrapText="1"/>
    </xf>
    <xf numFmtId="0" fontId="113" fillId="0" borderId="0" xfId="0" applyFont="1" applyAlignment="1">
      <alignment horizontal="left" wrapText="1"/>
    </xf>
    <xf numFmtId="0" fontId="114" fillId="0" borderId="1" xfId="0" applyFont="1" applyBorder="1" applyAlignment="1">
      <alignment horizontal="left" vertical="center"/>
    </xf>
    <xf numFmtId="173" fontId="13" fillId="0" borderId="1" xfId="0" applyNumberFormat="1" applyFont="1" applyBorder="1" applyAlignment="1">
      <alignment horizontal="left"/>
    </xf>
    <xf numFmtId="0" fontId="115" fillId="0" borderId="0" xfId="0" applyFont="1" applyAlignment="1">
      <alignment horizontal="left" wrapText="1"/>
    </xf>
    <xf numFmtId="0" fontId="116" fillId="3" borderId="1" xfId="0" applyFont="1" applyFill="1" applyBorder="1"/>
    <xf numFmtId="166" fontId="11" fillId="3" borderId="1" xfId="0" applyNumberFormat="1" applyFont="1" applyFill="1" applyBorder="1" applyAlignment="1">
      <alignment horizontal="left" wrapText="1"/>
    </xf>
    <xf numFmtId="0" fontId="16" fillId="3" borderId="15" xfId="0" applyFont="1" applyFill="1" applyBorder="1" applyAlignment="1">
      <alignment wrapText="1"/>
    </xf>
    <xf numFmtId="0" fontId="11" fillId="3" borderId="15" xfId="0" applyFont="1" applyFill="1" applyBorder="1" applyAlignment="1">
      <alignment wrapText="1"/>
    </xf>
    <xf numFmtId="0" fontId="11" fillId="3" borderId="15" xfId="0" applyFont="1" applyFill="1" applyBorder="1"/>
    <xf numFmtId="0" fontId="11" fillId="3" borderId="15" xfId="0" applyFont="1" applyFill="1" applyBorder="1" applyAlignment="1">
      <alignment horizontal="center" wrapText="1"/>
    </xf>
    <xf numFmtId="0" fontId="117" fillId="11" borderId="15" xfId="0" applyFont="1" applyFill="1" applyBorder="1" applyAlignment="1">
      <alignment wrapText="1"/>
    </xf>
    <xf numFmtId="0" fontId="13" fillId="11" borderId="15" xfId="0" applyFont="1" applyFill="1" applyBorder="1" applyAlignment="1">
      <alignment horizontal="center" wrapText="1"/>
    </xf>
    <xf numFmtId="0" fontId="118" fillId="3" borderId="15" xfId="0" applyFont="1" applyFill="1" applyBorder="1" applyAlignment="1">
      <alignment wrapText="1"/>
    </xf>
    <xf numFmtId="0" fontId="11" fillId="3" borderId="16" xfId="0" applyFont="1" applyFill="1" applyBorder="1" applyAlignment="1">
      <alignment wrapText="1"/>
    </xf>
    <xf numFmtId="0" fontId="11" fillId="3" borderId="16" xfId="0" applyFont="1" applyFill="1" applyBorder="1"/>
    <xf numFmtId="0" fontId="119" fillId="3" borderId="1" xfId="0" applyFont="1" applyFill="1" applyBorder="1" applyAlignment="1">
      <alignment wrapText="1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center" wrapText="1"/>
    </xf>
    <xf numFmtId="3" fontId="13" fillId="0" borderId="5" xfId="0" applyNumberFormat="1" applyFont="1" applyBorder="1" applyAlignment="1">
      <alignment horizontal="center" wrapText="1"/>
    </xf>
    <xf numFmtId="0" fontId="120" fillId="0" borderId="5" xfId="0" applyFont="1" applyBorder="1" applyAlignment="1">
      <alignment horizontal="center" wrapText="1"/>
    </xf>
    <xf numFmtId="0" fontId="121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22" fillId="0" borderId="1" xfId="0" applyFont="1" applyBorder="1" applyAlignment="1">
      <alignment horizontal="center" wrapText="1"/>
    </xf>
    <xf numFmtId="0" fontId="123" fillId="0" borderId="1" xfId="0" applyFont="1" applyBorder="1" applyAlignment="1">
      <alignment horizontal="center" wrapText="1"/>
    </xf>
    <xf numFmtId="0" fontId="124" fillId="3" borderId="0" xfId="0" applyFont="1" applyFill="1" applyAlignment="1">
      <alignment wrapText="1"/>
    </xf>
    <xf numFmtId="164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 wrapText="1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1" fillId="3" borderId="0" xfId="0" applyFont="1" applyFill="1" applyAlignment="1">
      <alignment vertical="center"/>
    </xf>
    <xf numFmtId="0" fontId="15" fillId="0" borderId="1" xfId="0" applyFont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0" fontId="15" fillId="0" borderId="8" xfId="0" applyFont="1" applyBorder="1" applyAlignment="1">
      <alignment wrapText="1"/>
    </xf>
    <xf numFmtId="0" fontId="48" fillId="3" borderId="0" xfId="0" applyFont="1" applyFill="1" applyAlignment="1">
      <alignment horizontal="left" vertical="center"/>
    </xf>
    <xf numFmtId="0" fontId="15" fillId="0" borderId="17" xfId="0" applyFont="1" applyBorder="1" applyAlignment="1">
      <alignment wrapText="1"/>
    </xf>
    <xf numFmtId="0" fontId="13" fillId="3" borderId="0" xfId="0" applyFont="1" applyFill="1" applyAlignment="1">
      <alignment horizontal="left" vertical="center"/>
    </xf>
    <xf numFmtId="3" fontId="15" fillId="0" borderId="1" xfId="0" applyNumberFormat="1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5" fillId="3" borderId="7" xfId="0" applyFont="1" applyFill="1" applyBorder="1" applyAlignment="1">
      <alignment wrapText="1"/>
    </xf>
    <xf numFmtId="0" fontId="15" fillId="0" borderId="8" xfId="0" applyFont="1" applyBorder="1" applyAlignment="1">
      <alignment horizontal="center"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center" wrapText="1"/>
    </xf>
    <xf numFmtId="0" fontId="41" fillId="0" borderId="7" xfId="0" applyFont="1" applyBorder="1"/>
    <xf numFmtId="0" fontId="41" fillId="0" borderId="7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2" fillId="3" borderId="2" xfId="0" applyFont="1" applyFill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125" fillId="3" borderId="2" xfId="0" applyFont="1" applyFill="1" applyBorder="1" applyAlignment="1">
      <alignment horizontal="center" vertical="center" wrapText="1"/>
    </xf>
    <xf numFmtId="0" fontId="126" fillId="17" borderId="0" xfId="0" applyFont="1" applyFill="1" applyAlignment="1">
      <alignment horizontal="center"/>
    </xf>
    <xf numFmtId="0" fontId="41" fillId="0" borderId="5" xfId="0" applyFont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12" fillId="0" borderId="5" xfId="0" applyFont="1" applyBorder="1" applyAlignment="1">
      <alignment wrapText="1"/>
    </xf>
    <xf numFmtId="0" fontId="12" fillId="0" borderId="5" xfId="0" applyFont="1" applyBorder="1"/>
    <xf numFmtId="0" fontId="4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16" xfId="0" applyFont="1" applyBorder="1" applyAlignment="1">
      <alignment horizontal="center"/>
    </xf>
    <xf numFmtId="1" fontId="6" fillId="4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6" borderId="16" xfId="0" applyNumberFormat="1" applyFont="1" applyFill="1" applyBorder="1" applyAlignment="1">
      <alignment horizontal="center"/>
    </xf>
    <xf numFmtId="1" fontId="6" fillId="7" borderId="16" xfId="0" applyNumberFormat="1" applyFont="1" applyFill="1" applyBorder="1" applyAlignment="1">
      <alignment horizontal="center"/>
    </xf>
    <xf numFmtId="1" fontId="6" fillId="6" borderId="12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44" fillId="0" borderId="0" xfId="0" applyFont="1" applyBorder="1" applyAlignment="1">
      <alignment horizontal="center"/>
    </xf>
    <xf numFmtId="0" fontId="144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45" fillId="0" borderId="0" xfId="0" applyFont="1" applyAlignment="1">
      <alignment horizontal="center" wrapText="1"/>
    </xf>
  </cellXfs>
  <cellStyles count="1">
    <cellStyle name="Normal" xfId="0" builtinId="0"/>
  </cellStyles>
  <dxfs count="57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fill>
        <patternFill patternType="solid">
          <fgColor rgb="FF92D050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A76CD-B69C-470F-86BA-6EB110027FC5}" name="Table2" displayName="Table2" ref="A3:H16" totalsRowShown="0" headerRowDxfId="47" dataDxfId="48">
  <autoFilter ref="A3:H16" xr:uid="{649A76CD-B69C-470F-86BA-6EB110027FC5}"/>
  <tableColumns count="8">
    <tableColumn id="1" xr3:uid="{A7FE0BE0-62C8-4C0B-934D-ABE1B4980C0B}" name="Dept." dataDxfId="56"/>
    <tableColumn id="2" xr3:uid="{628363FA-47CB-430A-9CE6-56564E4C9D36}" name="R" dataDxfId="55"/>
    <tableColumn id="3" xr3:uid="{49630930-9E63-4D85-95DF-EE0EAA08BD72}" name="C" dataDxfId="54"/>
    <tableColumn id="4" xr3:uid="{EE54BFB4-7A43-4747-939E-7C81DDE62F24}" name="P" dataDxfId="53"/>
    <tableColumn id="5" xr3:uid="{A75DAB08-D2ED-46C9-8E30-F9FE0ED8B3B8}" name="I" dataDxfId="52"/>
    <tableColumn id="6" xr3:uid="{531E6F34-8B6D-4C0B-A0B6-0DAE713FF7C3}" name="E" dataDxfId="51"/>
    <tableColumn id="7" xr3:uid="{54A54CFA-EB4D-4754-BE9E-5897310492EA}" name="M Paper" dataDxfId="50"/>
    <tableColumn id="8" xr3:uid="{5DDD2068-D92C-47CF-B826-54925495845B}" name="M Patent" dataDxfId="4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E92457-F1C8-41D1-805D-A2E93B97FDE4}" name="Table3" displayName="Table3" ref="A19:H32" totalsRowShown="0" headerRowDxfId="38" dataDxfId="37">
  <autoFilter ref="A19:H32" xr:uid="{E1E92457-F1C8-41D1-805D-A2E93B97FDE4}"/>
  <tableColumns count="8">
    <tableColumn id="1" xr3:uid="{14C0C223-7D55-44B5-81BD-E5811E0122F5}" name="Dept." dataDxfId="46"/>
    <tableColumn id="2" xr3:uid="{23893D27-8F31-4270-BF9C-E4DEB225C921}" name="R" dataDxfId="45"/>
    <tableColumn id="3" xr3:uid="{14EF7912-CBE7-4978-87EC-99C103E1C597}" name="C" dataDxfId="44"/>
    <tableColumn id="4" xr3:uid="{D64F0359-AB35-438A-A468-155E182F6DB6}" name="P" dataDxfId="43"/>
    <tableColumn id="5" xr3:uid="{F2CD88AE-E682-44F2-B4C5-4F5151890639}" name="I" dataDxfId="42"/>
    <tableColumn id="6" xr3:uid="{DB98BDF4-D530-42C2-8D2B-FA34F1999A88}" name="E" dataDxfId="41"/>
    <tableColumn id="7" xr3:uid="{298DA8F1-B6D6-40E9-96C1-20B8495D9A8F}" name="M_x000a_ Paper" dataDxfId="40"/>
    <tableColumn id="8" xr3:uid="{015B713F-D211-49D3-87DA-2B974B07CCB2}" name="M_x000a_Patent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579AA-EFB7-4533-883C-EB199F1FF9A3}" name="Table4" displayName="Table4" ref="A35:H48" totalsRowShown="0" headerRowDxfId="34">
  <autoFilter ref="A35:H48" xr:uid="{0CD579AA-EFB7-4533-883C-EB199F1FF9A3}"/>
  <tableColumns count="8">
    <tableColumn id="1" xr3:uid="{120210C1-BAB2-4BF7-94EB-85706BBA0173}" name="Dept." dataDxfId="36"/>
    <tableColumn id="2" xr3:uid="{93CF221B-75CB-4C2F-873E-7394474B4FFC}" name="R"/>
    <tableColumn id="3" xr3:uid="{9B3A7CCC-1CF0-4F11-992E-919904B5C0DB}" name="C"/>
    <tableColumn id="4" xr3:uid="{3FE3266E-9D99-4B70-A6A3-10D966C985BA}" name="P"/>
    <tableColumn id="5" xr3:uid="{AACC7EB6-A5F0-4FB2-B26C-251B2EDB431A}" name="I" dataDxfId="35"/>
    <tableColumn id="6" xr3:uid="{E71F911D-1A79-4C0B-973D-713ED189CFB9}" name="E"/>
    <tableColumn id="7" xr3:uid="{74F933A1-9902-41AD-B704-E49F0414D2C2}" name="M_x000a_ Paper"/>
    <tableColumn id="8" xr3:uid="{816BC56B-11E2-4CE3-9969-34D0A0FBFE01}" name="M_x000a_Pat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3B55A-3F2D-4A18-866A-D1F50FC15B26}" name="Table5" displayName="Table5" ref="A51:H64" totalsRowShown="0" headerRowDxfId="25" dataDxfId="24">
  <autoFilter ref="A51:H64" xr:uid="{5E73B55A-3F2D-4A18-866A-D1F50FC15B26}"/>
  <tableColumns count="8">
    <tableColumn id="1" xr3:uid="{CE3D2649-D403-4063-BA2D-4448B40105BC}" name="Dept." dataDxfId="33"/>
    <tableColumn id="2" xr3:uid="{DA242B78-62D1-4EBC-9929-FF1007D9387E}" name="R" dataDxfId="32"/>
    <tableColumn id="3" xr3:uid="{33AD7BD0-6594-4A5E-93BF-8BB502AAE173}" name="C" dataDxfId="31"/>
    <tableColumn id="4" xr3:uid="{AE669FF8-4AD3-4B4A-9EED-BE17D73ECBCC}" name="P" dataDxfId="30"/>
    <tableColumn id="5" xr3:uid="{9F9BFB1D-9DD8-4B0C-AE11-6476C38F1B11}" name="I" dataDxfId="29"/>
    <tableColumn id="6" xr3:uid="{567D78A3-C92D-4197-885C-BB9C62EA0758}" name="E" dataDxfId="28"/>
    <tableColumn id="7" xr3:uid="{BED10C1D-B54F-43D6-BD63-9FF978E9FDEE}" name="M_x000a_ Paper" dataDxfId="27"/>
    <tableColumn id="8" xr3:uid="{2FEBDB69-CB37-4166-9AC3-C5F3AC3FCABC}" name="M_x000a_Patent" dataDxfId="2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D7E4B5-C439-4195-8163-B3022F42FA21}" name="Table6" displayName="Table6" ref="A67:G75" totalsRowShown="0" headerRowDxfId="15" dataDxfId="16">
  <autoFilter ref="A67:G75" xr:uid="{DCD7E4B5-C439-4195-8163-B3022F42FA21}"/>
  <tableColumns count="7">
    <tableColumn id="1" xr3:uid="{16D7C5E8-FED2-4451-814C-48A590440CD7}" name="R" dataDxfId="23"/>
    <tableColumn id="2" xr3:uid="{16F439D0-81DD-402D-A882-06075C09D3BE}" name="C" dataDxfId="22"/>
    <tableColumn id="3" xr3:uid="{9EC34F7A-788C-4982-A19A-F65BC7980EE3}" name="P" dataDxfId="21"/>
    <tableColumn id="4" xr3:uid="{86523D62-5EC3-4714-BB8B-AE43C223EB00}" name="I" dataDxfId="20"/>
    <tableColumn id="5" xr3:uid="{8DC95631-DC29-4478-9B67-4540FABE83FD}" name="E" dataDxfId="19"/>
    <tableColumn id="6" xr3:uid="{088785BF-E469-4172-8339-EB97A74CB77E}" name="M_x000a_ Paper" dataDxfId="18"/>
    <tableColumn id="7" xr3:uid="{9845554B-C919-4262-BA68-7F2B05A19A9F}" name="M_x000a_Patent" dataDxfId="1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B49D5A-578E-4D78-A89D-ADAB26FAA10F}" name="Table9" displayName="Table9" ref="A2:B11" totalsRowShown="0">
  <autoFilter ref="A2:B11" xr:uid="{79B49D5A-578E-4D78-A89D-ADAB26FAA10F}"/>
  <tableColumns count="2">
    <tableColumn id="1" xr3:uid="{741B3EBD-B30D-47C4-B8F7-D8E6B6B9DEED}" name="Column1"/>
    <tableColumn id="2" xr3:uid="{25DB735F-1856-4529-B120-C0A00634C8A1}" name="Column2" dataDxfId="1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0B868F-2AEE-4117-96AB-80D7EAABF184}" name="Table10" displayName="Table10" ref="A15:B20" totalsRowShown="0">
  <autoFilter ref="A15:B20" xr:uid="{D10B868F-2AEE-4117-96AB-80D7EAABF184}"/>
  <tableColumns count="2">
    <tableColumn id="1" xr3:uid="{2180F118-43CA-40A0-8854-AB6B78A7B915}" name="Column1"/>
    <tableColumn id="2" xr3:uid="{4475D361-7BF3-4E52-A29E-0A15E3A37404}" name="Column2" dataDxfId="1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661478-08C8-43D3-AACD-5CDD6F373115}" name="Table11" displayName="Table11" ref="A1:K342" totalsRowShown="0" headerRowDxfId="0" dataDxfId="1">
  <autoFilter ref="A1:K342" xr:uid="{30661478-08C8-43D3-AACD-5CDD6F373115}"/>
  <tableColumns count="11">
    <tableColumn id="1" xr3:uid="{8FE2635B-BDC5-42FA-B5BF-16A39B66EC15}" name="S.No." dataDxfId="12"/>
    <tableColumn id="2" xr3:uid="{D94BB831-6DE2-47CF-921D-B47C951CB420}" name="Faculty Involved" dataDxfId="11"/>
    <tableColumn id="3" xr3:uid="{1810A791-825C-4EF2-82FF-0269EBFCECD6}" name="Students Involved" dataDxfId="10"/>
    <tableColumn id="4" xr3:uid="{2BA889E6-283A-4CCF-BE26-C96316175631}" name="Department" dataDxfId="9"/>
    <tableColumn id="5" xr3:uid="{0995E80A-13B1-4A7B-8D70-776562D0DB04}" name="Name of the Journal / International conference" dataDxfId="8"/>
    <tableColumn id="6" xr3:uid="{0FEB994C-5347-4FAB-BDEB-5685075786DA}" name="Q1/Q2 /Q3/Q4/SCI" dataDxfId="7"/>
    <tableColumn id="7" xr3:uid="{60D85B4E-4F15-4F08-9B71-1E957BF67322}" name="Is it Indexed on WoS" dataDxfId="6"/>
    <tableColumn id="8" xr3:uid="{8D94F992-217B-4CB9-838E-046B4AE17B3A}" name="Title of the paper" dataDxfId="5"/>
    <tableColumn id="9" xr3:uid="{AD0646C0-8B73-476F-BFD5-7681773EC29C}" name="Presented/published in the Month and Year_x000a_(Sep/Oct/Nov/Dec/Jan/Feb)" dataDxfId="4"/>
    <tableColumn id="10" xr3:uid="{A0D21AAC-C544-4282-9B57-86C3CD176196}" name="ISSN/ISBN Number" dataDxfId="3"/>
    <tableColumn id="11" xr3:uid="{307D0E42-569A-423C-8857-A0B0B89A9ED4}" name="Published proof link (DOI)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71C4D4-17B6-4D1A-A5E7-DD1CD4BC601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4821810-72ab-41a8-b537-2af71c6b3e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docs.google.com/spreadsheets/d/1c6ExYgEK3c3VThNvtkQd2_7YY7vXw0_w/edit?usp=sharing&amp;ouid=116627104976954055156&amp;rtpof=true&amp;sd=true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gi-global.com/chapter/navigating-towards-sustainability/380883" TargetMode="External"/><Relationship Id="rId21" Type="http://schemas.openxmlformats.org/officeDocument/2006/relationships/hyperlink" Target="https://doi.org/10.1007/978-981-96-2697-7_27" TargetMode="External"/><Relationship Id="rId42" Type="http://schemas.openxmlformats.org/officeDocument/2006/relationships/hyperlink" Target="https://doi.org/10.1109/INCIP64058.2025.11020087" TargetMode="External"/><Relationship Id="rId63" Type="http://schemas.openxmlformats.org/officeDocument/2006/relationships/hyperlink" Target="https://drive.google.com/file/d/1uFWWwPHGaLtuztVW3KJH7A8s9e46kTU_/view?usp=sharing" TargetMode="External"/><Relationship Id="rId84" Type="http://schemas.openxmlformats.org/officeDocument/2006/relationships/hyperlink" Target="https://drive.google.com/drive/folders/1cnIVkoXxQPzgny7TpGO0NzOCuODmzuCq" TargetMode="External"/><Relationship Id="rId138" Type="http://schemas.openxmlformats.org/officeDocument/2006/relationships/hyperlink" Target="https://drive.google.com/drive/folders/1eEIYUtLwH3llpehb5Q-t8b1qT6ESHvs-?usp=drive_link" TargetMode="External"/><Relationship Id="rId159" Type="http://schemas.openxmlformats.org/officeDocument/2006/relationships/hyperlink" Target="https://drive.google.com/drive/folders/1VzvnbbGrQ3d52cKdbZgpLFAv3QOt1mc9?usp=drive_link" TargetMode="External"/><Relationship Id="rId170" Type="http://schemas.openxmlformats.org/officeDocument/2006/relationships/hyperlink" Target="https://ieeexplore.ieee.org/abstract/document/10969917" TargetMode="External"/><Relationship Id="rId191" Type="http://schemas.openxmlformats.org/officeDocument/2006/relationships/hyperlink" Target="https://link.springer.com/article/10.1007/s10854-024-13512-5" TargetMode="External"/><Relationship Id="rId205" Type="http://schemas.openxmlformats.org/officeDocument/2006/relationships/hyperlink" Target="https://drive.google.com/file/d/1A1VrBOvOYjbaSnDm5wQzkk6JTl3r4FGi/view?usp=drive_link" TargetMode="External"/><Relationship Id="rId107" Type="http://schemas.openxmlformats.org/officeDocument/2006/relationships/hyperlink" Target="https://drive.google.com/drive/folders/13AymKPp77u-KKAIyGoybuoHyb_6SurGf?usp=drive_link" TargetMode="External"/><Relationship Id="rId11" Type="http://schemas.openxmlformats.org/officeDocument/2006/relationships/hyperlink" Target="https://www.tandfonline.com/doi/full/10.1080/15567036.2024.2386373" TargetMode="External"/><Relationship Id="rId32" Type="http://schemas.openxmlformats.org/officeDocument/2006/relationships/hyperlink" Target="https://doi.org/10.1109/TCSI.2024.3505419" TargetMode="External"/><Relationship Id="rId53" Type="http://schemas.openxmlformats.org/officeDocument/2006/relationships/hyperlink" Target="https://doi.org/10.62754/joe.v3i8.4918" TargetMode="External"/><Relationship Id="rId74" Type="http://schemas.openxmlformats.org/officeDocument/2006/relationships/hyperlink" Target="https://drive.google.com/file/d/1lWMHWRMqcnbBsv-dgaaEbEb4ibO1DrC7/view?usp=drive_link" TargetMode="External"/><Relationship Id="rId128" Type="http://schemas.openxmlformats.org/officeDocument/2006/relationships/hyperlink" Target="https://drive.google.com/file/d/14qFy_nMmHB8g444e8h5XDBgaZIxVGd11/view?usp=sharing" TargetMode="External"/><Relationship Id="rId149" Type="http://schemas.openxmlformats.org/officeDocument/2006/relationships/hyperlink" Target="https://drive.google.com/file/d/1uU26xdztPL7QHBWD6_vaegws3XNI7aPr/view?usp=sharing" TargetMode="External"/><Relationship Id="rId5" Type="http://schemas.openxmlformats.org/officeDocument/2006/relationships/hyperlink" Target="https://jaem.isikun.edu.tr/web/index.php/current/126-vol14no4/1291-maxwell-cattaneo-law-of-heat-conduction-through-porous-ferroconvection-with-magnetic-field-dependent-viscosity" TargetMode="External"/><Relationship Id="rId95" Type="http://schemas.openxmlformats.org/officeDocument/2006/relationships/hyperlink" Target="https://iopscience.iop.org/article/10.1149/2162-8777/adc2d2/meta" TargetMode="External"/><Relationship Id="rId160" Type="http://schemas.openxmlformats.org/officeDocument/2006/relationships/hyperlink" Target="https://drive.google.com/drive/folders/1VzvnbbGrQ3d52cKdbZgpLFAv3QOt1mc9?usp=drive_link" TargetMode="External"/><Relationship Id="rId181" Type="http://schemas.openxmlformats.org/officeDocument/2006/relationships/hyperlink" Target="https://pubs.acs.org/doi/10.1021/acschemneuro.4c00458" TargetMode="External"/><Relationship Id="rId22" Type="http://schemas.openxmlformats.org/officeDocument/2006/relationships/hyperlink" Target="https://drive.google.com/drive/folders/11aIa3tTiTLk12qaKFGnqJVBbFOryK81C?usp=drive_link" TargetMode="External"/><Relationship Id="rId43" Type="http://schemas.openxmlformats.org/officeDocument/2006/relationships/hyperlink" Target="https://ieeexplore.ieee.org/document/10895370" TargetMode="External"/><Relationship Id="rId64" Type="http://schemas.openxmlformats.org/officeDocument/2006/relationships/hyperlink" Target="https://ieeexplore.ieee.org/abstract/document/10969941" TargetMode="External"/><Relationship Id="rId118" Type="http://schemas.openxmlformats.org/officeDocument/2006/relationships/hyperlink" Target="https://qtanalytics.in/publications/index.php/books/article/download/530/398/1330" TargetMode="External"/><Relationship Id="rId139" Type="http://schemas.openxmlformats.org/officeDocument/2006/relationships/hyperlink" Target="https://drive.google.com/drive/folders/1Gw7lsaK8p_2wwXImgT0qyRsywz5aIu5L?usp=drive_link" TargetMode="External"/><Relationship Id="rId85" Type="http://schemas.openxmlformats.org/officeDocument/2006/relationships/hyperlink" Target="https://drive.google.com/drive/folders/1YtDpHgIzSivFfZ7DxGe2k2HoRIT6D2O2" TargetMode="External"/><Relationship Id="rId150" Type="http://schemas.openxmlformats.org/officeDocument/2006/relationships/hyperlink" Target="https://drive.google.com/file/d/1rBRENXoAIaMi5Kx99FnwynSuxbSTeHMV/view?usp=drive_link" TargetMode="External"/><Relationship Id="rId171" Type="http://schemas.openxmlformats.org/officeDocument/2006/relationships/hyperlink" Target="https://drive.google.com/file/d/1PVj7WIGXk_FdHKOxr7HG9ni12X65fe1x/view?usp=sharing" TargetMode="External"/><Relationship Id="rId192" Type="http://schemas.openxmlformats.org/officeDocument/2006/relationships/hyperlink" Target="https://www.sciencedirect.com/science/article/abs/pii/S1387700324012656" TargetMode="External"/><Relationship Id="rId206" Type="http://schemas.openxmlformats.org/officeDocument/2006/relationships/hyperlink" Target="https://drive.google.com/drive/folders/15PXlCNveHApEzOX1RuvDuKKgxcYdZfVl?usp=drive_link" TargetMode="External"/><Relationship Id="rId12" Type="http://schemas.openxmlformats.org/officeDocument/2006/relationships/hyperlink" Target="https://link.springer.com/article/10.1007/s11837-024-06897-5" TargetMode="External"/><Relationship Id="rId33" Type="http://schemas.openxmlformats.org/officeDocument/2006/relationships/hyperlink" Target="https://ieeexplore.ieee.org/document/10723484" TargetMode="External"/><Relationship Id="rId108" Type="http://schemas.openxmlformats.org/officeDocument/2006/relationships/hyperlink" Target="https://link.springer.com/article/10.1007/s12633-025-03319-2" TargetMode="External"/><Relationship Id="rId129" Type="http://schemas.openxmlformats.org/officeDocument/2006/relationships/hyperlink" Target="https://drive.google.com/file/d/1aLPKWpBNaUVEH3WyDW5ZCUZpTUK7aj7i/view?usp=drive_link" TargetMode="External"/><Relationship Id="rId54" Type="http://schemas.openxmlformats.org/officeDocument/2006/relationships/hyperlink" Target="https://ecohumanism.co.uk/joe/ecohumanism/article/view/4918" TargetMode="External"/><Relationship Id="rId75" Type="http://schemas.openxmlformats.org/officeDocument/2006/relationships/hyperlink" Target="https://drive.google.com/file/d/1bwLGFwqa07VtdeqUVYQgJlr0X_WjINl_/view?usp=drive_link" TargetMode="External"/><Relationship Id="rId96" Type="http://schemas.openxmlformats.org/officeDocument/2006/relationships/hyperlink" Target="https://link.springer.com/article/10.1007/s11468-025-02888-7" TargetMode="External"/><Relationship Id="rId140" Type="http://schemas.openxmlformats.org/officeDocument/2006/relationships/hyperlink" Target="https://drive.google.com/drive/folders/1TbKtE7S0SqbwZDpDuRC-SpQh3q6QetAV?usp=drive_link" TargetMode="External"/><Relationship Id="rId161" Type="http://schemas.openxmlformats.org/officeDocument/2006/relationships/hyperlink" Target="https://iopscience.iop.org/article/10.1149/2162-8777/add49b/meta" TargetMode="External"/><Relationship Id="rId182" Type="http://schemas.openxmlformats.org/officeDocument/2006/relationships/hyperlink" Target="https://www.sciencedirect.com/journal/journal-of-hazardous-materials-advances/vol/17/suppl/C" TargetMode="External"/><Relationship Id="rId6" Type="http://schemas.openxmlformats.org/officeDocument/2006/relationships/hyperlink" Target="https://doi.org/10.26516/1997-7670.2025.51.34" TargetMode="External"/><Relationship Id="rId23" Type="http://schemas.openxmlformats.org/officeDocument/2006/relationships/hyperlink" Target="https://doi.org/10.1109/IICCCS61609.2024.10763886" TargetMode="External"/><Relationship Id="rId119" Type="http://schemas.openxmlformats.org/officeDocument/2006/relationships/hyperlink" Target="https://drive.google.com/drive/folders/11hu30w6fDTuabXz2LyBlE2mC6tLwRrHl" TargetMode="External"/><Relationship Id="rId44" Type="http://schemas.openxmlformats.org/officeDocument/2006/relationships/hyperlink" Target="https://drive.google.com/file/d/1AVjn6lRSB0fIrhTk3rgFlERFDRERfuUW/view?usp=drive_link" TargetMode="External"/><Relationship Id="rId65" Type="http://schemas.openxmlformats.org/officeDocument/2006/relationships/hyperlink" Target="https://drive.google.com/file/d/1NrWd7cZ2prIT8zOITIr0XE21KkN1tCTH/view?usp=sharing" TargetMode="External"/><Relationship Id="rId86" Type="http://schemas.openxmlformats.org/officeDocument/2006/relationships/hyperlink" Target="https://ieeexplore.ieee.org/document/11009518" TargetMode="External"/><Relationship Id="rId130" Type="http://schemas.openxmlformats.org/officeDocument/2006/relationships/hyperlink" Target="https://drive.google.com/file/d/1GhJsbDBsC3JzqonfEhJSRrmk0xRjJGn3/view?usp=sharing" TargetMode="External"/><Relationship Id="rId151" Type="http://schemas.openxmlformats.org/officeDocument/2006/relationships/hyperlink" Target="https://drive.google.com/file/d/1UTTZY_w2NWFbvNY1MO1Y2k7J0Jz07wkU/view?usp=sharing" TargetMode="External"/><Relationship Id="rId172" Type="http://schemas.openxmlformats.org/officeDocument/2006/relationships/hyperlink" Target="https://doi.org/10.1109/ICKECS65700.2025.11035782" TargetMode="External"/><Relationship Id="rId193" Type="http://schemas.openxmlformats.org/officeDocument/2006/relationships/hyperlink" Target="https://doi.org/10.1016/j.jphotochem.2024.116087" TargetMode="External"/><Relationship Id="rId207" Type="http://schemas.openxmlformats.org/officeDocument/2006/relationships/hyperlink" Target="https://www.sciencedirect.com/journal/materials-chemistry-and-physics" TargetMode="External"/><Relationship Id="rId13" Type="http://schemas.openxmlformats.org/officeDocument/2006/relationships/hyperlink" Target="https://ieeexplore.ieee.org/document/10724153" TargetMode="External"/><Relationship Id="rId109" Type="http://schemas.openxmlformats.org/officeDocument/2006/relationships/hyperlink" Target="https://www.sciencedirect.com/science/article/abs/pii/S003039922500550X" TargetMode="External"/><Relationship Id="rId34" Type="http://schemas.openxmlformats.org/officeDocument/2006/relationships/hyperlink" Target="https://drive.google.com/drive/folders/1Rod-EI_QStLgieDL7FW60oGle3WvcC91?usp=sharing" TargetMode="External"/><Relationship Id="rId55" Type="http://schemas.openxmlformats.org/officeDocument/2006/relationships/hyperlink" Target="https://doi.org/10.1109/icSmartGrid61824.2024.10578078" TargetMode="External"/><Relationship Id="rId76" Type="http://schemas.openxmlformats.org/officeDocument/2006/relationships/hyperlink" Target="https://doi.org/10.3390/cryst14070667" TargetMode="External"/><Relationship Id="rId97" Type="http://schemas.openxmlformats.org/officeDocument/2006/relationships/hyperlink" Target="https://drive.google.com/file/d/143cXjyXBEZ0hVJVV3KoRom0xlc4WaaKs/view?usp=sharing" TargetMode="External"/><Relationship Id="rId120" Type="http://schemas.openxmlformats.org/officeDocument/2006/relationships/hyperlink" Target="https://drive.google.com/drive/folders/11hu30w6fDTuabXz2LyBlE2mC6tLwRrHl" TargetMode="External"/><Relationship Id="rId141" Type="http://schemas.openxmlformats.org/officeDocument/2006/relationships/hyperlink" Target="https://drive.google.com/drive/folders/1oBvt1xE5lYAXQLtICRUeBsubhVYpJT6z?usp=sharing" TargetMode="External"/><Relationship Id="rId7" Type="http://schemas.openxmlformats.org/officeDocument/2006/relationships/hyperlink" Target="https://link.springer.com/article/10.1007/s10854-024-13430-6" TargetMode="External"/><Relationship Id="rId162" Type="http://schemas.openxmlformats.org/officeDocument/2006/relationships/hyperlink" Target="https://ieeexplore.ieee.org/abstract/document/11005483" TargetMode="External"/><Relationship Id="rId183" Type="http://schemas.openxmlformats.org/officeDocument/2006/relationships/hyperlink" Target="https://doi.org/10.1016/j.hazadv.2024.100553" TargetMode="External"/><Relationship Id="rId24" Type="http://schemas.openxmlformats.org/officeDocument/2006/relationships/hyperlink" Target="https://drive.google.com/file/d/1KZSNwTEYeA70s3PBElX3N_LZizo2A_Vt/view?usp=sharing" TargetMode="External"/><Relationship Id="rId45" Type="http://schemas.openxmlformats.org/officeDocument/2006/relationships/hyperlink" Target="https://drive.google.com/drive/folders/1YRxA6_EAU9SKi3zTl4I7jGukX_n3CyYF?usp=drive_link" TargetMode="External"/><Relationship Id="rId66" Type="http://schemas.openxmlformats.org/officeDocument/2006/relationships/hyperlink" Target="https://doi.org/10.1063/5.0251278" TargetMode="External"/><Relationship Id="rId87" Type="http://schemas.openxmlformats.org/officeDocument/2006/relationships/hyperlink" Target="https://ieeexplore.ieee.org/stamp/stamp.jsp?tp=&amp;arnumber=10909107" TargetMode="External"/><Relationship Id="rId110" Type="http://schemas.openxmlformats.org/officeDocument/2006/relationships/hyperlink" Target="https://link.springer.com/journal/604" TargetMode="External"/><Relationship Id="rId131" Type="http://schemas.openxmlformats.org/officeDocument/2006/relationships/hyperlink" Target="https://drive.google.com/drive/u/0/folders/1x12s9qf2OSfxEG0OIE9i0g2iEwhJkLgL" TargetMode="External"/><Relationship Id="rId152" Type="http://schemas.openxmlformats.org/officeDocument/2006/relationships/hyperlink" Target="https://drive.google.com/file/d/1Px7KsEulDFJg490dMlZSEj8jWjyF9DXI/view?usp=sharing" TargetMode="External"/><Relationship Id="rId173" Type="http://schemas.openxmlformats.org/officeDocument/2006/relationships/hyperlink" Target="https://drive.google.com/file/d/1pirK0ekI1kWFmgA0EzA_eSy2gB0tjRyM/view?usp=sharing" TargetMode="External"/><Relationship Id="rId194" Type="http://schemas.openxmlformats.org/officeDocument/2006/relationships/hyperlink" Target="https://doi.org/10.1007/s12034-024-03290-5" TargetMode="External"/><Relationship Id="rId208" Type="http://schemas.openxmlformats.org/officeDocument/2006/relationships/hyperlink" Target="https://doi.org/10.1016/j.matchemphys.2025.131188" TargetMode="External"/><Relationship Id="rId19" Type="http://schemas.openxmlformats.org/officeDocument/2006/relationships/hyperlink" Target="https://doi.org/10.1109/ICECSP61809.2024.10698561" TargetMode="External"/><Relationship Id="rId14" Type="http://schemas.openxmlformats.org/officeDocument/2006/relationships/hyperlink" Target="https://drive.google.com/drive/folders/1dqy-hGyVkBwLrxclXBKye5BYiFRtsO2e?usp=drive_link" TargetMode="External"/><Relationship Id="rId30" Type="http://schemas.openxmlformats.org/officeDocument/2006/relationships/hyperlink" Target="https://www.sciencedirect.com/science/article/pii/S1369800124009673" TargetMode="External"/><Relationship Id="rId35" Type="http://schemas.openxmlformats.org/officeDocument/2006/relationships/hyperlink" Target="https://drive.google.com/drive/folders/1Rod-EI_QStLgieDL7FW60oGle3WvcC91?usp=sharing" TargetMode="External"/><Relationship Id="rId56" Type="http://schemas.openxmlformats.org/officeDocument/2006/relationships/hyperlink" Target="https://ieeexplore.ieee.org/document/10578078" TargetMode="External"/><Relationship Id="rId77" Type="http://schemas.openxmlformats.org/officeDocument/2006/relationships/hyperlink" Target="https://ieeexplore.ieee.org/document/10895609" TargetMode="External"/><Relationship Id="rId100" Type="http://schemas.openxmlformats.org/officeDocument/2006/relationships/hyperlink" Target="https://drive.google.com/file/d/1tgMLWSdxjRM4u88jNeSEJ8YHxO0RTjFV/view?usp=sharing" TargetMode="External"/><Relationship Id="rId105" Type="http://schemas.openxmlformats.org/officeDocument/2006/relationships/hyperlink" Target="https://drive.google.com/drive/folders/1zCTEtbH13oJDKdJKdlk1P9ncDeDJNZpI?usp=drive_link" TargetMode="External"/><Relationship Id="rId126" Type="http://schemas.openxmlformats.org/officeDocument/2006/relationships/hyperlink" Target="https://drive.google.com/drive/folders/1v5Doxz4WlUcuN9L8EjoqdMbM3_YgMVbp?usp=sharing" TargetMode="External"/><Relationship Id="rId147" Type="http://schemas.openxmlformats.org/officeDocument/2006/relationships/hyperlink" Target="https://link.springer.com/article/10.1007/s00170-025-15927-8" TargetMode="External"/><Relationship Id="rId168" Type="http://schemas.openxmlformats.org/officeDocument/2006/relationships/hyperlink" Target="https://ieeexplore.ieee.org/document/10763764" TargetMode="External"/><Relationship Id="rId8" Type="http://schemas.openxmlformats.org/officeDocument/2006/relationships/hyperlink" Target="https://www.cell.com/action/showPdf?pii=S2405-8440%2824%2915153-5" TargetMode="External"/><Relationship Id="rId51" Type="http://schemas.openxmlformats.org/officeDocument/2006/relationships/hyperlink" Target="https://ecohumanism.co.uk/joe/ecohumanism/article/view/3502" TargetMode="External"/><Relationship Id="rId72" Type="http://schemas.openxmlformats.org/officeDocument/2006/relationships/hyperlink" Target="https://doi.org/10.1201/9781003606208" TargetMode="External"/><Relationship Id="rId93" Type="http://schemas.openxmlformats.org/officeDocument/2006/relationships/hyperlink" Target="https://doi.org/10.1109/ICTMIM65579.2025.10987961" TargetMode="External"/><Relationship Id="rId98" Type="http://schemas.openxmlformats.org/officeDocument/2006/relationships/hyperlink" Target="https://drive.google.com/drive/folders/1M_gHxW4R3MHzTlrBchDsDmKLY6fpjWBp?usp=drive_link" TargetMode="External"/><Relationship Id="rId121" Type="http://schemas.openxmlformats.org/officeDocument/2006/relationships/hyperlink" Target="https://drive.google.com/drive/folders/1cBY8oi2D85mOMhsKu3oKuBolvagAOwas?usp=drive_link" TargetMode="External"/><Relationship Id="rId142" Type="http://schemas.openxmlformats.org/officeDocument/2006/relationships/hyperlink" Target="https://drive.google.com/drive/folders/1p5TB6XT6_ug4U4ni8GBu8ASsWifLJ5i2?usp=drive_link" TargetMode="External"/><Relationship Id="rId163" Type="http://schemas.openxmlformats.org/officeDocument/2006/relationships/hyperlink" Target="https://drive.google.com/file/d/1vaB9uQ5KNo1Ov6N9B28Ls90Zon81Jw_G/view?usp=sharing" TargetMode="External"/><Relationship Id="rId184" Type="http://schemas.openxmlformats.org/officeDocument/2006/relationships/hyperlink" Target="https://www.sciencedirect.com/journal/journal-of-food-composition-and-analysis/vol/140/suppl/C" TargetMode="External"/><Relationship Id="rId189" Type="http://schemas.openxmlformats.org/officeDocument/2006/relationships/hyperlink" Target="https://onlinelibrary.wiley.com/doi/book/10.1002/9781394287697" TargetMode="External"/><Relationship Id="rId3" Type="http://schemas.openxmlformats.org/officeDocument/2006/relationships/hyperlink" Target="https://machineintelligenceresearchs.com/index.php/MIR/article/view/134" TargetMode="External"/><Relationship Id="rId25" Type="http://schemas.openxmlformats.org/officeDocument/2006/relationships/hyperlink" Target="https://drive.google.com/file/d/1GUrj1zf4patQuZ61pFHO8p2xxBpl800X/view?usp=drive_link" TargetMode="External"/><Relationship Id="rId46" Type="http://schemas.openxmlformats.org/officeDocument/2006/relationships/hyperlink" Target="https://drive.google.com/drive/folders/1izQ8pHIiEh9-G8cjuExVCl1s37xBoMqI?usp=sharing" TargetMode="External"/><Relationship Id="rId67" Type="http://schemas.openxmlformats.org/officeDocument/2006/relationships/hyperlink" Target="https://doi.org/10.1109/I4C62240.2024" TargetMode="External"/><Relationship Id="rId116" Type="http://schemas.openxmlformats.org/officeDocument/2006/relationships/hyperlink" Target="https://qtanalytics.in/publications/index.php/books/index" TargetMode="External"/><Relationship Id="rId137" Type="http://schemas.openxmlformats.org/officeDocument/2006/relationships/hyperlink" Target="https://drive.google.com/drive/folders/1DvEv_H2GTOViJpXnptGj611pguX71IiJ?usp=drive_link" TargetMode="External"/><Relationship Id="rId158" Type="http://schemas.openxmlformats.org/officeDocument/2006/relationships/hyperlink" Target="https://drive.google.com/drive/folders/1Y_wJRXsEi8ucy3DWKCgn5QYHpO3tKZG9?usp=drive_link" TargetMode="External"/><Relationship Id="rId20" Type="http://schemas.openxmlformats.org/officeDocument/2006/relationships/hyperlink" Target="https://mail.ijcna.org/Manuscripts/IJCNA-2024-O-40.pdf" TargetMode="External"/><Relationship Id="rId41" Type="http://schemas.openxmlformats.org/officeDocument/2006/relationships/hyperlink" Target="https://doi.org/10.5488/cmp.27.43702" TargetMode="External"/><Relationship Id="rId62" Type="http://schemas.openxmlformats.org/officeDocument/2006/relationships/hyperlink" Target="https://drive.google.com/file/d/1xmLGmQdkjuevKvNM35GpFP0k6V5OVJzG/view?usp=sharing" TargetMode="External"/><Relationship Id="rId83" Type="http://schemas.openxmlformats.org/officeDocument/2006/relationships/hyperlink" Target="https://drive.google.com/drive/folders/1QL-XJuis9tXIVAR-QhsyAh5M5b4ckvlB" TargetMode="External"/><Relationship Id="rId88" Type="http://schemas.openxmlformats.org/officeDocument/2006/relationships/hyperlink" Target="https://ieeexplore.ieee.org/document/10919043" TargetMode="External"/><Relationship Id="rId111" Type="http://schemas.openxmlformats.org/officeDocument/2006/relationships/hyperlink" Target="https://link.springer.com/article/10.1007/s00604-025-07226-6" TargetMode="External"/><Relationship Id="rId132" Type="http://schemas.openxmlformats.org/officeDocument/2006/relationships/hyperlink" Target="https://drive.google.com/drive/u/0/folders/1fmWwNVtMuWbtsLEfCE7Fd-2b-wFuYetz" TargetMode="External"/><Relationship Id="rId153" Type="http://schemas.openxmlformats.org/officeDocument/2006/relationships/hyperlink" Target="https://doi.org/10.1007/s42979-024-03619-1" TargetMode="External"/><Relationship Id="rId174" Type="http://schemas.openxmlformats.org/officeDocument/2006/relationships/hyperlink" Target="https://drive.google.com/drive/folders/1EiInRKfN3mq-Ig6ON6O6Q0iumAmofoeW" TargetMode="External"/><Relationship Id="rId179" Type="http://schemas.openxmlformats.org/officeDocument/2006/relationships/hyperlink" Target="https://doi.org/10.1007/978-981-97-3958-5_13" TargetMode="External"/><Relationship Id="rId195" Type="http://schemas.openxmlformats.org/officeDocument/2006/relationships/hyperlink" Target="https://link.springer.com/chapter/10.1007/978-3-031-69970-2_13" TargetMode="External"/><Relationship Id="rId209" Type="http://schemas.openxmlformats.org/officeDocument/2006/relationships/hyperlink" Target="https://drive.google.com/drive/folders/1sqomThjYS-oJMFahuq9_9Z0hQ9TLCzXg?usp=sharing" TargetMode="External"/><Relationship Id="rId190" Type="http://schemas.openxmlformats.org/officeDocument/2006/relationships/hyperlink" Target="https://doi.org/10.1002/9781394287697.ch3" TargetMode="External"/><Relationship Id="rId204" Type="http://schemas.openxmlformats.org/officeDocument/2006/relationships/hyperlink" Target="https://www.frontiersin.org/journals/toxicology/articles/10.3389/ftox.2025.1477822/full" TargetMode="External"/><Relationship Id="rId15" Type="http://schemas.openxmlformats.org/officeDocument/2006/relationships/hyperlink" Target="https://drive.google.com/drive/folders/165inki5lmR6wlUKMFNkJQy0KMoNt50BV?usp=drive_link" TargetMode="External"/><Relationship Id="rId36" Type="http://schemas.openxmlformats.org/officeDocument/2006/relationships/hyperlink" Target="https://drive.google.com/drive/folders/1Rod-EI_QStLgieDL7FW60oGle3WvcC91?usp=sharing" TargetMode="External"/><Relationship Id="rId57" Type="http://schemas.openxmlformats.org/officeDocument/2006/relationships/hyperlink" Target="https://drive.google.com/drive/folders/13OJmoSo5LGY853h2QaB2MhvopFMfOKgK?usp=drive_link" TargetMode="External"/><Relationship Id="rId106" Type="http://schemas.openxmlformats.org/officeDocument/2006/relationships/hyperlink" Target="https://drive.google.com/drive/folders/19Gz3ajCfSs02xxHl8TyMtwGgZsInRTQw?usp=drive_link" TargetMode="External"/><Relationship Id="rId127" Type="http://schemas.openxmlformats.org/officeDocument/2006/relationships/hyperlink" Target="https://drive.google.com/file/d/1spNCBg9RsmVS1LUlkjsl9vFT47SPuysw/view?usp=drive_link" TargetMode="External"/><Relationship Id="rId10" Type="http://schemas.openxmlformats.org/officeDocument/2006/relationships/hyperlink" Target="https://www.tandfonline.com/toc/ueso20/46/1" TargetMode="External"/><Relationship Id="rId31" Type="http://schemas.openxmlformats.org/officeDocument/2006/relationships/hyperlink" Target="https://www.taylorfrancis.com/chapters/edit/10.1201/9781003545941-5/prospective-role-mos2-zinc-nickel-flow-battery-systemml-review-preethi-dawnee-victor-george?context=ubx&amp;refId=b2747446-ee90-4d29-bf39-12f2791d7722" TargetMode="External"/><Relationship Id="rId52" Type="http://schemas.openxmlformats.org/officeDocument/2006/relationships/hyperlink" Target="https://www.igi-global.com/chapter/leveraging-artificial-intelligence-for-slum-mapping-and-upgrading-programs-using-drones/342451" TargetMode="External"/><Relationship Id="rId73" Type="http://schemas.openxmlformats.org/officeDocument/2006/relationships/hyperlink" Target="https://ieeexplore.ieee.org/document/10895733/authors" TargetMode="External"/><Relationship Id="rId78" Type="http://schemas.openxmlformats.org/officeDocument/2006/relationships/hyperlink" Target="http://crm-en.ics.org.ru/journal/article/3595/" TargetMode="External"/><Relationship Id="rId94" Type="http://schemas.openxmlformats.org/officeDocument/2006/relationships/hyperlink" Target="https://link.springer.com/article/10.1007/s10876-025-02796-0" TargetMode="External"/><Relationship Id="rId99" Type="http://schemas.openxmlformats.org/officeDocument/2006/relationships/hyperlink" Target="https://drive.google.com/file/d/1Sieur8PpcgBB7nr65ZWVeI-Bth6H_9oB/view?usp=sharing" TargetMode="External"/><Relationship Id="rId101" Type="http://schemas.openxmlformats.org/officeDocument/2006/relationships/hyperlink" Target="https://www.igi-global.com/book/multidisciplinary-approaches-data-innovation-smarter/356275" TargetMode="External"/><Relationship Id="rId122" Type="http://schemas.openxmlformats.org/officeDocument/2006/relationships/hyperlink" Target="https://drive.google.com/drive/folders/1ojZLhdDx-GY8tZ4VEswhps9Lk5JvZPei?usp=drive_link" TargetMode="External"/><Relationship Id="rId143" Type="http://schemas.openxmlformats.org/officeDocument/2006/relationships/hyperlink" Target="https://drive.google.com/drive/folders/1n8XqR_t9zQgVyC-GhrtkSJ5A4DZlMycC?usp=drive_link" TargetMode="External"/><Relationship Id="rId148" Type="http://schemas.openxmlformats.org/officeDocument/2006/relationships/hyperlink" Target="https://drive.google.com/file/d/1vMXQQxg77o2YenTBDpyjJi2kKsqjssFL/view?usp=sharing" TargetMode="External"/><Relationship Id="rId164" Type="http://schemas.openxmlformats.org/officeDocument/2006/relationships/hyperlink" Target="https://drive.google.com/file/d/1oRzXc0EihTqXSybQgHzjQ_7yW9K0ewKc/view?usp=drive_link" TargetMode="External"/><Relationship Id="rId169" Type="http://schemas.openxmlformats.org/officeDocument/2006/relationships/hyperlink" Target="https://ieeexplore.ieee.org/abstract/document/11005337" TargetMode="External"/><Relationship Id="rId185" Type="http://schemas.openxmlformats.org/officeDocument/2006/relationships/hyperlink" Target="https://doi.org/10.1016/j.jfca.2024.107161" TargetMode="External"/><Relationship Id="rId4" Type="http://schemas.openxmlformats.org/officeDocument/2006/relationships/hyperlink" Target="https://jaem.isikun.edu.tr/web/index.php/archive/125-vol14no3/1244-impact-of-modulated-magnetic-field-on-the-advent-of-ferroconvection-in-a-permeable-medium" TargetMode="External"/><Relationship Id="rId9" Type="http://schemas.openxmlformats.org/officeDocument/2006/relationships/hyperlink" Target="https://ieeexplore.ieee.org/document/10714872" TargetMode="External"/><Relationship Id="rId180" Type="http://schemas.openxmlformats.org/officeDocument/2006/relationships/hyperlink" Target="https://link.springer.com/article/10.1186/s11671-024-04152-z" TargetMode="External"/><Relationship Id="rId210" Type="http://schemas.openxmlformats.org/officeDocument/2006/relationships/hyperlink" Target="https://iopscience.iop.org/article/10.1088/1402-4896/ad8c01" TargetMode="External"/><Relationship Id="rId26" Type="http://schemas.openxmlformats.org/officeDocument/2006/relationships/hyperlink" Target="https://drive.google.com/drive/u/0/folders/1ssnDGzeESwmDJ3TmZbZICnkSHVyaO97z" TargetMode="External"/><Relationship Id="rId47" Type="http://schemas.openxmlformats.org/officeDocument/2006/relationships/hyperlink" Target="https://ieeexplore.ieee.org/xpl/conhome/10748371/proceeding?isnumber=10748420&amp;sortType=vol-only-seq&amp;refinementName=Author&amp;refinements=Author:Ananth%20Kumar%20M%20S" TargetMode="External"/><Relationship Id="rId68" Type="http://schemas.openxmlformats.org/officeDocument/2006/relationships/hyperlink" Target="https://ieeexplore.ieee.org/abstract/document/10748450" TargetMode="External"/><Relationship Id="rId89" Type="http://schemas.openxmlformats.org/officeDocument/2006/relationships/hyperlink" Target="https://drive.google.com/drive/folders/1TPtEqV9b-mDXtZkKvBricvkABpQ6u1C8?usp=drive_link" TargetMode="External"/><Relationship Id="rId112" Type="http://schemas.openxmlformats.org/officeDocument/2006/relationships/hyperlink" Target="https://drive.google.com/drive/folders/1BCvGC_6UNhIjYy9mLnKbVGT4x0NnVcIu?usp=drive_link" TargetMode="External"/><Relationship Id="rId133" Type="http://schemas.openxmlformats.org/officeDocument/2006/relationships/hyperlink" Target="https://drive.google.com/drive/folders/1bYJRhGmdKKPx9gvBVWw4AWL_uz5nErPZ?usp=drive_link" TargetMode="External"/><Relationship Id="rId154" Type="http://schemas.openxmlformats.org/officeDocument/2006/relationships/hyperlink" Target="https://link.springer.com/article/10.1007/s42979-024-03619-1" TargetMode="External"/><Relationship Id="rId175" Type="http://schemas.openxmlformats.org/officeDocument/2006/relationships/hyperlink" Target="http://dx.doi.org/10.2174/0115734110287874240629095513" TargetMode="External"/><Relationship Id="rId196" Type="http://schemas.openxmlformats.org/officeDocument/2006/relationships/hyperlink" Target="https://link.springer.com/chapter/10.1007/978-3-031-69970-2_8" TargetMode="External"/><Relationship Id="rId200" Type="http://schemas.openxmlformats.org/officeDocument/2006/relationships/hyperlink" Target="https://iopscience.iop.org/article/10.1088/1742-6596/2886/1/012010" TargetMode="External"/><Relationship Id="rId16" Type="http://schemas.openxmlformats.org/officeDocument/2006/relationships/hyperlink" Target="https://drive.google.com/file/d/1jIs_UZsyemYVkYOe2J5mhGuFK4hDykKx/view?usp=sharing" TargetMode="External"/><Relationship Id="rId37" Type="http://schemas.openxmlformats.org/officeDocument/2006/relationships/hyperlink" Target="https://drive.google.com/file/d/1F9zqfEROuhHu_fAkOfDHRbuSj9AIeOOv/view?usp=sharing" TargetMode="External"/><Relationship Id="rId58" Type="http://schemas.openxmlformats.org/officeDocument/2006/relationships/hyperlink" Target="https://doi.org/10.1109/IC3I61595.2024.10828932" TargetMode="External"/><Relationship Id="rId79" Type="http://schemas.openxmlformats.org/officeDocument/2006/relationships/hyperlink" Target="https://drive.google.com/drive/folders/17keRGkgR9SgdPA346merYksMjuUrIDUI?usp=drive_link" TargetMode="External"/><Relationship Id="rId102" Type="http://schemas.openxmlformats.org/officeDocument/2006/relationships/hyperlink" Target="https://drive.google.com/drive/folders/1F0beOCdEsvv2-oGGNybG3Da8HZM1xFD9?usp=drive_link" TargetMode="External"/><Relationship Id="rId123" Type="http://schemas.openxmlformats.org/officeDocument/2006/relationships/hyperlink" Target="https://drive.google.com/file/d/1V1quGL0iUSKFRx_PH5ZaADfjikTr8d5V/view?usp=drive_link" TargetMode="External"/><Relationship Id="rId144" Type="http://schemas.openxmlformats.org/officeDocument/2006/relationships/hyperlink" Target="https://pubmed.ncbi.nlm.nih.gov/40341428/" TargetMode="External"/><Relationship Id="rId90" Type="http://schemas.openxmlformats.org/officeDocument/2006/relationships/hyperlink" Target="https://drive.google.com/drive/folders/1W3daz_J10wXFgliQHg0eKAUgvWowQEpI?usp=drive_link" TargetMode="External"/><Relationship Id="rId165" Type="http://schemas.openxmlformats.org/officeDocument/2006/relationships/hyperlink" Target="https://drive.google.com/file/d/17jzK_PGWicf3d_P1D6IhRZ3VeDNcmUX8/view?usp=drive_link" TargetMode="External"/><Relationship Id="rId186" Type="http://schemas.openxmlformats.org/officeDocument/2006/relationships/hyperlink" Target="https://doi.org/10.1016/j.ceramint.2024.12.107" TargetMode="External"/><Relationship Id="rId211" Type="http://schemas.openxmlformats.org/officeDocument/2006/relationships/hyperlink" Target="https://drive.google.com/file/d/1pRAC7YffXF1tmbPxit2tXC8FVjkUpIE3/view?usp=drive_link" TargetMode="External"/><Relationship Id="rId27" Type="http://schemas.openxmlformats.org/officeDocument/2006/relationships/hyperlink" Target="https://drive.google.com/drive/u/0/folders/1yAPbbDsxGpIuipw22dXWjYrV-JW4aV85" TargetMode="External"/><Relationship Id="rId48" Type="http://schemas.openxmlformats.org/officeDocument/2006/relationships/hyperlink" Target="https://link.springer.com/article/10.1007/s44174-024-00257-2" TargetMode="External"/><Relationship Id="rId69" Type="http://schemas.openxmlformats.org/officeDocument/2006/relationships/hyperlink" Target="https://ieeexplore.ieee.org/document/10593083" TargetMode="External"/><Relationship Id="rId113" Type="http://schemas.openxmlformats.org/officeDocument/2006/relationships/hyperlink" Target="https://drive.google.com/drive/folders/1SDioPGpA0SpQ2sTiKcP28m0G6bMgV7Cp?usp=drive_link" TargetMode="External"/><Relationship Id="rId134" Type="http://schemas.openxmlformats.org/officeDocument/2006/relationships/hyperlink" Target="https://drive.google.com/drive/folders/1WMQhnjpMzP7oBtL8soov5KWxvDmsxRPf?usp=drive_link" TargetMode="External"/><Relationship Id="rId80" Type="http://schemas.openxmlformats.org/officeDocument/2006/relationships/hyperlink" Target="https://drive.google.com/drive/folders/16PlevYo81Vy8-lPnO6C6kBlIOQdqTYzN?usp=drive_link" TargetMode="External"/><Relationship Id="rId155" Type="http://schemas.openxmlformats.org/officeDocument/2006/relationships/hyperlink" Target="https://drive.google.com/file/d/1lG82nCIpWCLurdXGnpx_JIlriI58iQbF/view?usp=sharing" TargetMode="External"/><Relationship Id="rId176" Type="http://schemas.openxmlformats.org/officeDocument/2006/relationships/hyperlink" Target="https://www.sciencedirect.com/handbook/comprehensive-analytical-chemistry" TargetMode="External"/><Relationship Id="rId197" Type="http://schemas.openxmlformats.org/officeDocument/2006/relationships/hyperlink" Target="https://iopscience.iop.org/article/10.1088/1742-6596/2886/1/012010" TargetMode="External"/><Relationship Id="rId201" Type="http://schemas.openxmlformats.org/officeDocument/2006/relationships/hyperlink" Target="https://doi.org/10.1007/s13738-024-03145-0" TargetMode="External"/><Relationship Id="rId17" Type="http://schemas.openxmlformats.org/officeDocument/2006/relationships/hyperlink" Target="https://drive.google.com/file/d/1iR2_4_60TJVpEH-VTgmZIMNpzBkqOqS9/view?usp=drive_link" TargetMode="External"/><Relationship Id="rId38" Type="http://schemas.openxmlformats.org/officeDocument/2006/relationships/hyperlink" Target="https://drive.google.com/drive/folders/1S25auaUPAaLR9jQA5Rc3uIiaqhevw2_7?usp=drive_link" TargetMode="External"/><Relationship Id="rId59" Type="http://schemas.openxmlformats.org/officeDocument/2006/relationships/hyperlink" Target="https://ieeexplore.ieee.org/document/10933189" TargetMode="External"/><Relationship Id="rId103" Type="http://schemas.openxmlformats.org/officeDocument/2006/relationships/hyperlink" Target="https://drive.google.com/drive/folders/1Zn7LJ7X27e1GnSHek7vyzpQ27zY5_oEj?usp=drive_link" TargetMode="External"/><Relationship Id="rId124" Type="http://schemas.openxmlformats.org/officeDocument/2006/relationships/hyperlink" Target="https://drive.google.com/file/d/1JeSNCaezOuWBjNozWh8OpWMaI7fEaTH6/view?usp=sharing" TargetMode="External"/><Relationship Id="rId70" Type="http://schemas.openxmlformats.org/officeDocument/2006/relationships/hyperlink" Target="https://ieeexplore.ieee.org/document/10838638" TargetMode="External"/><Relationship Id="rId91" Type="http://schemas.openxmlformats.org/officeDocument/2006/relationships/hyperlink" Target="https://drive.google.com/drive/folders/1JsTgVofQil9o-4vTbgi_wt5fCeLsUAk2?usp=drive_link" TargetMode="External"/><Relationship Id="rId145" Type="http://schemas.openxmlformats.org/officeDocument/2006/relationships/hyperlink" Target="https://drive.google.com/drive/folders/115DbVPGIjhVFbOGB86bW647nPxqSkC9h?usp=drive_link" TargetMode="External"/><Relationship Id="rId166" Type="http://schemas.openxmlformats.org/officeDocument/2006/relationships/hyperlink" Target="https://drive.google.com/file/d/1gUDsPOArIO-GzOVdZyqAvjHB_O1lUr9h/view?usp=drive_link" TargetMode="External"/><Relationship Id="rId187" Type="http://schemas.openxmlformats.org/officeDocument/2006/relationships/hyperlink" Target="https://doi.org/10.1016/j.hazadv.2025.100736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s://drive.google.com/drive/u/0/folders/1iZj2sTu2uQaGZvJFDMImshR5c7lDG7d1" TargetMode="External"/><Relationship Id="rId28" Type="http://schemas.openxmlformats.org/officeDocument/2006/relationships/hyperlink" Target="https://drive.google.com/drive/folders/1tCLNxQ49eMQ5d-ZQWXrs_-bqYh-_XS-2?usp=drive_link" TargetMode="External"/><Relationship Id="rId49" Type="http://schemas.openxmlformats.org/officeDocument/2006/relationships/hyperlink" Target="https://link.springer.com/article/10.1007/s11220-024-00527-9" TargetMode="External"/><Relationship Id="rId114" Type="http://schemas.openxmlformats.org/officeDocument/2006/relationships/hyperlink" Target="https://drive.google.com/drive/folders/1XXteK37Nsz6W4RyyzsWL23vvsnMdXDK_?usp=drive_link" TargetMode="External"/><Relationship Id="rId60" Type="http://schemas.openxmlformats.org/officeDocument/2006/relationships/hyperlink" Target="https://doi.org/10.2991/978-94-6463-738-0_23" TargetMode="External"/><Relationship Id="rId81" Type="http://schemas.openxmlformats.org/officeDocument/2006/relationships/hyperlink" Target="https://drive.google.com/drive/folders/12nxmJ8xNG74D8CoZM4hfVsPofqxe8HYS" TargetMode="External"/><Relationship Id="rId135" Type="http://schemas.openxmlformats.org/officeDocument/2006/relationships/hyperlink" Target="https://drive.google.com/drive/folders/1gnrcBicXxw8Mn1m5Lgq2MXfJw4cf0u6C?usp=drive_link" TargetMode="External"/><Relationship Id="rId156" Type="http://schemas.openxmlformats.org/officeDocument/2006/relationships/hyperlink" Target="https://drive.google.com/file/d/1lgRkw0pUztKo-GFXhr_h81a2v3n9Jktp/view?usp=drive_link" TargetMode="External"/><Relationship Id="rId177" Type="http://schemas.openxmlformats.org/officeDocument/2006/relationships/hyperlink" Target="https://www.sciencedirect.com/handbook/comprehensive-analytical-chemistry/vol/107/suppl/C" TargetMode="External"/><Relationship Id="rId198" Type="http://schemas.openxmlformats.org/officeDocument/2006/relationships/hyperlink" Target="https://iopscience.iop.org/article/10.1088/1742-6596/2886/1/012009" TargetMode="External"/><Relationship Id="rId202" Type="http://schemas.openxmlformats.org/officeDocument/2006/relationships/hyperlink" Target="https://doi.org/10.1007/s00339-024-08189-w" TargetMode="External"/><Relationship Id="rId18" Type="http://schemas.openxmlformats.org/officeDocument/2006/relationships/hyperlink" Target="https://doi.org/10.3390/cryst14070667" TargetMode="External"/><Relationship Id="rId39" Type="http://schemas.openxmlformats.org/officeDocument/2006/relationships/hyperlink" Target="https://doi.org/10.1007/s11276-024-03886-z" TargetMode="External"/><Relationship Id="rId50" Type="http://schemas.openxmlformats.org/officeDocument/2006/relationships/hyperlink" Target="https://drive.google.com/file/d/1fxX6zbkYJTqtx5YTTG14rsRAF925YeR-/view?usp=sharing" TargetMode="External"/><Relationship Id="rId104" Type="http://schemas.openxmlformats.org/officeDocument/2006/relationships/hyperlink" Target="https://drive.google.com/drive/folders/1zeNWglecpScRexRsmQggTwmHEMrZwD0L?usp=drive_link" TargetMode="External"/><Relationship Id="rId125" Type="http://schemas.openxmlformats.org/officeDocument/2006/relationships/hyperlink" Target="https://drive.google.com/file/d/1_QpkKduFpmHhISNM6FXPfQZ3-hm8eS2W/view?usp=drive_link" TargetMode="External"/><Relationship Id="rId146" Type="http://schemas.openxmlformats.org/officeDocument/2006/relationships/hyperlink" Target="https://link.springer.com/article/10.1007/s00170-025-15927-8" TargetMode="External"/><Relationship Id="rId167" Type="http://schemas.openxmlformats.org/officeDocument/2006/relationships/hyperlink" Target="https://drive.google.com/file/d/14-55AlC74SKsuSGiGvVHcjuAJdWcT3KM/view?usp=sharing" TargetMode="External"/><Relationship Id="rId188" Type="http://schemas.openxmlformats.org/officeDocument/2006/relationships/hyperlink" Target="https://doi.org/10.56042/ijpap.v63i5.18117" TargetMode="External"/><Relationship Id="rId71" Type="http://schemas.openxmlformats.org/officeDocument/2006/relationships/hyperlink" Target="https://doi.org/10.1201/9781003606208" TargetMode="External"/><Relationship Id="rId92" Type="http://schemas.openxmlformats.org/officeDocument/2006/relationships/hyperlink" Target="https://doi.org/10.1109/ICEARS64219.2025.10941314" TargetMode="External"/><Relationship Id="rId213" Type="http://schemas.openxmlformats.org/officeDocument/2006/relationships/table" Target="../tables/table8.xml"/><Relationship Id="rId2" Type="http://schemas.openxmlformats.org/officeDocument/2006/relationships/hyperlink" Target="https://drive.google.com/file/d/1C2gdujw-v4ImxGKADA8JiSNakPe16gWD/view?usp=drive_link" TargetMode="External"/><Relationship Id="rId29" Type="http://schemas.openxmlformats.org/officeDocument/2006/relationships/hyperlink" Target="https://iopscience.iop.org/article/10.1088/1402-4896/ad8c01/meta" TargetMode="External"/><Relationship Id="rId40" Type="http://schemas.openxmlformats.org/officeDocument/2006/relationships/hyperlink" Target="https://drive.google.com/drive/folders/1O0pNgv3dIPTzERIzrbN1PTOt39IvIfFp?usp=sharing" TargetMode="External"/><Relationship Id="rId115" Type="http://schemas.openxmlformats.org/officeDocument/2006/relationships/hyperlink" Target="https://qtanalytics.in/publications/index.php/books/article/view/639" TargetMode="External"/><Relationship Id="rId136" Type="http://schemas.openxmlformats.org/officeDocument/2006/relationships/hyperlink" Target="https://drive.google.com/drive/folders/1eVNqw7GaUjbcfgss3WbAmUMKgGDtccfa?usp=drive_link" TargetMode="External"/><Relationship Id="rId157" Type="http://schemas.openxmlformats.org/officeDocument/2006/relationships/hyperlink" Target="https://drive.google.com/file/d/18cTlc7rwjrvPPygGGvr4onXLn80g-8r5/view?usp=drive_link" TargetMode="External"/><Relationship Id="rId178" Type="http://schemas.openxmlformats.org/officeDocument/2006/relationships/hyperlink" Target="https://doi.org/10.1016/bs.coac.2024.08.015" TargetMode="External"/><Relationship Id="rId61" Type="http://schemas.openxmlformats.org/officeDocument/2006/relationships/hyperlink" Target="https://drive.google.com/file/d/1HzcCQMMB1QkR9sIr2bubBpEnd9Mh8MLF/view?usp=drive_link" TargetMode="External"/><Relationship Id="rId82" Type="http://schemas.openxmlformats.org/officeDocument/2006/relationships/hyperlink" Target="https://drive.google.com/drive/folders/1mFHl19OuLpLOjhKa9WkIm5_knoWAT5MQ" TargetMode="External"/><Relationship Id="rId199" Type="http://schemas.openxmlformats.org/officeDocument/2006/relationships/hyperlink" Target="https://doi.org/10.1016/j.inoche.2024.113620" TargetMode="External"/><Relationship Id="rId203" Type="http://schemas.openxmlformats.org/officeDocument/2006/relationships/hyperlink" Target="https://www.sciencedirect.com/science/article/abs/pii/S092534672500263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u/0/folders/1aSYBDYtFpQwp-Hqw2xEcBnPH8o7arzU2" TargetMode="External"/><Relationship Id="rId21" Type="http://schemas.openxmlformats.org/officeDocument/2006/relationships/hyperlink" Target="https://drive.google.com/drive/folders/1RQtwRX3rJWLmYxK8qy5gRt4lqVaA-dFx?usp=drive_link" TargetMode="External"/><Relationship Id="rId42" Type="http://schemas.openxmlformats.org/officeDocument/2006/relationships/hyperlink" Target="https://drive.google.com/drive/u/1/folders/1hIVa7l8CnhptIXFP__T1ulNStelOq77o" TargetMode="External"/><Relationship Id="rId47" Type="http://schemas.openxmlformats.org/officeDocument/2006/relationships/hyperlink" Target="https://drive.google.com/drive/folders/1gBHuYo-kaq4rEFruOfqGzTERZKWuV0_P?usp=sharing" TargetMode="External"/><Relationship Id="rId63" Type="http://schemas.openxmlformats.org/officeDocument/2006/relationships/hyperlink" Target="https://drive.google.com/drive/folders/1RrzNLS0biPwyhpbdqakV86uEjw1pn52K?usp=drive_link" TargetMode="External"/><Relationship Id="rId68" Type="http://schemas.openxmlformats.org/officeDocument/2006/relationships/hyperlink" Target="https://drive.google.com/drive/folders/1BYuHszlV_bebexKEmF_eqz-DEVhklE4t?usp=drive_link" TargetMode="External"/><Relationship Id="rId84" Type="http://schemas.openxmlformats.org/officeDocument/2006/relationships/hyperlink" Target="https://drive.google.com/drive/folders/1vDzAruVRWZJSuXtV7XnWDU-EhPAozPHP?usp=sharing" TargetMode="External"/><Relationship Id="rId89" Type="http://schemas.openxmlformats.org/officeDocument/2006/relationships/hyperlink" Target="https://drive.google.com/file/d/1ABBgJRwUgrc6Uye1cnlqvB01k2x2QXpA/view?usp=sharing" TargetMode="External"/><Relationship Id="rId16" Type="http://schemas.openxmlformats.org/officeDocument/2006/relationships/hyperlink" Target="https://drive.google.com/drive/folders/1natnJWJqYpkprUJzLKDk1VYXMbSHBeBB?usp=drive_link" TargetMode="External"/><Relationship Id="rId107" Type="http://schemas.openxmlformats.org/officeDocument/2006/relationships/hyperlink" Target="https://drive.google.com/file/d/1hLwarIyx57mftX0I03QL1I_9_rCgqt-m/view?usp=sharing" TargetMode="External"/><Relationship Id="rId11" Type="http://schemas.openxmlformats.org/officeDocument/2006/relationships/hyperlink" Target="https://drive.google.com/drive/folders/11mcSR5tFvwCVVyDuTcSkn3vlS_6dvCLe?usp=drive_link" TargetMode="External"/><Relationship Id="rId32" Type="http://schemas.openxmlformats.org/officeDocument/2006/relationships/hyperlink" Target="https://drive.google.com/drive/u/0/folders/1mIi_dpGn1vUNhrTekZ_o-K2wrM7yFht1" TargetMode="External"/><Relationship Id="rId37" Type="http://schemas.openxmlformats.org/officeDocument/2006/relationships/hyperlink" Target="https://drive.google.com/drive/folders/1utV2R9JtQT5wRPkUT4rit-YR4g9joLU6?usp=drive_link" TargetMode="External"/><Relationship Id="rId53" Type="http://schemas.openxmlformats.org/officeDocument/2006/relationships/hyperlink" Target="https://drive.google.com/drive/folders/178dTFC_LGPmChaKnc2mY4I4AGTqm2sZL?usp=sharing" TargetMode="External"/><Relationship Id="rId58" Type="http://schemas.openxmlformats.org/officeDocument/2006/relationships/hyperlink" Target="https://drive.google.com/drive/folders/11CAjg81Rd7N9M1ipAlLKmz3WE37L7ic6?usp=drive_link" TargetMode="External"/><Relationship Id="rId74" Type="http://schemas.openxmlformats.org/officeDocument/2006/relationships/hyperlink" Target="https://drive.google.com/drive/folders/1yvrTzzyT6kyxaXa92jGPjLkCkzmqD23E?usp=drive_link" TargetMode="External"/><Relationship Id="rId79" Type="http://schemas.openxmlformats.org/officeDocument/2006/relationships/hyperlink" Target="https://drive.google.com/drive/u/1/folders/1pUEqqn1oKh5yTXDnpChpX4ZnAUcyFHlV" TargetMode="External"/><Relationship Id="rId102" Type="http://schemas.openxmlformats.org/officeDocument/2006/relationships/hyperlink" Target="https://drive.google.com/file/d/1CApI79OP5_Km8VzVxRXhDa0gwmuzdg7B/view?usp=sharing" TargetMode="External"/><Relationship Id="rId5" Type="http://schemas.openxmlformats.org/officeDocument/2006/relationships/hyperlink" Target="https://drive.google.com/drive/folders/1rNAQVigDS_t5qJGrML_3ccc4i7AIrIii?usp=sharing" TargetMode="External"/><Relationship Id="rId90" Type="http://schemas.openxmlformats.org/officeDocument/2006/relationships/hyperlink" Target="https://drive.google.com/file/d/1DQwY1Io126uYSDmFlfzEusFfBJRten1Y/view?usp=drive_link" TargetMode="External"/><Relationship Id="rId95" Type="http://schemas.openxmlformats.org/officeDocument/2006/relationships/hyperlink" Target="https://drive.google.com/drive/folders/19exb9JZ7Znb6OhKREs585k4bsooMmAOG?usp=drive_link" TargetMode="External"/><Relationship Id="rId22" Type="http://schemas.openxmlformats.org/officeDocument/2006/relationships/hyperlink" Target="https://drive.google.com/drive/u/0/folders/1awCyMKBEuEAWAHZ1q7_RnXIG3u3U0CYU" TargetMode="External"/><Relationship Id="rId27" Type="http://schemas.openxmlformats.org/officeDocument/2006/relationships/hyperlink" Target="https://drive.google.com/drive/u/0/folders/1R500f51SPPxcZfza8-MDdYtT_ksGF2wz" TargetMode="External"/><Relationship Id="rId43" Type="http://schemas.openxmlformats.org/officeDocument/2006/relationships/hyperlink" Target="https://drive.google.com/drive/folders/1zXwpCzJfFHHsPKdV1Wo3D9HOg8xaY1ed?usp=drive_link" TargetMode="External"/><Relationship Id="rId48" Type="http://schemas.openxmlformats.org/officeDocument/2006/relationships/hyperlink" Target="https://drive.google.com/drive/folders/1qx2PYx7B7dlfOQ_Q_CNDhx-la4YK_hKG?usp=sharing" TargetMode="External"/><Relationship Id="rId64" Type="http://schemas.openxmlformats.org/officeDocument/2006/relationships/hyperlink" Target="https://drive.google.com/drive/folders/1nY45tdVHJ2u014XWaqNJDNR7k44GKlza?usp=drive_link" TargetMode="External"/><Relationship Id="rId69" Type="http://schemas.openxmlformats.org/officeDocument/2006/relationships/hyperlink" Target="https://drive.google.com/file/d/1V3k7OmdjbNQC4jqF-nilTmllZQ0L_inL/view?usp=sharing" TargetMode="External"/><Relationship Id="rId80" Type="http://schemas.openxmlformats.org/officeDocument/2006/relationships/hyperlink" Target="https://drive.google.com/file/d/1ynKyLTbAylevaN7go3lY-QGCWwCo6NkY/view?usp=sharing" TargetMode="External"/><Relationship Id="rId85" Type="http://schemas.openxmlformats.org/officeDocument/2006/relationships/hyperlink" Target="https://drive.google.com/drive/folders/16nlmR-qqEglO9husp5CfJPnHYk-B0Z5J?usp=drive_link" TargetMode="External"/><Relationship Id="rId12" Type="http://schemas.openxmlformats.org/officeDocument/2006/relationships/hyperlink" Target="https://drive.google.com/drive/folders/11dJ55EgEPYYtjEPYMLFVLy5aeznDWCAV?usp=drive_link" TargetMode="External"/><Relationship Id="rId17" Type="http://schemas.openxmlformats.org/officeDocument/2006/relationships/hyperlink" Target="https://drive.google.com/drive/folders/1q90_imFpUB3J6EarQpme1tYpsbBPWOlw?usp=drive_link" TargetMode="External"/><Relationship Id="rId33" Type="http://schemas.openxmlformats.org/officeDocument/2006/relationships/hyperlink" Target="https://drive.google.com/drive/u/0/folders/1V4sDRE6s35q4euhUDK-oK932i-hiKlqJ" TargetMode="External"/><Relationship Id="rId38" Type="http://schemas.openxmlformats.org/officeDocument/2006/relationships/hyperlink" Target="https://drive.google.com/file/d/1O74nawh67xpn-wItq2KCfwVaUbXL1Fyn/view?usp=sharing" TargetMode="External"/><Relationship Id="rId59" Type="http://schemas.openxmlformats.org/officeDocument/2006/relationships/hyperlink" Target="https://drive.google.com/drive/folders/1Yep8WhlwbjcvghjVsEQcPQWY7cK5h0Qf?usp=drive_link" TargetMode="External"/><Relationship Id="rId103" Type="http://schemas.openxmlformats.org/officeDocument/2006/relationships/hyperlink" Target="https://drive.google.com/file/d/1suGG7WvrStAjgiVw8je9saIGrTPAciS-/view?usp=drive_link" TargetMode="External"/><Relationship Id="rId108" Type="http://schemas.openxmlformats.org/officeDocument/2006/relationships/hyperlink" Target="https://drive.google.com/file/d/1K22S9APLmzGDrXMm-7z0czTJo-N5-JBn/view?usp=sharing" TargetMode="External"/><Relationship Id="rId54" Type="http://schemas.openxmlformats.org/officeDocument/2006/relationships/hyperlink" Target="https://drive.google.com/drive/folders/1cARSmCQhCy6CXSXJFBTFhXFDNHIEvVIW?usp=drive_link" TargetMode="External"/><Relationship Id="rId70" Type="http://schemas.openxmlformats.org/officeDocument/2006/relationships/hyperlink" Target="https://drive.google.com/drive/folders/1NuZQr-U78w0QBlQG5LKFbYEb1obNhWKm?usp=drive_link" TargetMode="External"/><Relationship Id="rId75" Type="http://schemas.openxmlformats.org/officeDocument/2006/relationships/hyperlink" Target="https://drive.google.com/drive/folders/14OjhQzANeQ-nhAibW06PrGw2f27eKssx?usp=drive_link" TargetMode="External"/><Relationship Id="rId91" Type="http://schemas.openxmlformats.org/officeDocument/2006/relationships/hyperlink" Target="https://drive.google.com/drive/u/0/folders/1VLOVVPF3T_ISiKDlh_SBiZfCvJSempZd" TargetMode="External"/><Relationship Id="rId96" Type="http://schemas.openxmlformats.org/officeDocument/2006/relationships/hyperlink" Target="https://drive.google.com/drive/folders/1HQ6xmK1RiILu3tALsWgrw2ceyD1NoDFU?usp=drive_link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drive.google.com/drive/folders/19FkNsIk50pokCA4BY4J0YQMd21uMxJ1T?usp=sharing" TargetMode="External"/><Relationship Id="rId15" Type="http://schemas.openxmlformats.org/officeDocument/2006/relationships/hyperlink" Target="https://drive.google.com/drive/folders/1BpFs5wVNO5Z3iHrfMHEh37pwg9TRS0k7?usp=drive_link" TargetMode="External"/><Relationship Id="rId23" Type="http://schemas.openxmlformats.org/officeDocument/2006/relationships/hyperlink" Target="https://drive.google.com/drive/folders/1iVseuRNRbdfo_6p0-MC42sY9EXbfMwL8?usp=sharing" TargetMode="External"/><Relationship Id="rId28" Type="http://schemas.openxmlformats.org/officeDocument/2006/relationships/hyperlink" Target="https://drive.google.com/drive/u/0/folders/1WGmCEeC_cPweGTsnMP6JeJk5krBgPQIh" TargetMode="External"/><Relationship Id="rId36" Type="http://schemas.openxmlformats.org/officeDocument/2006/relationships/hyperlink" Target="https://drive.google.com/file/d/1XcEmkTvuDZOOf2YrJW9_0nfrGkcCDuUz/view?usp=drive_link" TargetMode="External"/><Relationship Id="rId49" Type="http://schemas.openxmlformats.org/officeDocument/2006/relationships/hyperlink" Target="https://drive.google.com/drive/folders/1QvKhchZgU5kRBVtWid9ULfZD-2jDXtgR?usp=drive_link" TargetMode="External"/><Relationship Id="rId57" Type="http://schemas.openxmlformats.org/officeDocument/2006/relationships/hyperlink" Target="https://drive.google.com/drive/folders/1-gzNJec5Ggc5u7p_QXoaZFpGY4gh4Hve?usp=drive_link" TargetMode="External"/><Relationship Id="rId106" Type="http://schemas.openxmlformats.org/officeDocument/2006/relationships/hyperlink" Target="https://drive.google.com/drive/folders/1EsKp8TY5vx4nUq-yYPf6nsAbAuIm4fWM?usp=sharing" TargetMode="External"/><Relationship Id="rId10" Type="http://schemas.openxmlformats.org/officeDocument/2006/relationships/hyperlink" Target="https://drive.google.com/drive/folders/1JZ5j_zX4rRXCiTimjyJEqlWf-md_3Nz-" TargetMode="External"/><Relationship Id="rId31" Type="http://schemas.openxmlformats.org/officeDocument/2006/relationships/hyperlink" Target="https://drive.google.com/drive/folders/1ygwWb8WQWx0lPM9580xbg3CUzzDroMJZ?usp=drive_link" TargetMode="External"/><Relationship Id="rId44" Type="http://schemas.openxmlformats.org/officeDocument/2006/relationships/hyperlink" Target="https://drive.google.com/drive/folders/1eJcLPtybOZdeuiVc0RiPcgLEY2eXXu3A?usp=drive_link" TargetMode="External"/><Relationship Id="rId52" Type="http://schemas.openxmlformats.org/officeDocument/2006/relationships/hyperlink" Target="https://drive.google.com/drive/folders/1b6u4yBeNnXd6W9yT6UdrQTigcpaC93Ia?usp=drive_link" TargetMode="External"/><Relationship Id="rId60" Type="http://schemas.openxmlformats.org/officeDocument/2006/relationships/hyperlink" Target="https://drive.google.com/file/d/158sdTkcCf4bguSCtaia1LsRa3tKY21sC/view?usp=sharing" TargetMode="External"/><Relationship Id="rId65" Type="http://schemas.openxmlformats.org/officeDocument/2006/relationships/hyperlink" Target="https://drive.google.com/drive/folders/1L-mHPN4vS69N4u34RPpAcsZ8CPsi0zeG?usp=sharing" TargetMode="External"/><Relationship Id="rId73" Type="http://schemas.openxmlformats.org/officeDocument/2006/relationships/hyperlink" Target="https://drive.google.com/drive/folders/1YTGmwIxuBnX3aMmm5G8dLLZsK9aXHHnZ?usp=drive_link" TargetMode="External"/><Relationship Id="rId78" Type="http://schemas.openxmlformats.org/officeDocument/2006/relationships/hyperlink" Target="https://drive.google.com/drive/folders/1eIDLJRgEB5v0MYjVaWKHpiO6zYZMC1H3?usp=drive_link" TargetMode="External"/><Relationship Id="rId81" Type="http://schemas.openxmlformats.org/officeDocument/2006/relationships/hyperlink" Target="https://drive.google.com/file/d/1y3nVR5tEDSQdQkHZuyQmw-H607szXwl1/view?usp=sharing" TargetMode="External"/><Relationship Id="rId86" Type="http://schemas.openxmlformats.org/officeDocument/2006/relationships/hyperlink" Target="https://drive.google.com/drive/folders/1M99VOHowAxgjJaE-ywOcMjx85hIiG2uB?usp=drive_link" TargetMode="External"/><Relationship Id="rId94" Type="http://schemas.openxmlformats.org/officeDocument/2006/relationships/hyperlink" Target="https://drive.google.com/file/d/1m6v1SGrjOsK69DfQoMOrp2CewszhCqsQ/view?usp=sharing" TargetMode="External"/><Relationship Id="rId99" Type="http://schemas.openxmlformats.org/officeDocument/2006/relationships/hyperlink" Target="https://drive.google.com/drive/folders/14xrbbWcrmn-kgcTplt9eC_1DztaF030w?usp=drive_link" TargetMode="External"/><Relationship Id="rId101" Type="http://schemas.openxmlformats.org/officeDocument/2006/relationships/hyperlink" Target="https://drive.google.com/file/d/1gwk-h3Yukj1AeoEwJrBsOhQaKUynlHCT/view?usp=sharing" TargetMode="External"/><Relationship Id="rId4" Type="http://schemas.openxmlformats.org/officeDocument/2006/relationships/hyperlink" Target="https://drive.google.com/file/d/1Wdt3kVOAWrNxxvh8mYOUhXsK8WThjnMf/view?usp=sharing" TargetMode="External"/><Relationship Id="rId9" Type="http://schemas.openxmlformats.org/officeDocument/2006/relationships/hyperlink" Target="https://drive.google.com/drive/folders/1vxdfjV6yoRSo8RxpdWkTogccxP5d655p?usp=sharing" TargetMode="External"/><Relationship Id="rId13" Type="http://schemas.openxmlformats.org/officeDocument/2006/relationships/hyperlink" Target="https://drive.google.com/drive/folders/1yEApE_kfoEbmdBNnHylufC3J7ZMO2dDz?usp=drive_link" TargetMode="External"/><Relationship Id="rId18" Type="http://schemas.openxmlformats.org/officeDocument/2006/relationships/hyperlink" Target="https://drive.google.com/drive/folders/172Z_Exwhj9I5Gd3w9debFNz626Ai09m7?usp=drive_link" TargetMode="External"/><Relationship Id="rId39" Type="http://schemas.openxmlformats.org/officeDocument/2006/relationships/hyperlink" Target="https://drive.google.com/file/d/1vbqt_-tTyQQ38vN2ZgvY11ryAOGrNN0Z/view?usp=sharing" TargetMode="External"/><Relationship Id="rId109" Type="http://schemas.openxmlformats.org/officeDocument/2006/relationships/hyperlink" Target="https://drive.google.com/file/d/1K22S9APLmzGDrXMm-7z0czTJo-N5-JBn/view?usp=sharing" TargetMode="External"/><Relationship Id="rId34" Type="http://schemas.openxmlformats.org/officeDocument/2006/relationships/hyperlink" Target="https://drive.google.com/drive/folders/1X5eaOHdWGmIpir-7btwPsO8iwiYudDl0?usp=drive_link" TargetMode="External"/><Relationship Id="rId50" Type="http://schemas.openxmlformats.org/officeDocument/2006/relationships/hyperlink" Target="https://drive.google.com/drive/u/0/folders/1SnNTGL-UpWZXCDKYGANOrdqGaqhhHD09" TargetMode="External"/><Relationship Id="rId55" Type="http://schemas.openxmlformats.org/officeDocument/2006/relationships/hyperlink" Target="https://drive.google.com/drive/folders/11_vi07BPgqnx5Haw8NvLIywrj8fJOO9H?usp=drive_link" TargetMode="External"/><Relationship Id="rId76" Type="http://schemas.openxmlformats.org/officeDocument/2006/relationships/hyperlink" Target="https://drive.google.com/drive/folders/1ENgVyPbS77370SyTXeA-iqPuR3bRuXYn?usp=drive_link" TargetMode="External"/><Relationship Id="rId97" Type="http://schemas.openxmlformats.org/officeDocument/2006/relationships/hyperlink" Target="https://drive.google.com/drive/folders/1F4y_riLy_yoRMYleutJA4GPEjf9aXjIL?usp=drive_link" TargetMode="External"/><Relationship Id="rId104" Type="http://schemas.openxmlformats.org/officeDocument/2006/relationships/hyperlink" Target="https://drive.google.com/file/d/1okzEzkDHpFqSAVKg7IHFuZGlsCdzkC51/view?usp=drive_link" TargetMode="External"/><Relationship Id="rId7" Type="http://schemas.openxmlformats.org/officeDocument/2006/relationships/hyperlink" Target="https://drive.google.com/drive/folders/10prUiKclaQ7M-J4hO8coX9BdTkha5VdM?usp=drive_link" TargetMode="External"/><Relationship Id="rId71" Type="http://schemas.openxmlformats.org/officeDocument/2006/relationships/hyperlink" Target="https://drive.google.com/drive/folders/1yJGdd3mXQtm8L-fuTD5anakKef-oqbyD?usp=drive_link" TargetMode="External"/><Relationship Id="rId92" Type="http://schemas.openxmlformats.org/officeDocument/2006/relationships/hyperlink" Target="https://iprsearch.ipindia.gov.in/RQStatus/CBR_Viewer.aspx?DocketNo=NDYyNDg=&amp;Date=MDcvMDUvMjAyNQ==&amp;Ipo=SVBPMg==" TargetMode="External"/><Relationship Id="rId2" Type="http://schemas.openxmlformats.org/officeDocument/2006/relationships/hyperlink" Target="https://drive.google.com/file/d/1_acHJucvUnNODfV7RmoN_vCDEEQ2-ByU/view?usp=sharing" TargetMode="External"/><Relationship Id="rId29" Type="http://schemas.openxmlformats.org/officeDocument/2006/relationships/hyperlink" Target="https://drive.google.com/drive/u/0/folders/1dVsUk8rDOFsrhxfY9fz5dqM3pNWlZkOG" TargetMode="External"/><Relationship Id="rId24" Type="http://schemas.openxmlformats.org/officeDocument/2006/relationships/hyperlink" Target="https://drive.google.com/drive/folders/1q0vH92EzQgwStlMeDEL9RtrorKR3l13p?usp=drive_link" TargetMode="External"/><Relationship Id="rId40" Type="http://schemas.openxmlformats.org/officeDocument/2006/relationships/hyperlink" Target="https://drive.google.com/file/d/1VsXZR2mU_ODkwR7LWFyN0yFEtPCMf8IO/view?usp=sharing" TargetMode="External"/><Relationship Id="rId45" Type="http://schemas.openxmlformats.org/officeDocument/2006/relationships/hyperlink" Target="https://drive.google.com/drive/folders/189iG4zLU91YhdS207sOqfXKp3whWSCJQ?usp=drive_link" TargetMode="External"/><Relationship Id="rId66" Type="http://schemas.openxmlformats.org/officeDocument/2006/relationships/hyperlink" Target="https://drive.google.com/drive/folders/1vSUhp-kk63TLsVyRN-7rxwWqd4EBJBDh?usp=sharing" TargetMode="External"/><Relationship Id="rId87" Type="http://schemas.openxmlformats.org/officeDocument/2006/relationships/hyperlink" Target="https://drive.google.com/drive/folders/1FpnQHYsMEp_5UZrlsTBHwUlfOsaDU-qg?usp=drive_link" TargetMode="External"/><Relationship Id="rId61" Type="http://schemas.openxmlformats.org/officeDocument/2006/relationships/hyperlink" Target="https://drive.google.com/drive/folders/1Tuxp1QTl3RPNLoK2W_HbjtRiFBCgpg61" TargetMode="External"/><Relationship Id="rId82" Type="http://schemas.openxmlformats.org/officeDocument/2006/relationships/hyperlink" Target="https://drive.google.com/drive/u/1/folders/1c_ia1zMrJhzZ2TOSnKIPt8gZA1cIIK-W" TargetMode="External"/><Relationship Id="rId19" Type="http://schemas.openxmlformats.org/officeDocument/2006/relationships/hyperlink" Target="https://drive.google.com/drive/folders/1b1rgE8UtTI-LwziDnCwLnUNGHp-MvUrE?usp=drive_link" TargetMode="External"/><Relationship Id="rId14" Type="http://schemas.openxmlformats.org/officeDocument/2006/relationships/hyperlink" Target="https://drive.google.com/drive/u/1/folders/1AWvfhGWIQQcdRhZCfld41Cdv6Ko4pjHF" TargetMode="External"/><Relationship Id="rId30" Type="http://schemas.openxmlformats.org/officeDocument/2006/relationships/hyperlink" Target="https://drive.google.com/drive/folders/1kT6Ym5Bd5M0MDGxOKqGAhKGsl35fj3EE?usp=drive_link" TargetMode="External"/><Relationship Id="rId35" Type="http://schemas.openxmlformats.org/officeDocument/2006/relationships/hyperlink" Target="https://drive.google.com/file/d/1VgyLPrjylvRSCvSvrMQUPMhE2GmfTAKx/view?usp=drive_link" TargetMode="External"/><Relationship Id="rId56" Type="http://schemas.openxmlformats.org/officeDocument/2006/relationships/hyperlink" Target="https://drive.google.com/drive/folders/1-QOkrnw6Fylal4qT0exIM94chV5enAtN?usp=drive_link" TargetMode="External"/><Relationship Id="rId77" Type="http://schemas.openxmlformats.org/officeDocument/2006/relationships/hyperlink" Target="https://drive.google.com/drive/folders/1hwi6Z5yEzeLkBs6dKlZ1ijiVKiXZJrp1?usp=drive_link" TargetMode="External"/><Relationship Id="rId100" Type="http://schemas.openxmlformats.org/officeDocument/2006/relationships/hyperlink" Target="https://drive.google.com/file/d/1pJgTkyO6eaDUjX6suSaE6xfiG9DJNPBz/view?usp=sharing" TargetMode="External"/><Relationship Id="rId105" Type="http://schemas.openxmlformats.org/officeDocument/2006/relationships/hyperlink" Target="https://drive.google.com/file/d/19TFk8II9Lh930gs3wqkyS0FvzBdq5b9K/view?usp=drive_link" TargetMode="External"/><Relationship Id="rId8" Type="http://schemas.openxmlformats.org/officeDocument/2006/relationships/hyperlink" Target="https://drive.google.com/drive/folders/1GNPti1g5ixRy9ml7w0QAqCPKxBDHHV76?usp=sharing" TargetMode="External"/><Relationship Id="rId51" Type="http://schemas.openxmlformats.org/officeDocument/2006/relationships/hyperlink" Target="https://drive.google.com/file/d/1-FwfKyrLJPh_4xIq8VjAKyBKq-vDyy01/view?usp=sharing" TargetMode="External"/><Relationship Id="rId72" Type="http://schemas.openxmlformats.org/officeDocument/2006/relationships/hyperlink" Target="https://drive.google.com/file/d/1PYLhjE34ZWITP51c-bVK-3Qf1Bbzf-Kf/view?usp=drive_link" TargetMode="External"/><Relationship Id="rId93" Type="http://schemas.openxmlformats.org/officeDocument/2006/relationships/hyperlink" Target="https://drive.google.com/drive/folders/1VC9dsnU22Z3KBqG_dgZaXccgS_UuodP-?usp=drive_link" TargetMode="External"/><Relationship Id="rId98" Type="http://schemas.openxmlformats.org/officeDocument/2006/relationships/hyperlink" Target="https://drive.google.com/drive/folders/1SMzbWA4AhyDuEkbGiUHvo5mBzBGbPuhL?usp=drive_link" TargetMode="External"/><Relationship Id="rId3" Type="http://schemas.openxmlformats.org/officeDocument/2006/relationships/hyperlink" Target="https://drive.google.com/file/d/1owEMsOp4u_tHNjWVaHNDJYz_xMo23hUY/view?usp=drive_link" TargetMode="External"/><Relationship Id="rId25" Type="http://schemas.openxmlformats.org/officeDocument/2006/relationships/hyperlink" Target="https://drive.google.com/file/d/1F9UbftsNTsMmfLZF07hF2l5aATzKfoIR/view?usp=drive_link" TargetMode="External"/><Relationship Id="rId46" Type="http://schemas.openxmlformats.org/officeDocument/2006/relationships/hyperlink" Target="https://drive.google.com/drive/folders/1R9T6jS4GRNVwWZ96bv0YPzH_HtCavPIL?usp=drive_link" TargetMode="External"/><Relationship Id="rId67" Type="http://schemas.openxmlformats.org/officeDocument/2006/relationships/hyperlink" Target="https://drive.google.com/drive/folders/14SO_qjAunfZgUDyD2fzebxpq67AaJkbv?usp=drive_link" TargetMode="External"/><Relationship Id="rId20" Type="http://schemas.openxmlformats.org/officeDocument/2006/relationships/hyperlink" Target="https://drive.google.com/drive/folders/1_4GvqQxRF03lHMlxmZ-H9bYbDqWVMudA?usp=drive_link" TargetMode="External"/><Relationship Id="rId41" Type="http://schemas.openxmlformats.org/officeDocument/2006/relationships/hyperlink" Target="https://drive.google.com/file/d/1-ds4bqycDFOG2oEP8hu01ut4ENUSIW19/view?usp=sharing" TargetMode="External"/><Relationship Id="rId62" Type="http://schemas.openxmlformats.org/officeDocument/2006/relationships/hyperlink" Target="https://drive.google.com/drive/folders/1mNTAalKXQCs-PSNal6Zq1hp05b1UusYc" TargetMode="External"/><Relationship Id="rId83" Type="http://schemas.openxmlformats.org/officeDocument/2006/relationships/hyperlink" Target="https://drive.google.com/drive/u/1/folders/1TkhcaS8SSkbPkiAhZKM36EVNRDamrzZI" TargetMode="External"/><Relationship Id="rId88" Type="http://schemas.openxmlformats.org/officeDocument/2006/relationships/hyperlink" Target="https://drive.google.com/file/d/1M6pVzPrqcjgXbBQRNe6NS7Z6p-c9NWrE/view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7MRWpqZoGhFM0p02PwfAllwBAe26Qh6N?usp=drive_link" TargetMode="External"/><Relationship Id="rId18" Type="http://schemas.openxmlformats.org/officeDocument/2006/relationships/hyperlink" Target="https://drive.google.com/file/d/1epFpRDEtwdWgCD23l83N3VHII4qCDs7v/view?usp=sharing" TargetMode="External"/><Relationship Id="rId26" Type="http://schemas.openxmlformats.org/officeDocument/2006/relationships/hyperlink" Target="https://drive.google.com/file/d/1oTHtlFtOkEviH7V2YCQFKgtjUKr2ugdd/view?usp=sharing" TargetMode="External"/><Relationship Id="rId39" Type="http://schemas.openxmlformats.org/officeDocument/2006/relationships/hyperlink" Target="https://drive.google.com/drive/folders/1MIz8BV1NYax0cZVHS36FWhUYP8efA9Sn?usp=drive_link" TargetMode="External"/><Relationship Id="rId21" Type="http://schemas.openxmlformats.org/officeDocument/2006/relationships/hyperlink" Target="https://drive.google.com/file/d/1FURHyqSX4iscx5U1gbnHgMf4CVgYGmNe/view?usp=sharing" TargetMode="External"/><Relationship Id="rId34" Type="http://schemas.openxmlformats.org/officeDocument/2006/relationships/hyperlink" Target="https://drive.google.com/file/d/1N9snmUsK2611mCIbvAvQgQURXGZ2s4Uz/view?usp=sharing" TargetMode="External"/><Relationship Id="rId42" Type="http://schemas.openxmlformats.org/officeDocument/2006/relationships/hyperlink" Target="https://drive.google.com/drive/folders/1Qc-TEL5o4UBrQkhAE4dl2UIWfgQ0sKVi?usp=sharing" TargetMode="External"/><Relationship Id="rId47" Type="http://schemas.openxmlformats.org/officeDocument/2006/relationships/hyperlink" Target="https://drive.google.com/drive/folders/136nM5WP6SJvI5JKrlQK5NqgNi2oHBnm3?usp=sharing" TargetMode="External"/><Relationship Id="rId50" Type="http://schemas.openxmlformats.org/officeDocument/2006/relationships/hyperlink" Target="https://drive.google.com/file/d/1nbraCpoWHbgg8w6YI8p1zJZEy7azODJj/view?usp=drive_link" TargetMode="External"/><Relationship Id="rId55" Type="http://schemas.openxmlformats.org/officeDocument/2006/relationships/hyperlink" Target="https://drive.google.com/file/d/1xidfaWdYd7PkCofDqVT3MWsJULFV81Cn/view?usp=sharing" TargetMode="External"/><Relationship Id="rId63" Type="http://schemas.openxmlformats.org/officeDocument/2006/relationships/hyperlink" Target="https://drive.google.com/file/d/1_phvlSyCXIqbPAAxSJI2fjmDx8FZVLz6/view?usp=drive_link" TargetMode="External"/><Relationship Id="rId7" Type="http://schemas.openxmlformats.org/officeDocument/2006/relationships/hyperlink" Target="https://drive.google.com/drive/folders/1kSK7hjC8p1XL7pSuiu06zpkvLgj53Pyd" TargetMode="External"/><Relationship Id="rId2" Type="http://schemas.openxmlformats.org/officeDocument/2006/relationships/hyperlink" Target="https://drive.google.com/file/d/19VmAhHGER0dnEiFQvEOm9NisTBdfkJHr/view?usp=sharing" TargetMode="External"/><Relationship Id="rId16" Type="http://schemas.openxmlformats.org/officeDocument/2006/relationships/hyperlink" Target="https://drive.google.com/drive/folders/1BFiWaF_Ch3fw_SmLxYdreK-AZ3EA-eJ3?usp=drive_link" TargetMode="External"/><Relationship Id="rId29" Type="http://schemas.openxmlformats.org/officeDocument/2006/relationships/hyperlink" Target="https://drive.google.com/drive/folders/1wFe04-3kP76ZmyrbM91eY4r5K2j3bsqX?usp=sharing" TargetMode="External"/><Relationship Id="rId11" Type="http://schemas.openxmlformats.org/officeDocument/2006/relationships/hyperlink" Target="https://drive.google.com/drive/folders/1-jc3Q5gFvNUhfgU8q8shBbUDMtTj9I7F?usp=drive_link" TargetMode="External"/><Relationship Id="rId24" Type="http://schemas.openxmlformats.org/officeDocument/2006/relationships/hyperlink" Target="https://drive.google.com/file/d/1YTKMani05R5GYwtBKfJBKyhuNTeNyLqJ/view?usp=drive_link" TargetMode="External"/><Relationship Id="rId32" Type="http://schemas.openxmlformats.org/officeDocument/2006/relationships/hyperlink" Target="https://drive.google.com/drive/folders/1zIrHTsvmRy4IMGmLmfdhZjVDrdx_7QU2?usp=drive_link" TargetMode="External"/><Relationship Id="rId37" Type="http://schemas.openxmlformats.org/officeDocument/2006/relationships/hyperlink" Target="https://drive.google.com/drive/folders/19iRnko_KHSL9ufF9G71yEaj1uH4Zw23N?usp=drive_link" TargetMode="External"/><Relationship Id="rId40" Type="http://schemas.openxmlformats.org/officeDocument/2006/relationships/hyperlink" Target="https://drive.google.com/file/d/1atmf_uPmmHBHGNSWvzOXW5KQUb_4biAD/view?usp=sharing" TargetMode="External"/><Relationship Id="rId45" Type="http://schemas.openxmlformats.org/officeDocument/2006/relationships/hyperlink" Target="https://drive.google.com/file/d/11AZrcU3OIR2NM0QHIhleom2qYUlt50Hv/view?usp=sharing" TargetMode="External"/><Relationship Id="rId53" Type="http://schemas.openxmlformats.org/officeDocument/2006/relationships/hyperlink" Target="https://drive.google.com/file/d/1IuL3Pb-5Yp9pddjq89oLiXMJlx117hXV/view?usp=drive_link" TargetMode="External"/><Relationship Id="rId58" Type="http://schemas.openxmlformats.org/officeDocument/2006/relationships/hyperlink" Target="https://drive.google.com/file/d/1J-6jE4M3rI-kvbq8xNxfDZAqwhyX9irZ/view?usp=sharing" TargetMode="External"/><Relationship Id="rId5" Type="http://schemas.openxmlformats.org/officeDocument/2006/relationships/hyperlink" Target="https://drive.google.com/file/d/1LO5VQD5IWWOuEWPQkwp8w0atSk9zfAYt/view?usp=sharing" TargetMode="External"/><Relationship Id="rId61" Type="http://schemas.openxmlformats.org/officeDocument/2006/relationships/hyperlink" Target="https://drive.google.com/file/d/1JH4CrDrY-Vgl6_xyD5QhchcVyHKtwdgW/view?usp=drive_link" TargetMode="External"/><Relationship Id="rId19" Type="http://schemas.openxmlformats.org/officeDocument/2006/relationships/hyperlink" Target="https://drive.google.com/file/d/1sYf-hKdnAXPa_socW0Zqit0nvrIBoQWa/view?usp=sharing" TargetMode="External"/><Relationship Id="rId14" Type="http://schemas.openxmlformats.org/officeDocument/2006/relationships/hyperlink" Target="https://drive.google.com/drive/folders/1Xf1aFAhskdkazGzGjT_k0nsPP8eLdOvU?usp=drive_link" TargetMode="External"/><Relationship Id="rId22" Type="http://schemas.openxmlformats.org/officeDocument/2006/relationships/hyperlink" Target="https://drive.google.com/file/d/117CfPMibRY1tn-LlfY1sOK_GIgvi2g5m/view?usp=drive_link" TargetMode="External"/><Relationship Id="rId27" Type="http://schemas.openxmlformats.org/officeDocument/2006/relationships/hyperlink" Target="https://drive.google.com/file/d/1exowLMPFgJbaO0Eb5VUCI3bw8PQ8Vo59/view?usp=sharing" TargetMode="External"/><Relationship Id="rId30" Type="http://schemas.openxmlformats.org/officeDocument/2006/relationships/hyperlink" Target="https://drive.google.com/drive/folders/1hRo9EnMIprirAgCMXhbqKe9f94_-kA6A?usp=drive_link" TargetMode="External"/><Relationship Id="rId35" Type="http://schemas.openxmlformats.org/officeDocument/2006/relationships/hyperlink" Target="https://drive.google.com/drive/folders/1-AF18areQj1R3MxnCT7-Yo__0uuHO6N_?usp=drive_link" TargetMode="External"/><Relationship Id="rId43" Type="http://schemas.openxmlformats.org/officeDocument/2006/relationships/hyperlink" Target="https://drive.google.com/file/d/1NV3WV4u-XO1iVLuIBVSZXeb-_mMlSO6i/view?usp=sharing" TargetMode="External"/><Relationship Id="rId48" Type="http://schemas.openxmlformats.org/officeDocument/2006/relationships/hyperlink" Target="https://drive.google.com/drive/folders/1XFTfhdWKiP1qfyjRwS98fifXPcTFx9E0?usp=drive_link" TargetMode="External"/><Relationship Id="rId56" Type="http://schemas.openxmlformats.org/officeDocument/2006/relationships/hyperlink" Target="https://drive.google.com/file/d/134g-5bUJeyVeNTffYsZPwLsfy7Vq5Sc8/view?usp=sharing" TargetMode="External"/><Relationship Id="rId8" Type="http://schemas.openxmlformats.org/officeDocument/2006/relationships/hyperlink" Target="https://drive.google.com/drive/folders/1X8sUfn44i7igpqJGWYGoJyRUddho5BV6?usp=drive_link" TargetMode="External"/><Relationship Id="rId51" Type="http://schemas.openxmlformats.org/officeDocument/2006/relationships/hyperlink" Target="https://drive.google.com/file/d/1_cFZB6TWw_EBsYTPcGDBOJ_5dsjUiwpT/view?usp=sharing" TargetMode="External"/><Relationship Id="rId3" Type="http://schemas.openxmlformats.org/officeDocument/2006/relationships/hyperlink" Target="https://drive.google.com/file/d/1jxcFfiprc_3AtgTno_r3-Hm8vkZOBllo/view?usp=sharing" TargetMode="External"/><Relationship Id="rId12" Type="http://schemas.openxmlformats.org/officeDocument/2006/relationships/hyperlink" Target="https://drive.google.com/file/d/1abTTcI3m9BSk01jhdaiRMd8TBYe2s9Gt/view?usp=sharing" TargetMode="External"/><Relationship Id="rId17" Type="http://schemas.openxmlformats.org/officeDocument/2006/relationships/hyperlink" Target="https://drive.google.com/file/d/1LC_XwrUYxhOM2pAT7IwvK-xQDCaamPz2/view?usp=drive_link" TargetMode="External"/><Relationship Id="rId25" Type="http://schemas.openxmlformats.org/officeDocument/2006/relationships/hyperlink" Target="https://drive.google.com/drive/folders/1eFNoMP6BLrhdPBJtgJ_-mocuzwNAHccj?usp=sharing" TargetMode="External"/><Relationship Id="rId33" Type="http://schemas.openxmlformats.org/officeDocument/2006/relationships/hyperlink" Target="https://drive.google.com/drive/folders/1rTgztpc4fYy3v4OGu9iM5vHet4l6Eh8F?usp=drive_link" TargetMode="External"/><Relationship Id="rId38" Type="http://schemas.openxmlformats.org/officeDocument/2006/relationships/hyperlink" Target="https://drive.google.com/file/d/1Z-oM2LXKj5UTpjJHkJ7aOhmekjQgIwpX/view?usp=drive_link" TargetMode="External"/><Relationship Id="rId46" Type="http://schemas.openxmlformats.org/officeDocument/2006/relationships/hyperlink" Target="https://drive.google.com/drive/folders/12a70QeF899MIdmUuSDZAARSKkffEScWX?usp=drive_link" TargetMode="External"/><Relationship Id="rId59" Type="http://schemas.openxmlformats.org/officeDocument/2006/relationships/hyperlink" Target="https://drive.google.com/drive/folders/13-JrZ5-5-j0Zbh6Am2syD9OcvXxcVHh1?usp=drive_link" TargetMode="External"/><Relationship Id="rId20" Type="http://schemas.openxmlformats.org/officeDocument/2006/relationships/hyperlink" Target="https://drive.google.com/file/d/1Ds4HPvYVbIIQXkMnB5CHLUpTHdmFJId6/view?usp=drive_link" TargetMode="External"/><Relationship Id="rId41" Type="http://schemas.openxmlformats.org/officeDocument/2006/relationships/hyperlink" Target="https://drive.google.com/drive/folders/1lTzAwohzLW1SvrF4xMQQpW4PfzU-r-8J?usp=sharing" TargetMode="External"/><Relationship Id="rId54" Type="http://schemas.openxmlformats.org/officeDocument/2006/relationships/hyperlink" Target="https://drive.google.com/file/d/1HKIldf4KmKQrc7M7KMTW6os9FM8Nn1HR/view?usp=drive_link" TargetMode="External"/><Relationship Id="rId62" Type="http://schemas.openxmlformats.org/officeDocument/2006/relationships/hyperlink" Target="https://drive.google.com/file/d/19DxYQ9fhQGwqNt0xUqNQehFCakRqlPMC/view?usp=drive_link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drive.google.com/file/d/1EZhVCXs2UnrdTsJCuMb_KjUXSRhPUOFN/view?usp=drive_link" TargetMode="External"/><Relationship Id="rId15" Type="http://schemas.openxmlformats.org/officeDocument/2006/relationships/hyperlink" Target="https://drive.google.com/file/d/1HT0hpIzTKtHrl7SqYrDPrzPrjcLBYIH0/view?usp=drive_link" TargetMode="External"/><Relationship Id="rId23" Type="http://schemas.openxmlformats.org/officeDocument/2006/relationships/hyperlink" Target="https://drive.google.com/file/d/10vydXNhGYlFg5bQFiIj4qKwxVZ41tF1z/view?usp=drive_link" TargetMode="External"/><Relationship Id="rId28" Type="http://schemas.openxmlformats.org/officeDocument/2006/relationships/hyperlink" Target="https://drive.google.com/drive/folders/1rclWVAY0tpz6nrctgDXLrgnaqQX1agUR?usp=drive_link" TargetMode="External"/><Relationship Id="rId36" Type="http://schemas.openxmlformats.org/officeDocument/2006/relationships/hyperlink" Target="https://drive.google.com/drive/folders/19Lh2W-EZOSHtlCM8N8nAQzATlwL6kMfx?usp=sharing" TargetMode="External"/><Relationship Id="rId49" Type="http://schemas.openxmlformats.org/officeDocument/2006/relationships/hyperlink" Target="https://drive.google.com/file/d/1rLov6oLG0U34dWFP-IWpMV_PqvYdhKj-/view?usp=drive_link" TargetMode="External"/><Relationship Id="rId57" Type="http://schemas.openxmlformats.org/officeDocument/2006/relationships/hyperlink" Target="https://drive.google.com/file/d/1_4iDK0dE631JtpO1FeuNApt8LVoZtstB/view?usp=drive_link" TargetMode="External"/><Relationship Id="rId10" Type="http://schemas.openxmlformats.org/officeDocument/2006/relationships/hyperlink" Target="https://drive.google.com/drive/folders/13yZzJZfYLjnUXuolLrsS7vzAAWkx47uu?usp=drive_link" TargetMode="External"/><Relationship Id="rId31" Type="http://schemas.openxmlformats.org/officeDocument/2006/relationships/hyperlink" Target="http://mergenlab.ai/" TargetMode="External"/><Relationship Id="rId44" Type="http://schemas.openxmlformats.org/officeDocument/2006/relationships/hyperlink" Target="https://drive.google.com/drive/folders/1Sgv6aXuhiA7mll-jWVXEdUo7gtjl4amh?usp=sharing" TargetMode="External"/><Relationship Id="rId52" Type="http://schemas.openxmlformats.org/officeDocument/2006/relationships/hyperlink" Target="https://drive.google.com/file/d/1uuF_eQhEmhC3mchl_1jFn0kR7dQfXdmV/view?usp=drive_link" TargetMode="External"/><Relationship Id="rId60" Type="http://schemas.openxmlformats.org/officeDocument/2006/relationships/hyperlink" Target="https://drive.google.com/file/d/1qIM4Bre3woUuSNVencAcnc8FqLEddSCK/view?usp=drive_link" TargetMode="External"/><Relationship Id="rId4" Type="http://schemas.openxmlformats.org/officeDocument/2006/relationships/hyperlink" Target="https://drive.google.com/file/d/1JFRB9hiX_m60Y9mb6R8umbW-y4Uwj9bI/view?usp=sharing" TargetMode="External"/><Relationship Id="rId9" Type="http://schemas.openxmlformats.org/officeDocument/2006/relationships/hyperlink" Target="https://drive.google.com/file/d/1bCUVXM4FkbLOfCfcS4ZcrVFmFjQk95Ob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igrasp.isro.gov.in/igrasp/res-sac-2024-020-advanced-persistent-threats-breach-and-botnet-detection-system-using-network" TargetMode="External"/><Relationship Id="rId2" Type="http://schemas.openxmlformats.org/officeDocument/2006/relationships/hyperlink" Target="https://www.kscst.org.in/spp/48_series/08_48S_SPP_sanctioned_projects_26March2025.pdf" TargetMode="External"/><Relationship Id="rId1" Type="http://schemas.openxmlformats.org/officeDocument/2006/relationships/hyperlink" Target="http://s.no/" TargetMode="External"/><Relationship Id="rId5" Type="http://schemas.openxmlformats.org/officeDocument/2006/relationships/hyperlink" Target="https://drive.google.com/drive/u/0/folders/1wvgFJK9u_vJtbXSW_qpbqEKk6gnQM9vH" TargetMode="External"/><Relationship Id="rId4" Type="http://schemas.openxmlformats.org/officeDocument/2006/relationships/hyperlink" Target="https://drive.google.com/file/d/1RlTPmlmGsvHtBkMM45EJOEWVmscXm7WS/view?usp=sharin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u/0/folders/1TdLfzDkBBe7UxZW_g5M89jNWVyvzn2KT" TargetMode="External"/><Relationship Id="rId18" Type="http://schemas.openxmlformats.org/officeDocument/2006/relationships/hyperlink" Target="https://drive.google.com/drive/folders/1dE8KOL_iJB5vJoETVxmltkzwbXiy6S-r?usp=drive_link" TargetMode="External"/><Relationship Id="rId26" Type="http://schemas.openxmlformats.org/officeDocument/2006/relationships/hyperlink" Target="https://drive.google.com/drive/folders/1c03mAvmMB6vuu5UIIyc25DN-m1n9kgFz?usp=drive_link" TargetMode="External"/><Relationship Id="rId39" Type="http://schemas.openxmlformats.org/officeDocument/2006/relationships/hyperlink" Target="https://drive.google.com/file/d/1D7s4s0yLhpMBDyTudiQ6zgvlpvVOyWuR/view?usp=drive_link" TargetMode="External"/><Relationship Id="rId21" Type="http://schemas.openxmlformats.org/officeDocument/2006/relationships/hyperlink" Target="https://drive.google.com/drive/folders/1tIOUskm7EsYEmYflesN7imM0Q4I12lJ_?usp=sharing" TargetMode="External"/><Relationship Id="rId34" Type="http://schemas.openxmlformats.org/officeDocument/2006/relationships/hyperlink" Target="https://drive.google.com/file/d/14ugXa3J6ofageIYTTsG_SYqC93UgOH3K/view?usp=drive_link" TargetMode="External"/><Relationship Id="rId7" Type="http://schemas.openxmlformats.org/officeDocument/2006/relationships/hyperlink" Target="https://drive.google.com/drive/folders/1XkhxD7hp58IPI21oqHzGJ2PpnPcC6nmz?usp=drive_link" TargetMode="External"/><Relationship Id="rId12" Type="http://schemas.openxmlformats.org/officeDocument/2006/relationships/hyperlink" Target="https://drive.google.com/drive/u/0/folders/1doT61d7uUdsaBl-qjFiJLYvsZCDZBzMY" TargetMode="External"/><Relationship Id="rId17" Type="http://schemas.openxmlformats.org/officeDocument/2006/relationships/hyperlink" Target="https://drive.google.com/drive/folders/175QCPWKyc-e0CTe8559DILK2borN6FJf?usp=drive_link" TargetMode="External"/><Relationship Id="rId25" Type="http://schemas.openxmlformats.org/officeDocument/2006/relationships/hyperlink" Target="https://drive.google.com/drive/folders/1tPHZqNadbv0Ju6oC5J8Of5aCPIwL8hjh?usp=drive_link" TargetMode="External"/><Relationship Id="rId33" Type="http://schemas.openxmlformats.org/officeDocument/2006/relationships/hyperlink" Target="https://drive.google.com/file/d/1_NcXVEDyL5NI3qci8LOCmU7_0f30QrHw/view?usp=sharing" TargetMode="External"/><Relationship Id="rId38" Type="http://schemas.openxmlformats.org/officeDocument/2006/relationships/hyperlink" Target="https://drive.google.com/drive/folders/14D0SF1TnN_z4QWtqkPd6gzvj_8PIyo0u?usp=drive_link" TargetMode="External"/><Relationship Id="rId2" Type="http://schemas.openxmlformats.org/officeDocument/2006/relationships/hyperlink" Target="https://drive.google.com/drive/folders/1PLRhVSSCZco4J08ri0NUzQI8WALZvImm?usp=drive_link" TargetMode="External"/><Relationship Id="rId16" Type="http://schemas.openxmlformats.org/officeDocument/2006/relationships/hyperlink" Target="https://drive.google.com/drive/folders/1DfhaNU-0xTfoGxjNjSKLu6p5GsGT9wU9?usp=drive_link" TargetMode="External"/><Relationship Id="rId20" Type="http://schemas.openxmlformats.org/officeDocument/2006/relationships/hyperlink" Target="https://drive.google.com/drive/folders/1PQIVkvFYOGYGLJkH5fMXPAFeyhbcg0-e?usp=drive_link" TargetMode="External"/><Relationship Id="rId29" Type="http://schemas.openxmlformats.org/officeDocument/2006/relationships/hyperlink" Target="https://drive.google.com/file/d/1ejaliyp7mRgxq3uKGG2h8M0rV3DxcK35/view?usp=sharing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drive.google.com/drive/folders/1lHno-NW9ui4ACVGofg0W1UOocMEpIXav?usp=drive_link" TargetMode="External"/><Relationship Id="rId11" Type="http://schemas.openxmlformats.org/officeDocument/2006/relationships/hyperlink" Target="https://drive.google.com/file/d/14TGQoUMpOWm2PfRbdfYgA0NsxdnPTrr3/view?usp=drive_link" TargetMode="External"/><Relationship Id="rId24" Type="http://schemas.openxmlformats.org/officeDocument/2006/relationships/hyperlink" Target="https://drive.google.com/file/d/1oVRUFYoMr0weTMy25jamZYYeHYf5UWig/view?usp=sharing" TargetMode="External"/><Relationship Id="rId32" Type="http://schemas.openxmlformats.org/officeDocument/2006/relationships/hyperlink" Target="https://drive.google.com/drive/folders/1_HKiGDLgw004091aMamFFa57fG7guQ3h" TargetMode="External"/><Relationship Id="rId37" Type="http://schemas.openxmlformats.org/officeDocument/2006/relationships/hyperlink" Target="https://drive.google.com/file/d/12QaKaPRcik8f4wuRdbQRZfGtGsJHaJr0/view?usp=drive_link" TargetMode="External"/><Relationship Id="rId40" Type="http://schemas.openxmlformats.org/officeDocument/2006/relationships/hyperlink" Target="https://drive.google.com/file/d/1WfIQE7PVYhX0RSqoqapPLudXbVlYXW7e/view?usp=drive_link" TargetMode="External"/><Relationship Id="rId5" Type="http://schemas.openxmlformats.org/officeDocument/2006/relationships/hyperlink" Target="https://drive.google.com/file/d/1VaX7NtjCj9k_43d5NQwiDT3v3u9eA4xT/view?usp=drive_link" TargetMode="External"/><Relationship Id="rId15" Type="http://schemas.openxmlformats.org/officeDocument/2006/relationships/hyperlink" Target="https://drive.google.com/drive/folders/1PSTj5SMs2OCdjipwIkA5NJHeqOvbj448?usp=drive_link" TargetMode="External"/><Relationship Id="rId23" Type="http://schemas.openxmlformats.org/officeDocument/2006/relationships/hyperlink" Target="https://drive.google.com/drive/folders/103Dm1N98Rqyvewpdg7HRrAr3ad1NfO8b?usp=sharing" TargetMode="External"/><Relationship Id="rId28" Type="http://schemas.openxmlformats.org/officeDocument/2006/relationships/hyperlink" Target="https://drive.google.com/file/d/1oFare2iRxVs1AeuRuHPf-gKGlePjztp0/view?usp=drive_link" TargetMode="External"/><Relationship Id="rId36" Type="http://schemas.openxmlformats.org/officeDocument/2006/relationships/hyperlink" Target="https://drive.google.com/file/d/19ex67vx00jchzm9kkMoIZp1OO_Q3rjgx/view?usp=sharing" TargetMode="External"/><Relationship Id="rId10" Type="http://schemas.openxmlformats.org/officeDocument/2006/relationships/hyperlink" Target="https://drive.google.com/file/d/1ZG2giB55FCJzlni45L3CgVE_Ms1hvRMB/view?usp=sharing" TargetMode="External"/><Relationship Id="rId19" Type="http://schemas.openxmlformats.org/officeDocument/2006/relationships/hyperlink" Target="https://drive.google.com/drive/folders/1mWKDnFR2iJszSCrWhABA76sk1gu9pLTA?usp=drive_link" TargetMode="External"/><Relationship Id="rId31" Type="http://schemas.openxmlformats.org/officeDocument/2006/relationships/hyperlink" Target="https://drive.google.com/file/d/1Sa_-ZapzGb-2dJgN84PQbAliUgYMzGcD/view?usp=sharing" TargetMode="External"/><Relationship Id="rId4" Type="http://schemas.openxmlformats.org/officeDocument/2006/relationships/hyperlink" Target="https://drive.google.com/file/d/13fmYwwqegJYLxouL5JUADOqokRrNkfdT/view?usp=sharing" TargetMode="External"/><Relationship Id="rId9" Type="http://schemas.openxmlformats.org/officeDocument/2006/relationships/hyperlink" Target="https://drive.google.com/file/d/1GNWjyM0Yxzc2IP90ij9PzVpHyriGd7W_/view?usp=drive_link" TargetMode="External"/><Relationship Id="rId14" Type="http://schemas.openxmlformats.org/officeDocument/2006/relationships/hyperlink" Target="https://drive.google.com/drive/folders/1PLVgPUi5ud0mM7IOXoYelwwJ4EVEV8_l?usp=sharing" TargetMode="External"/><Relationship Id="rId22" Type="http://schemas.openxmlformats.org/officeDocument/2006/relationships/hyperlink" Target="https://drive.google.com/drive/folders/1gW-vh_bC3Y-y_wfUq4O7hZ0F2ReXbjya?usp=drive_link" TargetMode="External"/><Relationship Id="rId27" Type="http://schemas.openxmlformats.org/officeDocument/2006/relationships/hyperlink" Target="https://drive.google.com/drive/u/1/folders/1x2DYVdDkKOL3Nn1YxDVK9xirlpbeY-8b" TargetMode="External"/><Relationship Id="rId30" Type="http://schemas.openxmlformats.org/officeDocument/2006/relationships/hyperlink" Target="https://drive.google.com/file/d/1-2AHzLe5ZcGOPJ0NbzUjTVpuGWnzsr7k/view?usp=sharing" TargetMode="External"/><Relationship Id="rId35" Type="http://schemas.openxmlformats.org/officeDocument/2006/relationships/hyperlink" Target="https://drive.google.com/drive/folders/10uLgNQmaOQo8V4tYwkbFgM8fheW8Luse?usp=drive_link" TargetMode="External"/><Relationship Id="rId8" Type="http://schemas.openxmlformats.org/officeDocument/2006/relationships/hyperlink" Target="https://drive.google.com/drive/folders/1NjF6g45t-R7MRoKITlxFs8qVO3GoR90O?usp=drive_link" TargetMode="External"/><Relationship Id="rId3" Type="http://schemas.openxmlformats.org/officeDocument/2006/relationships/hyperlink" Target="https://drive.google.com/file/d/18it-yoKJtilKEQUmopj6v6KlTCu0lGw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B9BD-C45A-43C7-AFBB-436E98144349}">
  <dimension ref="A1:AF117"/>
  <sheetViews>
    <sheetView workbookViewId="0">
      <selection activeCell="L67" sqref="L67"/>
    </sheetView>
  </sheetViews>
  <sheetFormatPr defaultColWidth="12.6640625" defaultRowHeight="13.2"/>
  <cols>
    <col min="1" max="1" width="15.44140625" style="413" customWidth="1"/>
    <col min="9" max="9" width="5.44140625" customWidth="1"/>
    <col min="17" max="17" width="3" customWidth="1"/>
    <col min="25" max="25" width="3.33203125" customWidth="1"/>
  </cols>
  <sheetData>
    <row r="1" spans="1:25">
      <c r="A1" s="411" t="s">
        <v>0</v>
      </c>
      <c r="B1" s="411"/>
      <c r="C1" s="411"/>
    </row>
    <row r="2" spans="1:25" ht="13.8">
      <c r="A2" s="423" t="s">
        <v>1</v>
      </c>
      <c r="B2" s="423"/>
      <c r="C2" s="423"/>
      <c r="Q2" s="1"/>
      <c r="Y2" s="1"/>
    </row>
    <row r="3" spans="1:25" ht="13.8">
      <c r="A3" s="424" t="s">
        <v>5</v>
      </c>
      <c r="B3" s="425" t="s">
        <v>6</v>
      </c>
      <c r="C3" s="425" t="s">
        <v>7</v>
      </c>
      <c r="D3" s="425" t="s">
        <v>8</v>
      </c>
      <c r="E3" s="425" t="s">
        <v>9</v>
      </c>
      <c r="F3" s="425" t="s">
        <v>10</v>
      </c>
      <c r="G3" s="425" t="s">
        <v>11</v>
      </c>
      <c r="H3" s="425" t="s">
        <v>12</v>
      </c>
      <c r="Q3" s="1"/>
      <c r="Y3" s="1"/>
    </row>
    <row r="4" spans="1:25" ht="13.8">
      <c r="A4" s="414" t="s">
        <v>15</v>
      </c>
      <c r="B4" s="410">
        <v>15.290000000000001</v>
      </c>
      <c r="C4" s="410">
        <v>3.3400000000000003</v>
      </c>
      <c r="D4" s="410">
        <v>3.78</v>
      </c>
      <c r="E4" s="410">
        <v>1.32</v>
      </c>
      <c r="F4" s="410">
        <v>2.08</v>
      </c>
      <c r="G4" s="410">
        <v>36.75</v>
      </c>
      <c r="H4" s="410">
        <v>36.049999999999997</v>
      </c>
      <c r="Q4" s="1"/>
      <c r="Y4" s="1"/>
    </row>
    <row r="5" spans="1:25" ht="13.8">
      <c r="A5" s="414" t="s">
        <v>16</v>
      </c>
      <c r="B5" s="410">
        <v>14.200000000000001</v>
      </c>
      <c r="C5" s="410">
        <v>2.8400000000000003</v>
      </c>
      <c r="D5" s="410">
        <v>2.83</v>
      </c>
      <c r="E5" s="410">
        <v>1.31</v>
      </c>
      <c r="F5" s="410">
        <v>1.85</v>
      </c>
      <c r="G5" s="410">
        <v>26.75</v>
      </c>
      <c r="H5" s="410">
        <v>26.75</v>
      </c>
      <c r="Q5" s="1"/>
      <c r="Y5" s="1"/>
    </row>
    <row r="6" spans="1:25" ht="13.8">
      <c r="A6" s="414" t="s">
        <v>17</v>
      </c>
      <c r="B6" s="410">
        <v>12.610000000000001</v>
      </c>
      <c r="C6" s="410">
        <v>1.5400000000000003</v>
      </c>
      <c r="D6" s="410">
        <v>2.669999999999999</v>
      </c>
      <c r="E6" s="410">
        <v>1.6300000000000001</v>
      </c>
      <c r="F6" s="410">
        <v>1.18</v>
      </c>
      <c r="G6" s="410">
        <v>25.75</v>
      </c>
      <c r="H6" s="410">
        <v>25.08</v>
      </c>
      <c r="Q6" s="1"/>
      <c r="Y6" s="1"/>
    </row>
    <row r="7" spans="1:25" ht="13.8">
      <c r="A7" s="414" t="s">
        <v>18</v>
      </c>
      <c r="B7" s="410">
        <v>2.9</v>
      </c>
      <c r="C7" s="410">
        <v>0.64</v>
      </c>
      <c r="D7" s="410">
        <v>0.55000000000000004</v>
      </c>
      <c r="E7" s="410">
        <v>0</v>
      </c>
      <c r="F7" s="410">
        <v>0.02</v>
      </c>
      <c r="G7" s="410">
        <v>6</v>
      </c>
      <c r="H7" s="410">
        <v>5</v>
      </c>
      <c r="Q7" s="1"/>
      <c r="Y7" s="1"/>
    </row>
    <row r="8" spans="1:25" ht="13.8">
      <c r="A8" s="414" t="s">
        <v>19</v>
      </c>
      <c r="B8" s="414">
        <v>3.31</v>
      </c>
      <c r="C8" s="414">
        <v>0.83000000000000007</v>
      </c>
      <c r="D8" s="410">
        <v>0.77</v>
      </c>
      <c r="E8" s="410">
        <v>0.56999999999999995</v>
      </c>
      <c r="F8" s="410">
        <v>0.4</v>
      </c>
      <c r="G8" s="410">
        <v>8</v>
      </c>
      <c r="H8" s="410">
        <v>6.67</v>
      </c>
      <c r="Q8" s="1"/>
      <c r="Y8" s="1"/>
    </row>
    <row r="9" spans="1:25" ht="13.8">
      <c r="A9" s="414" t="s">
        <v>20</v>
      </c>
      <c r="B9" s="414">
        <v>3.3600000000000003</v>
      </c>
      <c r="C9" s="414">
        <v>0.81</v>
      </c>
      <c r="D9" s="410">
        <v>0.8</v>
      </c>
      <c r="E9" s="410">
        <v>0.40999999999999992</v>
      </c>
      <c r="F9" s="410">
        <v>0.4</v>
      </c>
      <c r="G9" s="410">
        <v>7.25</v>
      </c>
      <c r="H9" s="410">
        <v>7.25</v>
      </c>
      <c r="Q9" s="1"/>
      <c r="Y9" s="1"/>
    </row>
    <row r="10" spans="1:25" ht="13.8">
      <c r="A10" s="414" t="s">
        <v>21</v>
      </c>
      <c r="B10" s="410">
        <v>9.5799999999999983</v>
      </c>
      <c r="C10" s="410">
        <v>2.13</v>
      </c>
      <c r="D10" s="410">
        <v>2.14</v>
      </c>
      <c r="E10" s="410">
        <v>1.03</v>
      </c>
      <c r="F10" s="410">
        <v>1.06</v>
      </c>
      <c r="G10" s="410">
        <v>16.149999999999999</v>
      </c>
      <c r="H10" s="410">
        <v>15.82</v>
      </c>
      <c r="Q10" s="1"/>
      <c r="Y10" s="1"/>
    </row>
    <row r="11" spans="1:25" ht="13.8">
      <c r="A11" s="414" t="s">
        <v>22</v>
      </c>
      <c r="B11" s="410">
        <v>6.7399999999999993</v>
      </c>
      <c r="C11" s="410">
        <v>1.9600000000000002</v>
      </c>
      <c r="D11" s="410">
        <v>1.8200000000000003</v>
      </c>
      <c r="E11" s="410">
        <v>1.02</v>
      </c>
      <c r="F11" s="410">
        <v>1.07</v>
      </c>
      <c r="G11" s="410">
        <v>16.740000000000002</v>
      </c>
      <c r="H11" s="410">
        <v>16.740000000000002</v>
      </c>
      <c r="Q11" s="1"/>
      <c r="Y11" s="1"/>
    </row>
    <row r="12" spans="1:25" ht="13.8">
      <c r="A12" s="414" t="s">
        <v>23</v>
      </c>
      <c r="B12" s="410">
        <v>5.3</v>
      </c>
      <c r="C12" s="410">
        <v>1.5200000000000002</v>
      </c>
      <c r="D12" s="410">
        <v>1.6999999999999997</v>
      </c>
      <c r="E12" s="410">
        <v>0.8600000000000001</v>
      </c>
      <c r="F12" s="410">
        <v>0.77</v>
      </c>
      <c r="G12" s="410">
        <v>13.83</v>
      </c>
      <c r="H12" s="410">
        <v>12.33</v>
      </c>
      <c r="Q12" s="1"/>
      <c r="Y12" s="1"/>
    </row>
    <row r="13" spans="1:25" ht="13.8">
      <c r="A13" s="414" t="s">
        <v>24</v>
      </c>
      <c r="B13" s="410">
        <v>9.9499999999999993</v>
      </c>
      <c r="C13" s="410">
        <v>0.67999999999999994</v>
      </c>
      <c r="D13" s="410">
        <v>1.0900000000000001</v>
      </c>
      <c r="E13" s="410">
        <v>3.34</v>
      </c>
      <c r="F13" s="410">
        <v>0.82</v>
      </c>
      <c r="G13" s="410">
        <v>10</v>
      </c>
      <c r="H13" s="410">
        <v>9.67</v>
      </c>
      <c r="Q13" s="1"/>
      <c r="Y13" s="1"/>
    </row>
    <row r="14" spans="1:25" ht="13.8">
      <c r="A14" s="414" t="s">
        <v>25</v>
      </c>
      <c r="B14" s="410">
        <v>11.13</v>
      </c>
      <c r="C14" s="410">
        <v>0.87</v>
      </c>
      <c r="D14" s="410">
        <v>0.55000000000000004</v>
      </c>
      <c r="E14" s="410">
        <v>0.6</v>
      </c>
      <c r="F14" s="410">
        <v>0.6</v>
      </c>
      <c r="G14" s="410">
        <v>8.92</v>
      </c>
      <c r="H14" s="410">
        <v>8.92</v>
      </c>
      <c r="Q14" s="1"/>
      <c r="Y14" s="1"/>
    </row>
    <row r="15" spans="1:25" ht="13.8">
      <c r="A15" s="414" t="s">
        <v>26</v>
      </c>
      <c r="B15" s="410">
        <v>1.4300000000000004</v>
      </c>
      <c r="C15" s="410">
        <v>0.51</v>
      </c>
      <c r="D15" s="410">
        <v>1.1499999999999999</v>
      </c>
      <c r="E15" s="410">
        <v>0.41</v>
      </c>
      <c r="F15" s="410">
        <v>0.47000000000000008</v>
      </c>
      <c r="G15" s="410">
        <v>7</v>
      </c>
      <c r="H15" s="410">
        <v>7</v>
      </c>
      <c r="Q15" s="1"/>
      <c r="Y15" s="1"/>
    </row>
    <row r="16" spans="1:25" ht="13.8">
      <c r="A16" s="414" t="s">
        <v>27</v>
      </c>
      <c r="B16" s="410">
        <f t="shared" ref="B16:H16" si="0">SUM(B4:B15)</f>
        <v>95.8</v>
      </c>
      <c r="C16" s="410">
        <f t="shared" si="0"/>
        <v>17.670000000000005</v>
      </c>
      <c r="D16" s="410">
        <f t="shared" si="0"/>
        <v>19.849999999999998</v>
      </c>
      <c r="E16" s="410">
        <f t="shared" si="0"/>
        <v>12.5</v>
      </c>
      <c r="F16" s="410">
        <f t="shared" si="0"/>
        <v>10.72</v>
      </c>
      <c r="G16" s="410">
        <f t="shared" si="0"/>
        <v>183.14000000000001</v>
      </c>
      <c r="H16" s="410">
        <f t="shared" si="0"/>
        <v>177.28</v>
      </c>
      <c r="Q16" s="2"/>
      <c r="R16" s="2"/>
      <c r="S16" s="2"/>
      <c r="T16" s="2"/>
      <c r="U16" s="2"/>
      <c r="V16" s="2"/>
      <c r="W16" s="2"/>
      <c r="X16" s="2"/>
      <c r="Y16" s="2"/>
    </row>
    <row r="17" spans="1:32" ht="13.8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3.8">
      <c r="A18" s="423" t="s">
        <v>2</v>
      </c>
      <c r="B18" s="423"/>
      <c r="C18" s="42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3.8">
      <c r="A19" s="424" t="s">
        <v>5</v>
      </c>
      <c r="B19" s="425" t="s">
        <v>6</v>
      </c>
      <c r="C19" s="425" t="s">
        <v>7</v>
      </c>
      <c r="D19" s="425" t="s">
        <v>8</v>
      </c>
      <c r="E19" s="425" t="s">
        <v>9</v>
      </c>
      <c r="F19" s="425" t="s">
        <v>10</v>
      </c>
      <c r="G19" s="425" t="s">
        <v>13</v>
      </c>
      <c r="H19" s="425" t="s">
        <v>14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8">
      <c r="A20" s="414" t="s">
        <v>15</v>
      </c>
      <c r="B20" s="410">
        <v>20.696999999999999</v>
      </c>
      <c r="C20" s="410">
        <v>4.4160000000000004</v>
      </c>
      <c r="D20" s="410">
        <v>3.6940000000000004</v>
      </c>
      <c r="E20" s="410">
        <v>2.67</v>
      </c>
      <c r="F20" s="410">
        <v>1.637</v>
      </c>
      <c r="G20" s="410">
        <v>33</v>
      </c>
      <c r="H20" s="410">
        <v>37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8">
      <c r="A21" s="414" t="s">
        <v>16</v>
      </c>
      <c r="B21" s="410">
        <v>12.916</v>
      </c>
      <c r="C21" s="410">
        <v>2.419</v>
      </c>
      <c r="D21" s="410">
        <v>1.6800000000000004</v>
      </c>
      <c r="E21" s="410">
        <v>0.33</v>
      </c>
      <c r="F21" s="410">
        <v>0.60000000000000009</v>
      </c>
      <c r="G21" s="410">
        <v>20</v>
      </c>
      <c r="H21" s="410">
        <v>20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3.8">
      <c r="A22" s="414" t="s">
        <v>17</v>
      </c>
      <c r="B22" s="414">
        <v>12.976000000000001</v>
      </c>
      <c r="C22" s="410">
        <v>0.37</v>
      </c>
      <c r="D22" s="410">
        <v>2.4800000000000004</v>
      </c>
      <c r="E22" s="410">
        <v>1.9800000000000002</v>
      </c>
      <c r="F22" s="410">
        <v>1.2999999999999998</v>
      </c>
      <c r="G22" s="410">
        <v>19</v>
      </c>
      <c r="H22" s="410">
        <v>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3.8">
      <c r="A23" s="414" t="s">
        <v>18</v>
      </c>
      <c r="B23" s="414">
        <v>1.5</v>
      </c>
      <c r="C23" s="410">
        <v>0.51</v>
      </c>
      <c r="D23" s="410">
        <v>0.65</v>
      </c>
      <c r="E23" s="410">
        <v>0</v>
      </c>
      <c r="F23" s="410">
        <v>0</v>
      </c>
      <c r="G23" s="410">
        <v>5</v>
      </c>
      <c r="H23" s="410">
        <v>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3.8">
      <c r="A24" s="414" t="s">
        <v>19</v>
      </c>
      <c r="B24" s="414">
        <v>2.75</v>
      </c>
      <c r="C24" s="410">
        <v>0.17199999999999999</v>
      </c>
      <c r="D24" s="410">
        <v>0.3</v>
      </c>
      <c r="E24" s="410">
        <v>0.66</v>
      </c>
      <c r="F24" s="410">
        <v>0</v>
      </c>
      <c r="G24" s="410">
        <v>5</v>
      </c>
      <c r="H24" s="410">
        <v>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3.8">
      <c r="A25" s="414" t="s">
        <v>20</v>
      </c>
      <c r="B25" s="410">
        <v>2.25</v>
      </c>
      <c r="C25" s="410">
        <v>0</v>
      </c>
      <c r="D25" s="410">
        <v>0.3</v>
      </c>
      <c r="E25" s="410">
        <v>0.33</v>
      </c>
      <c r="F25" s="410">
        <v>0</v>
      </c>
      <c r="G25" s="410">
        <v>3.5</v>
      </c>
      <c r="H25" s="410">
        <v>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3.8">
      <c r="A26" s="414" t="s">
        <v>21</v>
      </c>
      <c r="B26" s="410">
        <v>5.1660000000000004</v>
      </c>
      <c r="C26" s="410">
        <v>0</v>
      </c>
      <c r="D26" s="410">
        <v>0.6</v>
      </c>
      <c r="E26" s="410">
        <v>0.66</v>
      </c>
      <c r="F26" s="410">
        <v>2.9000000000000001E-2</v>
      </c>
      <c r="G26" s="410">
        <v>6</v>
      </c>
      <c r="H26" s="410">
        <v>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8">
      <c r="A27" s="414" t="s">
        <v>22</v>
      </c>
      <c r="B27" s="410">
        <v>3.75</v>
      </c>
      <c r="C27" s="410">
        <v>0.84000000000000008</v>
      </c>
      <c r="D27" s="410">
        <v>0.3</v>
      </c>
      <c r="E27" s="410">
        <v>0</v>
      </c>
      <c r="F27" s="410">
        <v>0.95</v>
      </c>
      <c r="G27" s="410">
        <v>11</v>
      </c>
      <c r="H27" s="410">
        <v>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8">
      <c r="A28" s="414" t="s">
        <v>23</v>
      </c>
      <c r="B28" s="410">
        <v>2.58</v>
      </c>
      <c r="C28" s="410">
        <v>0.53</v>
      </c>
      <c r="D28" s="410">
        <v>1</v>
      </c>
      <c r="E28" s="410">
        <v>0.99</v>
      </c>
      <c r="F28" s="410">
        <v>0.38700000000000001</v>
      </c>
      <c r="G28" s="410">
        <v>7.83</v>
      </c>
      <c r="H28" s="410">
        <v>13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8">
      <c r="A29" s="414" t="s">
        <v>24</v>
      </c>
      <c r="B29" s="410">
        <v>11.28</v>
      </c>
      <c r="C29" s="410">
        <v>0.67999999999999994</v>
      </c>
      <c r="D29" s="410">
        <v>1.32</v>
      </c>
      <c r="E29" s="410">
        <v>3.9800000000000004</v>
      </c>
      <c r="F29" s="410">
        <v>0.67599999999999993</v>
      </c>
      <c r="G29" s="410">
        <v>9</v>
      </c>
      <c r="H29" s="410">
        <v>11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3.8">
      <c r="A30" s="414" t="s">
        <v>25</v>
      </c>
      <c r="B30" s="410">
        <v>4.5</v>
      </c>
      <c r="C30" s="410">
        <v>0.56000000000000005</v>
      </c>
      <c r="D30" s="410">
        <v>0.1</v>
      </c>
      <c r="E30" s="410">
        <v>0</v>
      </c>
      <c r="F30" s="410">
        <v>0</v>
      </c>
      <c r="G30" s="410">
        <v>1.5</v>
      </c>
      <c r="H30" s="410"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3.8">
      <c r="A31" s="414" t="s">
        <v>26</v>
      </c>
      <c r="B31" s="410">
        <v>1</v>
      </c>
      <c r="C31" s="410">
        <v>0</v>
      </c>
      <c r="D31" s="410">
        <v>0.90000000000000013</v>
      </c>
      <c r="E31" s="410">
        <v>0.66</v>
      </c>
      <c r="F31" s="410">
        <v>0.08</v>
      </c>
      <c r="G31" s="410">
        <v>2</v>
      </c>
      <c r="H31" s="410">
        <v>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8">
      <c r="A32" s="414" t="s">
        <v>27</v>
      </c>
      <c r="B32" s="410">
        <f t="shared" ref="B32:H32" si="1">SUM(B20:B31)</f>
        <v>81.364999999999995</v>
      </c>
      <c r="C32" s="410">
        <f t="shared" si="1"/>
        <v>10.497</v>
      </c>
      <c r="D32" s="410">
        <f t="shared" si="1"/>
        <v>13.324000000000003</v>
      </c>
      <c r="E32" s="410">
        <f t="shared" si="1"/>
        <v>12.260000000000002</v>
      </c>
      <c r="F32" s="410">
        <f t="shared" si="1"/>
        <v>5.6590000000000007</v>
      </c>
      <c r="G32" s="410">
        <f t="shared" si="1"/>
        <v>122.83</v>
      </c>
      <c r="H32" s="410">
        <f t="shared" si="1"/>
        <v>146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4" spans="1:8">
      <c r="A34" s="411" t="s">
        <v>3</v>
      </c>
      <c r="B34" s="411"/>
      <c r="C34" s="411"/>
    </row>
    <row r="35" spans="1:8" ht="15.6">
      <c r="A35" s="421" t="s">
        <v>5</v>
      </c>
      <c r="B35" s="415" t="s">
        <v>6</v>
      </c>
      <c r="C35" s="3" t="s">
        <v>7</v>
      </c>
      <c r="D35" s="3" t="s">
        <v>8</v>
      </c>
      <c r="E35" s="3" t="s">
        <v>9</v>
      </c>
      <c r="F35" s="3" t="s">
        <v>10</v>
      </c>
      <c r="G35" s="3" t="s">
        <v>13</v>
      </c>
      <c r="H35" s="3" t="s">
        <v>14</v>
      </c>
    </row>
    <row r="36" spans="1:8" ht="15.6">
      <c r="A36" s="422" t="s">
        <v>15</v>
      </c>
      <c r="B36" s="416">
        <f>(B20/B4)*100</f>
        <v>135.36298234139957</v>
      </c>
      <c r="C36" s="4">
        <f>(C20/C4)*100</f>
        <v>132.21556886227546</v>
      </c>
      <c r="D36" s="5">
        <f>(D20/D4)*100</f>
        <v>97.724867724867735</v>
      </c>
      <c r="E36" s="4">
        <f>(E20/E4)*100</f>
        <v>202.27272727272725</v>
      </c>
      <c r="F36" s="6">
        <f>(F20/F4)*100</f>
        <v>78.70192307692308</v>
      </c>
      <c r="G36" s="5">
        <f>(G20/G4)*100</f>
        <v>89.795918367346943</v>
      </c>
      <c r="H36" s="4">
        <f>(H20/H4)*100</f>
        <v>102.63522884882109</v>
      </c>
    </row>
    <row r="37" spans="1:8" ht="15.6">
      <c r="A37" s="422" t="s">
        <v>16</v>
      </c>
      <c r="B37" s="417">
        <f>(B21/B5)*100</f>
        <v>90.957746478873233</v>
      </c>
      <c r="C37" s="5">
        <f>(C21/C5)*100</f>
        <v>85.176056338028161</v>
      </c>
      <c r="D37" s="6">
        <f>(D21/D5)*100</f>
        <v>59.363957597173155</v>
      </c>
      <c r="E37" s="7">
        <f>(E21/E5)*100</f>
        <v>25.190839694656486</v>
      </c>
      <c r="F37" s="7">
        <f>(F21/F5)*100</f>
        <v>32.432432432432435</v>
      </c>
      <c r="G37" s="6">
        <f>(G21/G5)*100</f>
        <v>74.766355140186917</v>
      </c>
      <c r="H37" s="6">
        <f>(H21/H5)*100</f>
        <v>74.766355140186917</v>
      </c>
    </row>
    <row r="38" spans="1:8" ht="15.6">
      <c r="A38" s="422" t="s">
        <v>17</v>
      </c>
      <c r="B38" s="416">
        <f>(B22/B6)*100</f>
        <v>102.90245836637588</v>
      </c>
      <c r="C38" s="7">
        <f>(C22/C6)*100</f>
        <v>24.025974025974023</v>
      </c>
      <c r="D38" s="5">
        <f>(D22/D6)*100</f>
        <v>92.883895131086192</v>
      </c>
      <c r="E38" s="4">
        <f>(E22/E6)*100</f>
        <v>121.47239263803682</v>
      </c>
      <c r="F38" s="4">
        <f>(F22/F6)*100</f>
        <v>110.16949152542372</v>
      </c>
      <c r="G38" s="6">
        <f>(G22/G6)*100</f>
        <v>73.786407766990294</v>
      </c>
      <c r="H38" s="4">
        <f>(H22/H6)*100</f>
        <v>99.681020733652318</v>
      </c>
    </row>
    <row r="39" spans="1:8" ht="15.6">
      <c r="A39" s="422" t="s">
        <v>18</v>
      </c>
      <c r="B39" s="418">
        <f>(B23/B7)*100</f>
        <v>51.724137931034484</v>
      </c>
      <c r="C39" s="5">
        <f>(C23/C7)*100</f>
        <v>79.6875</v>
      </c>
      <c r="D39" s="4">
        <f>(D23/D7)*100</f>
        <v>118.18181818181816</v>
      </c>
      <c r="E39" s="8">
        <v>0</v>
      </c>
      <c r="F39" s="9">
        <f>(F23/F7)*100</f>
        <v>0</v>
      </c>
      <c r="G39" s="5">
        <f>(G23/G7)*100</f>
        <v>83.333333333333343</v>
      </c>
      <c r="H39" s="5">
        <f>(H23/H7)*100</f>
        <v>80</v>
      </c>
    </row>
    <row r="40" spans="1:8" ht="15.6">
      <c r="A40" s="422" t="s">
        <v>19</v>
      </c>
      <c r="B40" s="417">
        <f>(B24/B8)*100</f>
        <v>83.081570996978854</v>
      </c>
      <c r="C40" s="7">
        <f>(C24/C8)*100</f>
        <v>20.722891566265055</v>
      </c>
      <c r="D40" s="7">
        <f>(D24/D8)*100</f>
        <v>38.961038961038959</v>
      </c>
      <c r="E40" s="4">
        <f>(E24/E8)*100</f>
        <v>115.78947368421053</v>
      </c>
      <c r="F40" s="9">
        <f>(F24/F8)*100</f>
        <v>0</v>
      </c>
      <c r="G40" s="6">
        <f>(G24/G8)*100</f>
        <v>62.5</v>
      </c>
      <c r="H40" s="4">
        <f>(H24/H8)*100</f>
        <v>134.93253373313343</v>
      </c>
    </row>
    <row r="41" spans="1:8" ht="15.6">
      <c r="A41" s="422" t="s">
        <v>20</v>
      </c>
      <c r="B41" s="418">
        <f>(B25/B9)*100</f>
        <v>66.964285714285708</v>
      </c>
      <c r="C41" s="9">
        <f>(C25/C9)*100</f>
        <v>0</v>
      </c>
      <c r="D41" s="7">
        <f>(D25/D9)*100</f>
        <v>37.499999999999993</v>
      </c>
      <c r="E41" s="5">
        <f>(E25/E9)*100</f>
        <v>80.487804878048792</v>
      </c>
      <c r="F41" s="9">
        <f>(F25/F9)*100</f>
        <v>0</v>
      </c>
      <c r="G41" s="7">
        <f>(G25/G9)*100</f>
        <v>48.275862068965516</v>
      </c>
      <c r="H41" s="5">
        <f>(H25/H9)*100</f>
        <v>96.551724137931032</v>
      </c>
    </row>
    <row r="42" spans="1:8" ht="15.6">
      <c r="A42" s="422" t="s">
        <v>21</v>
      </c>
      <c r="B42" s="418">
        <f>(B26/B10)*100</f>
        <v>53.924843423799594</v>
      </c>
      <c r="C42" s="9">
        <f>(C26/C10)*100</f>
        <v>0</v>
      </c>
      <c r="D42" s="7">
        <f>(D26/D10)*100</f>
        <v>28.037383177570092</v>
      </c>
      <c r="E42" s="6">
        <f>(E26/E10)*100</f>
        <v>64.077669902912632</v>
      </c>
      <c r="F42" s="9">
        <f>(F26/F10)*100</f>
        <v>2.7358490566037736</v>
      </c>
      <c r="G42" s="7">
        <f>(G26/G10)*100</f>
        <v>37.151702786377712</v>
      </c>
      <c r="H42" s="6">
        <f>(H26/H10)*100</f>
        <v>50.568900126422243</v>
      </c>
    </row>
    <row r="43" spans="1:8" ht="15.6">
      <c r="A43" s="422" t="s">
        <v>22</v>
      </c>
      <c r="B43" s="418">
        <f>(B27/B11)*100</f>
        <v>55.637982195845701</v>
      </c>
      <c r="C43" s="7">
        <f>(C27/C11)*100</f>
        <v>42.857142857142854</v>
      </c>
      <c r="D43" s="9">
        <f>(D27/D11)*100</f>
        <v>16.483516483516482</v>
      </c>
      <c r="E43" s="9">
        <f>(E27/E11)*100</f>
        <v>0</v>
      </c>
      <c r="F43" s="5">
        <f>(F27/F11)*100</f>
        <v>88.785046728971949</v>
      </c>
      <c r="G43" s="6">
        <f>(G27/G11)*100</f>
        <v>65.71087216248506</v>
      </c>
      <c r="H43" s="7">
        <f>(H27/H11)*100</f>
        <v>41.816009557945037</v>
      </c>
    </row>
    <row r="44" spans="1:8" ht="15.6">
      <c r="A44" s="422" t="s">
        <v>23</v>
      </c>
      <c r="B44" s="419">
        <f>(B28/B12)*100</f>
        <v>48.679245283018865</v>
      </c>
      <c r="C44" s="7">
        <f>(C28/C12)*100</f>
        <v>34.868421052631575</v>
      </c>
      <c r="D44" s="6">
        <f>(D28/D12)*100</f>
        <v>58.823529411764717</v>
      </c>
      <c r="E44" s="4">
        <f>(E28/E12)*100</f>
        <v>115.11627906976743</v>
      </c>
      <c r="F44" s="6">
        <f>(F28/F12)*100</f>
        <v>50.259740259740262</v>
      </c>
      <c r="G44" s="6">
        <f>(G28/G12)*100</f>
        <v>56.61605206073753</v>
      </c>
      <c r="H44" s="4">
        <f>(H28/H12)*100</f>
        <v>105.433901054339</v>
      </c>
    </row>
    <row r="45" spans="1:8" ht="15.6">
      <c r="A45" s="422" t="s">
        <v>24</v>
      </c>
      <c r="B45" s="416">
        <f>(B29/B13)*100</f>
        <v>113.36683417085428</v>
      </c>
      <c r="C45" s="4">
        <f>(C29/C13)*100</f>
        <v>100</v>
      </c>
      <c r="D45" s="4">
        <f>(D29/D13)*100</f>
        <v>121.10091743119267</v>
      </c>
      <c r="E45" s="4">
        <f>(E29/E13)*100</f>
        <v>119.16167664670661</v>
      </c>
      <c r="F45" s="5">
        <f>(F29/F13)*100</f>
        <v>82.439024390243901</v>
      </c>
      <c r="G45" s="5">
        <f>(G29/G13)*100</f>
        <v>90</v>
      </c>
      <c r="H45" s="4">
        <f>(H29/H13)*100</f>
        <v>113.75387797311272</v>
      </c>
    </row>
    <row r="46" spans="1:8" ht="15.6">
      <c r="A46" s="422" t="s">
        <v>25</v>
      </c>
      <c r="B46" s="419">
        <f>(B30/B14)*100</f>
        <v>40.431266846361183</v>
      </c>
      <c r="C46" s="6">
        <f>(C30/C14)*100</f>
        <v>64.36781609195404</v>
      </c>
      <c r="D46" s="9">
        <f>(D30/D14)*100</f>
        <v>18.181818181818183</v>
      </c>
      <c r="E46" s="9">
        <f>(E30/E14)*100</f>
        <v>0</v>
      </c>
      <c r="F46" s="9">
        <f>(F30/F14)*100</f>
        <v>0</v>
      </c>
      <c r="G46" s="9">
        <f>(G30/G14)*100</f>
        <v>16.816143497757849</v>
      </c>
      <c r="H46" s="9">
        <f>(H30/H14)*100</f>
        <v>0</v>
      </c>
    </row>
    <row r="47" spans="1:8" ht="15.6">
      <c r="A47" s="422" t="s">
        <v>26</v>
      </c>
      <c r="B47" s="420">
        <f>(B31/B15)*100</f>
        <v>69.930069930069919</v>
      </c>
      <c r="C47" s="11">
        <f>(C31/C15)*100</f>
        <v>0</v>
      </c>
      <c r="D47" s="10">
        <f>(D31/D15)*100</f>
        <v>78.260869565217405</v>
      </c>
      <c r="E47" s="12">
        <f>(E31/E15)*100</f>
        <v>160.97560975609758</v>
      </c>
      <c r="F47" s="11">
        <f>(F31/F15)*100</f>
        <v>17.021276595744677</v>
      </c>
      <c r="G47" s="13">
        <f>(G31/G15)*100</f>
        <v>28.571428571428569</v>
      </c>
      <c r="H47" s="10">
        <f>(H31/H15)*100</f>
        <v>71.428571428571431</v>
      </c>
    </row>
    <row r="48" spans="1:8" ht="15.6">
      <c r="A48" s="422" t="s">
        <v>27</v>
      </c>
      <c r="B48" s="412">
        <f>SUM(B36:B47)</f>
        <v>912.96342367889724</v>
      </c>
      <c r="C48" s="412">
        <f t="shared" ref="C48:H48" si="2">SUM(C36:C47)</f>
        <v>583.92137079427118</v>
      </c>
      <c r="D48" s="412">
        <f t="shared" si="2"/>
        <v>765.50361184706367</v>
      </c>
      <c r="E48" s="412">
        <f t="shared" si="2"/>
        <v>1004.5444735431641</v>
      </c>
      <c r="F48" s="412">
        <f t="shared" si="2"/>
        <v>462.54478406608382</v>
      </c>
      <c r="G48" s="412">
        <f t="shared" si="2"/>
        <v>727.32407575560967</v>
      </c>
      <c r="H48" s="412">
        <f t="shared" si="2"/>
        <v>971.56812273411515</v>
      </c>
    </row>
    <row r="50" spans="1:8">
      <c r="A50" s="423" t="s">
        <v>4</v>
      </c>
      <c r="B50" s="423"/>
      <c r="C50" s="423"/>
      <c r="D50" s="410"/>
      <c r="E50" s="410"/>
      <c r="F50" s="410"/>
      <c r="G50" s="410"/>
      <c r="H50" s="410"/>
    </row>
    <row r="51" spans="1:8">
      <c r="A51" s="424" t="s">
        <v>5</v>
      </c>
      <c r="B51" s="425" t="s">
        <v>6</v>
      </c>
      <c r="C51" s="425" t="s">
        <v>7</v>
      </c>
      <c r="D51" s="425" t="s">
        <v>8</v>
      </c>
      <c r="E51" s="425" t="s">
        <v>9</v>
      </c>
      <c r="F51" s="425" t="s">
        <v>10</v>
      </c>
      <c r="G51" s="425" t="s">
        <v>13</v>
      </c>
      <c r="H51" s="425" t="s">
        <v>14</v>
      </c>
    </row>
    <row r="52" spans="1:8">
      <c r="A52" s="414" t="s">
        <v>15</v>
      </c>
      <c r="B52" s="410">
        <f>(B4-B20)</f>
        <v>-5.4069999999999983</v>
      </c>
      <c r="C52" s="410">
        <f>(C4-C20)</f>
        <v>-1.0760000000000001</v>
      </c>
      <c r="D52" s="410">
        <f>(D4-D20)</f>
        <v>8.599999999999941E-2</v>
      </c>
      <c r="E52" s="410">
        <f>(E4-E20)</f>
        <v>-1.3499999999999999</v>
      </c>
      <c r="F52" s="410">
        <f>(F4-F20)</f>
        <v>0.44300000000000006</v>
      </c>
      <c r="G52" s="410">
        <f>(G4-G20)</f>
        <v>3.75</v>
      </c>
      <c r="H52" s="410">
        <f>(H4-H20)</f>
        <v>-0.95000000000000284</v>
      </c>
    </row>
    <row r="53" spans="1:8">
      <c r="A53" s="414" t="s">
        <v>16</v>
      </c>
      <c r="B53" s="410">
        <f>(B5-B21)</f>
        <v>1.2840000000000007</v>
      </c>
      <c r="C53" s="410">
        <f>(C5-C21)</f>
        <v>0.42100000000000026</v>
      </c>
      <c r="D53" s="410">
        <f>(D5-D21)</f>
        <v>1.1499999999999997</v>
      </c>
      <c r="E53" s="410">
        <f>(E5-E21)</f>
        <v>0.98</v>
      </c>
      <c r="F53" s="410">
        <f>(F5-F21)</f>
        <v>1.25</v>
      </c>
      <c r="G53" s="410">
        <f>(G5-G21)</f>
        <v>6.75</v>
      </c>
      <c r="H53" s="410">
        <f>(H5-H21)</f>
        <v>6.75</v>
      </c>
    </row>
    <row r="54" spans="1:8">
      <c r="A54" s="414" t="s">
        <v>17</v>
      </c>
      <c r="B54" s="410">
        <f>(B6-B22)</f>
        <v>-0.36599999999999966</v>
      </c>
      <c r="C54" s="410">
        <f>(C6-C22)</f>
        <v>1.1700000000000004</v>
      </c>
      <c r="D54" s="410">
        <f>(D6-D22)</f>
        <v>0.18999999999999861</v>
      </c>
      <c r="E54" s="410">
        <f>(E6-E22)</f>
        <v>-0.35000000000000009</v>
      </c>
      <c r="F54" s="410">
        <f>(F6-F22)</f>
        <v>-0.11999999999999988</v>
      </c>
      <c r="G54" s="410">
        <f>(G6-G22)</f>
        <v>6.75</v>
      </c>
      <c r="H54" s="410">
        <f>(H6-H22)</f>
        <v>7.9999999999998295E-2</v>
      </c>
    </row>
    <row r="55" spans="1:8">
      <c r="A55" s="414" t="s">
        <v>18</v>
      </c>
      <c r="B55" s="410">
        <f>(B7-B23)</f>
        <v>1.4</v>
      </c>
      <c r="C55" s="410">
        <f>(C7-C23)</f>
        <v>0.13</v>
      </c>
      <c r="D55" s="410">
        <f>(D7-D23)</f>
        <v>-9.9999999999999978E-2</v>
      </c>
      <c r="E55" s="410">
        <f>(E7-E23)</f>
        <v>0</v>
      </c>
      <c r="F55" s="410">
        <f>(F7-F23)</f>
        <v>0.02</v>
      </c>
      <c r="G55" s="410">
        <f>(G7-G23)</f>
        <v>1</v>
      </c>
      <c r="H55" s="410">
        <f>(H7-H23)</f>
        <v>1</v>
      </c>
    </row>
    <row r="56" spans="1:8">
      <c r="A56" s="414" t="s">
        <v>19</v>
      </c>
      <c r="B56" s="410">
        <f>(B8-B24)</f>
        <v>0.56000000000000005</v>
      </c>
      <c r="C56" s="410">
        <f>(C8-C24)</f>
        <v>0.65800000000000014</v>
      </c>
      <c r="D56" s="410">
        <f>(D8-D24)</f>
        <v>0.47000000000000003</v>
      </c>
      <c r="E56" s="410">
        <f>(E8-E24)</f>
        <v>-9.000000000000008E-2</v>
      </c>
      <c r="F56" s="410">
        <f>(F8-F24)</f>
        <v>0.4</v>
      </c>
      <c r="G56" s="410">
        <f>(G8-G24)</f>
        <v>3</v>
      </c>
      <c r="H56" s="410">
        <f>(H8-H24)</f>
        <v>-2.33</v>
      </c>
    </row>
    <row r="57" spans="1:8">
      <c r="A57" s="414" t="s">
        <v>20</v>
      </c>
      <c r="B57" s="410">
        <f>(B9-B25)</f>
        <v>1.1100000000000003</v>
      </c>
      <c r="C57" s="410">
        <f>(C9-C25)</f>
        <v>0.81</v>
      </c>
      <c r="D57" s="410">
        <f>(D9-D25)</f>
        <v>0.5</v>
      </c>
      <c r="E57" s="410">
        <f>(E9-E25)</f>
        <v>7.9999999999999905E-2</v>
      </c>
      <c r="F57" s="410">
        <f>(F9-F25)</f>
        <v>0.4</v>
      </c>
      <c r="G57" s="410">
        <f>(G9-G25)</f>
        <v>3.75</v>
      </c>
      <c r="H57" s="410">
        <f>(H9-H25)</f>
        <v>0.25</v>
      </c>
    </row>
    <row r="58" spans="1:8">
      <c r="A58" s="414" t="s">
        <v>21</v>
      </c>
      <c r="B58" s="410">
        <f>(B10-B26)</f>
        <v>4.4139999999999979</v>
      </c>
      <c r="C58" s="410">
        <f>(C10-C26)</f>
        <v>2.13</v>
      </c>
      <c r="D58" s="410">
        <f>(D10-D26)</f>
        <v>1.54</v>
      </c>
      <c r="E58" s="410">
        <f>(E10-E26)</f>
        <v>0.37</v>
      </c>
      <c r="F58" s="410">
        <f>(F10-F26)</f>
        <v>1.0310000000000001</v>
      </c>
      <c r="G58" s="410">
        <f>(G10-G26)</f>
        <v>10.149999999999999</v>
      </c>
      <c r="H58" s="410">
        <f>(H10-H26)</f>
        <v>7.82</v>
      </c>
    </row>
    <row r="59" spans="1:8">
      <c r="A59" s="414" t="s">
        <v>22</v>
      </c>
      <c r="B59" s="410">
        <f>(B11-B27)</f>
        <v>2.9899999999999993</v>
      </c>
      <c r="C59" s="410">
        <f>(C11-C27)</f>
        <v>1.1200000000000001</v>
      </c>
      <c r="D59" s="410">
        <f>(D11-D27)</f>
        <v>1.5200000000000002</v>
      </c>
      <c r="E59" s="410">
        <f>(E11-E27)</f>
        <v>1.02</v>
      </c>
      <c r="F59" s="410">
        <f>(F11-F27)</f>
        <v>0.12000000000000011</v>
      </c>
      <c r="G59" s="410">
        <f>(G11-G27)</f>
        <v>5.740000000000002</v>
      </c>
      <c r="H59" s="410">
        <f>(H11-H27)</f>
        <v>9.740000000000002</v>
      </c>
    </row>
    <row r="60" spans="1:8">
      <c r="A60" s="414" t="s">
        <v>23</v>
      </c>
      <c r="B60" s="410">
        <f>(B12-B28)</f>
        <v>2.7199999999999998</v>
      </c>
      <c r="C60" s="410">
        <f>(C12-C28)</f>
        <v>0.99000000000000021</v>
      </c>
      <c r="D60" s="410">
        <f>(D12-D28)</f>
        <v>0.69999999999999973</v>
      </c>
      <c r="E60" s="410">
        <f>(E12-E28)</f>
        <v>-0.12999999999999989</v>
      </c>
      <c r="F60" s="410">
        <f>(F12-F28)</f>
        <v>0.38300000000000001</v>
      </c>
      <c r="G60" s="410">
        <f>(G12-G28)</f>
        <v>6</v>
      </c>
      <c r="H60" s="410">
        <f>(H12-H28)</f>
        <v>-0.66999999999999993</v>
      </c>
    </row>
    <row r="61" spans="1:8">
      <c r="A61" s="414" t="s">
        <v>24</v>
      </c>
      <c r="B61" s="410">
        <f>(B13-B29)</f>
        <v>-1.33</v>
      </c>
      <c r="C61" s="410">
        <f>(C13-C29)</f>
        <v>0</v>
      </c>
      <c r="D61" s="410">
        <f>(D13-D29)</f>
        <v>-0.22999999999999998</v>
      </c>
      <c r="E61" s="410">
        <f>(E13-E29)</f>
        <v>-0.64000000000000057</v>
      </c>
      <c r="F61" s="410">
        <f>(F13-F29)</f>
        <v>0.14400000000000002</v>
      </c>
      <c r="G61" s="410">
        <f>(G13-G29)</f>
        <v>1</v>
      </c>
      <c r="H61" s="410">
        <f>(H13-H29)</f>
        <v>-1.33</v>
      </c>
    </row>
    <row r="62" spans="1:8">
      <c r="A62" s="414" t="s">
        <v>25</v>
      </c>
      <c r="B62" s="410">
        <f>(B14-B30)</f>
        <v>6.6300000000000008</v>
      </c>
      <c r="C62" s="410">
        <f>(C14-C30)</f>
        <v>0.30999999999999994</v>
      </c>
      <c r="D62" s="410">
        <f>(D14-D30)</f>
        <v>0.45000000000000007</v>
      </c>
      <c r="E62" s="410">
        <f>(E14-E30)</f>
        <v>0.6</v>
      </c>
      <c r="F62" s="410">
        <f>(F14-F30)</f>
        <v>0.6</v>
      </c>
      <c r="G62" s="410">
        <f>(G14-G30)</f>
        <v>7.42</v>
      </c>
      <c r="H62" s="410">
        <f>(H14-H30)</f>
        <v>8.92</v>
      </c>
    </row>
    <row r="63" spans="1:8">
      <c r="A63" s="414" t="s">
        <v>26</v>
      </c>
      <c r="B63" s="410">
        <f>(B15-B31)</f>
        <v>0.43000000000000038</v>
      </c>
      <c r="C63" s="410">
        <f>(C15-C31)</f>
        <v>0.51</v>
      </c>
      <c r="D63" s="410">
        <f>(D15-D31)</f>
        <v>0.24999999999999978</v>
      </c>
      <c r="E63" s="410">
        <f>(E15-E31)</f>
        <v>-0.25000000000000006</v>
      </c>
      <c r="F63" s="410">
        <f>(F15-F31)</f>
        <v>0.39000000000000007</v>
      </c>
      <c r="G63" s="410">
        <f>(G15-G31)</f>
        <v>5</v>
      </c>
      <c r="H63" s="410">
        <f>(H15-H31)</f>
        <v>2</v>
      </c>
    </row>
    <row r="64" spans="1:8">
      <c r="A64" s="414" t="s">
        <v>27</v>
      </c>
      <c r="B64" s="410">
        <f t="shared" ref="B64:H64" si="3">SUM(B52:B63)</f>
        <v>14.435</v>
      </c>
      <c r="C64" s="410">
        <f t="shared" si="3"/>
        <v>7.173</v>
      </c>
      <c r="D64" s="410">
        <f t="shared" si="3"/>
        <v>6.5259999999999971</v>
      </c>
      <c r="E64" s="410">
        <f t="shared" si="3"/>
        <v>0.23999999999999927</v>
      </c>
      <c r="F64" s="410">
        <f t="shared" si="3"/>
        <v>5.0609999999999999</v>
      </c>
      <c r="G64" s="410">
        <f t="shared" si="3"/>
        <v>60.31</v>
      </c>
      <c r="H64" s="410">
        <f t="shared" si="3"/>
        <v>31.28</v>
      </c>
    </row>
    <row r="65" spans="1:17" ht="13.8">
      <c r="B65" s="1"/>
      <c r="C65" s="1"/>
      <c r="D65" s="1"/>
      <c r="E65" s="1"/>
      <c r="F65" s="1"/>
      <c r="G65" s="1"/>
      <c r="H65" s="1"/>
      <c r="I65" s="1"/>
    </row>
    <row r="66" spans="1:17" ht="13.8">
      <c r="L66" s="1"/>
      <c r="M66" s="1"/>
      <c r="N66" s="1"/>
      <c r="O66" s="1"/>
      <c r="P66" s="1"/>
      <c r="Q66" s="1"/>
    </row>
    <row r="67" spans="1:17" ht="13.2" customHeight="1">
      <c r="A67" s="424" t="s">
        <v>6</v>
      </c>
      <c r="B67" s="425" t="s">
        <v>7</v>
      </c>
      <c r="C67" s="425" t="s">
        <v>8</v>
      </c>
      <c r="D67" s="425" t="s">
        <v>9</v>
      </c>
      <c r="E67" s="425" t="s">
        <v>10</v>
      </c>
      <c r="F67" s="425" t="s">
        <v>13</v>
      </c>
      <c r="G67" s="425" t="s">
        <v>14</v>
      </c>
      <c r="L67" s="1"/>
      <c r="M67" s="1"/>
      <c r="N67" s="395" t="s">
        <v>30</v>
      </c>
      <c r="O67" s="393"/>
      <c r="P67" s="1"/>
      <c r="Q67" s="1"/>
    </row>
    <row r="68" spans="1:17" ht="13.2" customHeight="1">
      <c r="A68" s="424" t="s">
        <v>28</v>
      </c>
      <c r="L68" s="1"/>
      <c r="M68" s="1"/>
      <c r="N68" s="14" t="s">
        <v>32</v>
      </c>
      <c r="O68" s="15"/>
      <c r="P68" s="1"/>
      <c r="Q68" s="1"/>
    </row>
    <row r="69" spans="1:17" ht="13.2" customHeight="1">
      <c r="A69" s="414">
        <v>95.8</v>
      </c>
      <c r="B69" s="410">
        <v>17.670000000000005</v>
      </c>
      <c r="C69" s="410">
        <v>19.849999999999998</v>
      </c>
      <c r="D69" s="410">
        <v>12.5</v>
      </c>
      <c r="E69" s="410">
        <v>10.72</v>
      </c>
      <c r="F69" s="410">
        <v>183.14000000000001</v>
      </c>
      <c r="G69" s="410">
        <v>177.28</v>
      </c>
      <c r="L69" s="1"/>
      <c r="M69" s="1"/>
      <c r="N69" s="16" t="s">
        <v>33</v>
      </c>
      <c r="O69" s="17"/>
      <c r="P69" s="1"/>
      <c r="Q69" s="1"/>
    </row>
    <row r="70" spans="1:17" ht="13.2" customHeight="1">
      <c r="A70" s="424" t="s">
        <v>31</v>
      </c>
      <c r="B70" s="410"/>
      <c r="C70" s="410"/>
      <c r="D70" s="410"/>
      <c r="E70" s="410"/>
      <c r="F70" s="410"/>
      <c r="G70" s="410"/>
      <c r="L70" s="1"/>
      <c r="M70" s="1"/>
      <c r="N70" s="16" t="s">
        <v>40</v>
      </c>
      <c r="O70" s="18"/>
      <c r="P70" s="1"/>
      <c r="Q70" s="1"/>
    </row>
    <row r="71" spans="1:17" ht="13.2" customHeight="1">
      <c r="A71" s="414">
        <v>81.364999999999995</v>
      </c>
      <c r="B71" s="410">
        <v>10.497</v>
      </c>
      <c r="C71" s="410">
        <v>13.324000000000003</v>
      </c>
      <c r="D71" s="410">
        <v>12.260000000000002</v>
      </c>
      <c r="E71" s="410">
        <v>5.6590000000000007</v>
      </c>
      <c r="F71" s="410">
        <v>122.83</v>
      </c>
      <c r="G71" s="410">
        <v>146</v>
      </c>
      <c r="L71" s="1"/>
      <c r="M71" s="1"/>
      <c r="N71" s="16" t="s">
        <v>42</v>
      </c>
      <c r="O71" s="19"/>
      <c r="P71" s="1"/>
      <c r="Q71" s="1"/>
    </row>
    <row r="72" spans="1:17" ht="13.2" customHeight="1">
      <c r="A72" s="414" t="s">
        <v>34</v>
      </c>
      <c r="B72" s="410" t="s">
        <v>35</v>
      </c>
      <c r="C72" s="410" t="s">
        <v>36</v>
      </c>
      <c r="D72" s="410" t="s">
        <v>37</v>
      </c>
      <c r="E72" s="410" t="s">
        <v>38</v>
      </c>
      <c r="F72" s="410" t="s">
        <v>39</v>
      </c>
      <c r="G72" s="410">
        <v>146</v>
      </c>
      <c r="L72" s="1"/>
      <c r="M72" s="1"/>
      <c r="N72" s="16" t="s">
        <v>43</v>
      </c>
      <c r="O72" s="20"/>
      <c r="P72" s="1"/>
      <c r="Q72" s="1"/>
    </row>
    <row r="73" spans="1:17" ht="13.2" customHeight="1">
      <c r="A73" s="424" t="s">
        <v>41</v>
      </c>
      <c r="B73" s="410"/>
      <c r="C73" s="410"/>
      <c r="D73" s="410"/>
      <c r="E73" s="410"/>
      <c r="F73" s="410"/>
      <c r="G73" s="410"/>
    </row>
    <row r="74" spans="1:17" ht="13.2" customHeight="1">
      <c r="A74" s="414">
        <v>14.435</v>
      </c>
      <c r="B74" s="410">
        <v>7.173</v>
      </c>
      <c r="C74" s="410">
        <v>6.5259999999999971</v>
      </c>
      <c r="D74" s="410">
        <v>0.23999999999999927</v>
      </c>
      <c r="E74" s="410">
        <v>5.0609999999999999</v>
      </c>
      <c r="F74" s="410">
        <v>60.31</v>
      </c>
      <c r="G74" s="410">
        <v>31.28</v>
      </c>
    </row>
    <row r="75" spans="1:17" ht="13.2" customHeight="1">
      <c r="A75" s="414" t="s">
        <v>44</v>
      </c>
      <c r="B75" s="410" t="s">
        <v>45</v>
      </c>
      <c r="C75" s="410" t="s">
        <v>46</v>
      </c>
      <c r="D75" s="410" t="s">
        <v>47</v>
      </c>
      <c r="E75" s="410" t="s">
        <v>48</v>
      </c>
      <c r="F75" s="410" t="s">
        <v>49</v>
      </c>
      <c r="G75" s="410" t="s">
        <v>50</v>
      </c>
    </row>
    <row r="76" spans="1:17" ht="13.2" customHeight="1">
      <c r="A76" s="414"/>
      <c r="B76" s="410"/>
      <c r="C76" s="410"/>
      <c r="D76" s="410"/>
      <c r="E76" s="410"/>
      <c r="F76" s="410"/>
      <c r="G76" s="410"/>
    </row>
    <row r="77" spans="1:17" ht="13.2" customHeight="1">
      <c r="A77" s="414"/>
      <c r="B77" s="410"/>
      <c r="C77" s="410"/>
      <c r="D77" s="410"/>
      <c r="E77" s="410"/>
      <c r="F77" s="410"/>
      <c r="G77" s="410"/>
    </row>
    <row r="78" spans="1:17" ht="13.2" customHeight="1">
      <c r="A78" t="s">
        <v>51</v>
      </c>
      <c r="G78" s="410"/>
    </row>
    <row r="79" spans="1:17" ht="13.2" customHeight="1">
      <c r="A79" t="s">
        <v>52</v>
      </c>
      <c r="G79" s="410"/>
    </row>
    <row r="80" spans="1:17">
      <c r="A80" s="414"/>
      <c r="B80" s="410"/>
      <c r="C80" s="410"/>
      <c r="D80" s="410"/>
      <c r="E80" s="410"/>
      <c r="F80" s="410"/>
      <c r="G80" s="410"/>
    </row>
    <row r="81" spans="1:6" ht="54" customHeight="1">
      <c r="A81" s="394" t="s">
        <v>29</v>
      </c>
      <c r="B81" s="393"/>
      <c r="C81" s="393"/>
      <c r="D81" s="393"/>
      <c r="E81" s="393"/>
      <c r="F81" s="393"/>
    </row>
    <row r="111" spans="2:2">
      <c r="B111" s="413"/>
    </row>
    <row r="112" spans="2:2">
      <c r="B112" s="413"/>
    </row>
    <row r="113" spans="2:2">
      <c r="B113" s="413"/>
    </row>
    <row r="114" spans="2:2">
      <c r="B114" s="413"/>
    </row>
    <row r="115" spans="2:2">
      <c r="B115" s="413"/>
    </row>
    <row r="116" spans="2:2">
      <c r="B116" s="413"/>
    </row>
    <row r="117" spans="2:2">
      <c r="B117" s="413"/>
    </row>
  </sheetData>
  <mergeCells count="7">
    <mergeCell ref="A1:C1"/>
    <mergeCell ref="A81:F81"/>
    <mergeCell ref="N67:O67"/>
    <mergeCell ref="A2:C2"/>
    <mergeCell ref="A18:C18"/>
    <mergeCell ref="A34:C34"/>
    <mergeCell ref="A50:C50"/>
  </mergeCells>
  <hyperlinks>
    <hyperlink ref="A81" r:id="rId1" xr:uid="{2A5ABD9A-8C04-4FEE-9801-C8351543EBC1}"/>
  </hyperlinks>
  <pageMargins left="0.7" right="0.7" top="0.75" bottom="0.75" header="0.3" footer="0.3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78"/>
  <sheetViews>
    <sheetView workbookViewId="0">
      <selection activeCell="D15" sqref="D15"/>
    </sheetView>
  </sheetViews>
  <sheetFormatPr defaultColWidth="12.6640625" defaultRowHeight="15" customHeight="1"/>
  <cols>
    <col min="1" max="1" width="26.109375" customWidth="1"/>
    <col min="2" max="2" width="10" customWidth="1"/>
    <col min="3" max="3" width="13.5546875" customWidth="1"/>
    <col min="9" max="9" width="12.21875" customWidth="1"/>
    <col min="12" max="12" width="29.21875" customWidth="1"/>
  </cols>
  <sheetData>
    <row r="1" spans="1:24" ht="13.2">
      <c r="A1" t="s">
        <v>53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25.2" customHeight="1">
      <c r="A2" t="s">
        <v>3376</v>
      </c>
      <c r="B2" s="410" t="s">
        <v>3377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8.5" customHeight="1">
      <c r="A3" t="s">
        <v>54</v>
      </c>
      <c r="B3" s="410">
        <v>93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3.2">
      <c r="A4" t="s">
        <v>56</v>
      </c>
      <c r="B4" s="410">
        <v>248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3.2">
      <c r="A5" t="s">
        <v>59</v>
      </c>
      <c r="B5" s="410">
        <v>341</v>
      </c>
      <c r="J5" s="22"/>
      <c r="K5" s="22"/>
      <c r="L5" s="22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3.2">
      <c r="A6" t="s">
        <v>63</v>
      </c>
      <c r="B6" s="410">
        <v>182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3.2">
      <c r="A7" t="s">
        <v>66</v>
      </c>
      <c r="B7" s="410">
        <v>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3.2">
      <c r="A8" t="s">
        <v>69</v>
      </c>
      <c r="B8" s="410">
        <v>184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3.2">
      <c r="A9" t="s">
        <v>71</v>
      </c>
      <c r="B9" s="410" t="s">
        <v>70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3.2">
      <c r="A10" t="s">
        <v>72</v>
      </c>
      <c r="B10" s="410" t="s">
        <v>73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3.2">
      <c r="A11" t="s">
        <v>74</v>
      </c>
      <c r="B11" s="410" t="s">
        <v>75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3.2"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3.2"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3.2">
      <c r="A14" t="s">
        <v>55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3.2">
      <c r="A15" t="s">
        <v>3376</v>
      </c>
      <c r="B15" s="410" t="s">
        <v>3377</v>
      </c>
      <c r="G15">
        <f>98.7+16.33+8.74</f>
        <v>123.77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3.2">
      <c r="A16" t="s">
        <v>57</v>
      </c>
      <c r="B16" s="410" t="s">
        <v>58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3.2">
      <c r="A17" t="s">
        <v>60</v>
      </c>
      <c r="B17" s="410" t="s">
        <v>61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3.2">
      <c r="A18" t="s">
        <v>64</v>
      </c>
      <c r="B18" s="410">
        <v>8400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3.2">
      <c r="A19" t="s">
        <v>67</v>
      </c>
      <c r="B19" s="410" t="s">
        <v>68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3.2">
      <c r="A20" t="s">
        <v>27</v>
      </c>
      <c r="B20" s="410" t="s">
        <v>70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3.2">
      <c r="A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3.2">
      <c r="A22" s="27" t="s">
        <v>62</v>
      </c>
      <c r="B22" s="27">
        <v>26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3.2">
      <c r="A23" s="27" t="s">
        <v>65</v>
      </c>
      <c r="B23" s="27">
        <v>16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3.2"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3.2">
      <c r="A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3.2">
      <c r="A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3.2">
      <c r="A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3.2">
      <c r="A28" s="21"/>
      <c r="B28" s="21"/>
      <c r="C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3.2">
      <c r="A29" s="21"/>
      <c r="B29" s="21"/>
      <c r="C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3.2">
      <c r="A30" s="21"/>
      <c r="B30" s="21"/>
      <c r="C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3.2">
      <c r="A31" s="21"/>
      <c r="B31" s="21"/>
      <c r="C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ht="13.2">
      <c r="A32" s="21"/>
      <c r="B32" s="21"/>
      <c r="C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13.2">
      <c r="A33" s="21"/>
      <c r="B33" s="21"/>
      <c r="C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13.2">
      <c r="A34" s="21"/>
      <c r="B34" s="21"/>
      <c r="C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3.2">
      <c r="A35" s="21"/>
      <c r="B35" s="21"/>
      <c r="C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3.2">
      <c r="A36" s="21"/>
      <c r="B36" s="21"/>
      <c r="C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3.2">
      <c r="A37" s="21"/>
      <c r="B37" s="21"/>
      <c r="C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ht="13.2">
      <c r="A38" s="21"/>
      <c r="B38" s="21"/>
      <c r="C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ht="13.2">
      <c r="A39" s="21"/>
      <c r="B39" s="21"/>
      <c r="C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13.2">
      <c r="A40" s="21"/>
      <c r="B40" s="21"/>
      <c r="C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3.2">
      <c r="A41" s="21"/>
      <c r="B41" s="21"/>
      <c r="C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3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3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3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3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ht="13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ht="13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ht="13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3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3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3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13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3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3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3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3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3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3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3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3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3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3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3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3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3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3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3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3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3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3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3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3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3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3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3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3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3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3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3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3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3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3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3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3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3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3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3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3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3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3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3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3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3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3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3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3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3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3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3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3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3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3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3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3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3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3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3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3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3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3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3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3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3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3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3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3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13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ht="13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 ht="13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 ht="13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 ht="13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13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13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 ht="13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13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 ht="13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13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13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 ht="13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ht="13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13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13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13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13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ht="13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 ht="13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 ht="13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 ht="13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 ht="13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 ht="13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 ht="13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 ht="13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 ht="13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 ht="13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 ht="13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 ht="13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 ht="13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 ht="13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 ht="13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 ht="13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ht="13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ht="13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ht="13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ht="13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ht="13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ht="13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ht="13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ht="13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ht="13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ht="13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ht="13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ht="13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ht="13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ht="13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ht="13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ht="13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ht="13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ht="13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ht="13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ht="13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ht="13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ht="13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ht="13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ht="13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ht="13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ht="13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ht="13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ht="13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ht="13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ht="13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ht="13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ht="13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ht="13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ht="13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ht="13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ht="13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ht="13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 ht="13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 ht="13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 ht="13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 ht="13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 ht="13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 ht="13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 ht="13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 ht="13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 ht="13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 ht="13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 ht="13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 ht="13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 ht="13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 ht="13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ht="13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ht="13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ht="13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ht="13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ht="13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ht="13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ht="13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ht="13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ht="13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ht="13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ht="13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ht="13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 ht="13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 ht="13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 ht="13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 ht="13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 ht="13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 ht="13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 ht="13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 ht="13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 ht="13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 ht="13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 ht="13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 ht="13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 ht="13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 ht="13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 ht="13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 ht="13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 ht="13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 ht="13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 ht="13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 ht="13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 ht="13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 ht="13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 ht="13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 ht="13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 ht="13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 ht="13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 ht="13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 ht="13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 ht="13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 ht="13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 ht="13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 ht="13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 ht="13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spans="1:24" ht="13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spans="1:24" ht="13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spans="1:24" ht="13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spans="1:24" ht="13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spans="1:24" ht="13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spans="1:24" ht="13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spans="1:24" ht="13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spans="1:24" ht="13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spans="1:24" ht="13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spans="1:24" ht="13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spans="1:24" ht="13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spans="1:24" ht="13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spans="1:24" ht="13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spans="1:24" ht="13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spans="1:24" ht="13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spans="1:24" ht="13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spans="1:24" ht="13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spans="1:24" ht="13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spans="1:24" ht="13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spans="1:24" ht="13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spans="1:24" ht="13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spans="1:24" ht="13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1:24" ht="13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spans="1:24" ht="13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spans="1:24" ht="13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spans="1:24" ht="13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spans="1:24" ht="13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spans="1:24" ht="13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spans="1:24" ht="13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spans="1:24" ht="13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spans="1:24" ht="13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spans="1:24" ht="13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spans="1:24" ht="13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spans="1:24" ht="13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spans="1:24" ht="13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spans="1:24" ht="13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spans="1:24" ht="13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spans="1:24" ht="13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spans="1:24" ht="13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spans="1:24" ht="13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spans="1:24" ht="13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spans="1:24" ht="13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spans="1:24" ht="13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spans="1:24" ht="13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spans="1:24" ht="13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spans="1:24" ht="13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spans="1:24" ht="13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spans="1:24" ht="13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spans="1:24" ht="13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spans="1:24" ht="13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spans="1:24" ht="13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spans="1:24" ht="13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spans="1:24" ht="13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spans="1:24" ht="13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spans="1:24" ht="13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spans="1:24" ht="13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spans="1:24" ht="13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spans="1:24" ht="13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spans="1:24" ht="13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spans="1:24" ht="13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spans="1:24" ht="13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spans="1:24" ht="13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spans="1:24" ht="13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spans="1:24" ht="13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spans="1:24" ht="13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spans="1:24" ht="13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spans="1:24" ht="13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spans="1:24" ht="13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spans="1:24" ht="13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spans="1:24" ht="13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spans="1:24" ht="13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spans="1:24" ht="13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spans="1:24" ht="13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spans="1:24" ht="13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spans="1:24" ht="13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spans="1:24" ht="13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spans="1:24" ht="13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spans="1:24" ht="13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spans="1:24" ht="13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spans="1:24" ht="13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spans="1:24" ht="13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spans="1:24" ht="13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spans="1:24" ht="13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spans="1:24" ht="13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spans="1:24" ht="13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spans="1:24" ht="13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spans="1:24" ht="13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spans="1:24" ht="13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spans="1:24" ht="13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spans="1:24" ht="13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spans="1:24" ht="13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spans="1:24" ht="13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spans="1:24" ht="13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spans="1:24" ht="13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spans="1:24" ht="13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spans="1:24" ht="13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spans="1:24" ht="13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spans="1:24" ht="13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spans="1:24" ht="13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spans="1:24" ht="13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spans="1:24" ht="13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spans="1:24" ht="13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spans="1:24" ht="13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spans="1:24" ht="13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spans="1:24" ht="13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spans="1:24" ht="13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spans="1:24" ht="13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spans="1:24" ht="13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spans="1:24" ht="13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spans="1:24" ht="13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spans="1:24" ht="13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spans="1:24" ht="13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spans="1:24" ht="13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spans="1:24" ht="13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spans="1:24" ht="13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spans="1:24" ht="13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spans="1:24" ht="13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spans="1:24" ht="13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spans="1:24" ht="13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spans="1:24" ht="13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spans="1:24" ht="13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spans="1:24" ht="13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spans="1:24" ht="13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spans="1:24" ht="13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spans="1:24" ht="13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spans="1:24" ht="13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spans="1:24" ht="13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spans="1:24" ht="13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spans="1:24" ht="13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spans="1:24" ht="13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spans="1:24" ht="13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spans="1:24" ht="13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spans="1:24" ht="13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spans="1:24" ht="13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spans="1:24" ht="13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spans="1:24" ht="13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spans="1:24" ht="13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spans="1:24" ht="13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spans="1:24" ht="13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spans="1:24" ht="13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spans="1:24" ht="13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spans="1:24" ht="13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spans="1:24" ht="13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spans="1:24" ht="13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spans="1:24" ht="13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spans="1:24" ht="13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spans="1:24" ht="13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spans="1:24" ht="13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spans="1:24" ht="13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spans="1:24" ht="13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spans="1:24" ht="13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spans="1:24" ht="13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spans="1:24" ht="13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spans="1:24" ht="13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spans="1:24" ht="13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spans="1:24" ht="13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spans="1:24" ht="13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spans="1:24" ht="13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spans="1:24" ht="13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spans="1:24" ht="13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spans="1:24" ht="13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spans="1:24" ht="13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spans="1:24" ht="13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spans="1:24" ht="13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spans="1:24" ht="13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spans="1:24" ht="13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spans="1:24" ht="13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spans="1:24" ht="13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spans="1:24" ht="13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spans="1:24" ht="13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spans="1:24" ht="13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spans="1:24" ht="13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spans="1:24" ht="13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spans="1:24" ht="13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spans="1:24" ht="13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spans="1:24" ht="13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spans="1:24" ht="13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spans="1:24" ht="13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spans="1:24" ht="13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spans="1:24" ht="13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spans="1:24" ht="13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spans="1:24" ht="13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spans="1:24" ht="13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spans="1:24" ht="13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spans="1:24" ht="13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spans="1:24" ht="13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spans="1:24" ht="13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spans="1:24" ht="13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spans="1:24" ht="13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spans="1:24" ht="13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spans="1:24" ht="13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spans="1:24" ht="13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spans="1:24" ht="13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spans="1:24" ht="13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spans="1:24" ht="13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spans="1:24" ht="13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spans="1:24" ht="13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spans="1:24" ht="13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spans="1:24" ht="13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spans="1:24" ht="13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spans="1:24" ht="13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spans="1:24" ht="13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spans="1:24" ht="13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spans="1:24" ht="13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spans="1:24" ht="13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spans="1:24" ht="13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spans="1:24" ht="13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spans="1:24" ht="13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spans="1:24" ht="13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spans="1:24" ht="13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spans="1:24" ht="13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spans="1:24" ht="13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spans="1:24" ht="13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spans="1:24" ht="13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spans="1:24" ht="13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spans="1:24" ht="13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spans="1:24" ht="13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spans="1:24" ht="13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spans="1:24" ht="13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spans="1:24" ht="13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spans="1:24" ht="13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spans="1:24" ht="13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spans="1:24" ht="13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spans="1:24" ht="13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spans="1:24" ht="13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spans="1:24" ht="13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spans="1:24" ht="13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spans="1:24" ht="13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spans="1:24" ht="13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spans="1:24" ht="13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spans="1:24" ht="13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spans="1:24" ht="13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spans="1:24" ht="13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spans="1:24" ht="13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spans="1:24" ht="13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spans="1:24" ht="13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spans="1:24" ht="13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spans="1:24" ht="13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spans="1:24" ht="13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spans="1:24" ht="13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spans="1:24" ht="13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spans="1:24" ht="13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spans="1:24" ht="13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spans="1:24" ht="13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spans="1:24" ht="13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spans="1:24" ht="13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spans="1:24" ht="13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spans="1:24" ht="13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spans="1:24" ht="13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spans="1:24" ht="13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spans="1:24" ht="13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spans="1:24" ht="13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spans="1:24" ht="13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spans="1:24" ht="13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spans="1:24" ht="13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spans="1:24" ht="13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spans="1:24" ht="13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spans="1:24" ht="13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spans="1:24" ht="13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spans="1:24" ht="13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spans="1:24" ht="13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spans="1:24" ht="13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spans="1:24" ht="13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spans="1:24" ht="13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spans="1:24" ht="13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spans="1:24" ht="13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spans="1:24" ht="13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spans="1:24" ht="13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spans="1:24" ht="13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spans="1:24" ht="13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spans="1:24" ht="13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spans="1:24" ht="13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spans="1:24" ht="13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spans="1:24" ht="13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spans="1:24" ht="13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spans="1:24" ht="13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spans="1:24" ht="13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spans="1:24" ht="13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 ht="13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spans="1:24" ht="13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spans="1:24" ht="13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spans="1:24" ht="13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spans="1:24" ht="13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spans="1:24" ht="13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spans="1:24" ht="13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spans="1:24" ht="13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spans="1:24" ht="13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spans="1:24" ht="13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spans="1:24" ht="13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spans="1:24" ht="13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spans="1:24" ht="13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spans="1:24" ht="13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spans="1:24" ht="13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spans="1:24" ht="13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spans="1:24" ht="13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spans="1:24" ht="13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spans="1:24" ht="13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spans="1:24" ht="13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spans="1:24" ht="13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spans="1:24" ht="13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spans="1:24" ht="13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spans="1:24" ht="13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spans="1:24" ht="13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spans="1:24" ht="13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spans="1:24" ht="13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spans="1:24" ht="13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spans="1:24" ht="13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spans="1:24" ht="13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spans="1:24" ht="13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spans="1:24" ht="13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spans="1:24" ht="13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spans="1:24" ht="13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spans="1:24" ht="13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spans="1:24" ht="13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spans="1:24" ht="13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spans="1:24" ht="13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spans="1:24" ht="13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spans="1:24" ht="13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spans="1:24" ht="13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spans="1:24" ht="13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spans="1:24" ht="13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spans="1:24" ht="13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spans="1:24" ht="13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spans="1:24" ht="13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spans="1:24" ht="13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spans="1:24" ht="13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spans="1:24" ht="13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spans="1:24" ht="13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spans="1:24" ht="13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spans="1:24" ht="13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spans="1:24" ht="13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spans="1:24" ht="13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spans="1:24" ht="13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spans="1:24" ht="13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spans="1:24" ht="13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spans="1:24" ht="13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spans="1:24" ht="13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spans="1:24" ht="13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spans="1:24" ht="13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spans="1:24" ht="13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spans="1:24" ht="13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spans="1:24" ht="13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spans="1:24" ht="13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spans="1:24" ht="13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spans="1:24" ht="13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spans="1:24" ht="13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spans="1:24" ht="13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spans="1:24" ht="13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spans="1:24" ht="13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spans="1:24" ht="13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spans="1:24" ht="13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spans="1:24" ht="13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spans="1:24" ht="13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spans="1:24" ht="13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spans="1:24" ht="13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spans="1:24" ht="13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spans="1:24" ht="13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spans="1:24" ht="13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spans="1:24" ht="13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spans="1:24" ht="13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spans="1:24" ht="13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spans="1:24" ht="13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spans="1:24" ht="13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spans="1:24" ht="13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spans="1:24" ht="13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spans="1:24" ht="13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spans="1:24" ht="13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spans="1:24" ht="13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spans="1:24" ht="13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spans="1:24" ht="13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spans="1:24" ht="13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spans="1:24" ht="13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spans="1:24" ht="13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spans="1:24" ht="13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spans="1:24" ht="13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spans="1:24" ht="13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spans="1:24" ht="13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spans="1:24" ht="13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spans="1:24" ht="13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spans="1:24" ht="13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spans="1:24" ht="13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spans="1:24" ht="13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spans="1:24" ht="13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spans="1:24" ht="13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spans="1:24" ht="13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spans="1:24" ht="13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spans="1:24" ht="13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spans="1:24" ht="13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spans="1:24" ht="13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spans="1:24" ht="13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spans="1:24" ht="13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spans="1:24" ht="13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spans="1:24" ht="13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spans="1:24" ht="13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spans="1:24" ht="13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spans="1:24" ht="13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spans="1:24" ht="13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spans="1:24" ht="13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spans="1:24" ht="13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spans="1:24" ht="13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spans="1:24" ht="13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spans="1:24" ht="13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spans="1:24" ht="13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spans="1:24" ht="13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spans="1:24" ht="13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spans="1:24" ht="13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spans="1:24" ht="13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spans="1:24" ht="13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spans="1:24" ht="13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spans="1:24" ht="13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spans="1:24" ht="13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spans="1:24" ht="13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spans="1:24" ht="13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spans="1:24" ht="13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spans="1:24" ht="13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spans="1:24" ht="13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spans="1:24" ht="13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spans="1:24" ht="13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spans="1:24" ht="13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spans="1:24" ht="13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spans="1:24" ht="13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spans="1:24" ht="13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spans="1:24" ht="13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spans="1:24" ht="13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spans="1:24" ht="13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spans="1:24" ht="13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spans="1:24" ht="13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spans="1:24" ht="13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spans="1:24" ht="13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spans="1:24" ht="13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spans="1:24" ht="13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spans="1:24" ht="13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spans="1:24" ht="13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spans="1:24" ht="13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spans="1:24" ht="13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spans="1:24" ht="13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spans="1:24" ht="13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spans="1:24" ht="13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spans="1:24" ht="13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spans="1:24" ht="13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spans="1:24" ht="13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spans="1:24" ht="13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spans="1:24" ht="13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spans="1:24" ht="13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spans="1:24" ht="13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spans="1:24" ht="13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spans="1:24" ht="13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spans="1:24" ht="13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spans="1:24" ht="13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spans="1:24" ht="13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spans="1:24" ht="13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spans="1:24" ht="13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spans="1:24" ht="13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spans="1:24" ht="13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spans="1:24" ht="13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spans="1:24" ht="13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spans="1:24" ht="13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spans="1:24" ht="13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spans="1:24" ht="13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spans="1:24" ht="13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spans="1:24" ht="13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spans="1:24" ht="13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spans="1:24" ht="13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spans="1:24" ht="13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spans="1:24" ht="13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spans="1:24" ht="13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spans="1:24" ht="13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spans="1:24" ht="13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spans="1:24" ht="13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spans="1:24" ht="13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spans="1:24" ht="13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spans="1:24" ht="13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spans="1:24" ht="13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spans="1:24" ht="13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spans="1:24" ht="13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spans="1:24" ht="13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spans="1:24" ht="13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spans="1:24" ht="13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spans="1:24" ht="13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spans="1:24" ht="13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spans="1:24" ht="13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spans="1:24" ht="13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spans="1:24" ht="13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spans="1:24" ht="13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spans="1:24" ht="13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spans="1:24" ht="13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spans="1:24" ht="13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spans="1:24" ht="13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spans="1:24" ht="13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spans="1:24" ht="13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spans="1:24" ht="13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spans="1:24" ht="13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spans="1:24" ht="13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spans="1:24" ht="13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spans="1:24" ht="13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spans="1:24" ht="13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spans="1:24" ht="13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spans="1:24" ht="13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spans="1:24" ht="13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spans="1:24" ht="13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spans="1:24" ht="13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spans="1:24" ht="13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spans="1:24" ht="13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spans="1:24" ht="13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spans="1:24" ht="13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spans="1:24" ht="13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spans="1:24" ht="13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spans="1:24" ht="13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spans="1:24" ht="13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spans="1:24" ht="13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spans="1:24" ht="13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spans="1:24" ht="13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spans="1:24" ht="13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spans="1:24" ht="13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spans="1:24" ht="13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spans="1:24" ht="13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spans="1:24" ht="13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spans="1:24" ht="13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spans="1:24" ht="13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spans="1:24" ht="13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spans="1:24" ht="13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spans="1:24" ht="13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spans="1:24" ht="13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spans="1:24" ht="13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spans="1:24" ht="13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spans="1:24" ht="13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spans="1:24" ht="13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spans="1:24" ht="13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spans="1:24" ht="13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spans="1:24" ht="13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spans="1:24" ht="13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spans="1:24" ht="13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spans="1:24" ht="13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spans="1:24" ht="13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spans="1:24" ht="13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spans="1:24" ht="13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spans="1:24" ht="13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spans="1:24" ht="13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spans="1:24" ht="13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spans="1:24" ht="13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spans="1:24" ht="13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spans="1:24" ht="13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spans="1:24" ht="13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spans="1:24" ht="13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spans="1:24" ht="13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spans="1:24" ht="13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spans="1:24" ht="13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spans="1:24" ht="13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spans="1:24" ht="13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spans="1:24" ht="13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spans="1:24" ht="13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spans="1:24" ht="13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spans="1:24" ht="13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spans="1:24" ht="13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spans="1:24" ht="13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spans="1:24" ht="13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spans="1:24" ht="13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spans="1:24" ht="13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spans="1:24" ht="13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spans="1:24" ht="13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spans="1:24" ht="13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spans="1:24" ht="13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spans="1:24" ht="13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spans="1:24" ht="13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spans="1:24" ht="13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spans="1:24" ht="13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spans="1:24" ht="13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spans="1:24" ht="13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spans="1:24" ht="13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spans="1:24" ht="13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spans="1:24" ht="13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spans="1:24" ht="13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spans="1:24" ht="13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spans="1:24" ht="13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spans="1:24" ht="13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spans="1:24" ht="13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spans="1:24" ht="13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spans="1:24" ht="13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spans="1:24" ht="13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spans="1:24" ht="13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spans="1:24" ht="13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spans="1:24" ht="13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spans="1:24" ht="13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spans="1:24" ht="13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spans="1:24" ht="13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spans="1:24" ht="13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spans="1:24" ht="13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spans="1:24" ht="13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spans="1:24" ht="13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spans="1:24" ht="13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spans="1:24" ht="13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spans="1:24" ht="13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spans="1:24" ht="13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spans="1:24" ht="13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spans="1:24" ht="13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spans="1:24" ht="13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spans="1:24" ht="13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spans="1:24" ht="13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spans="1:24" ht="13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spans="1:24" ht="13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spans="1:24" ht="13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spans="1:24" ht="13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spans="1:24" ht="13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spans="1:24" ht="13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spans="1:24" ht="13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spans="1:24" ht="13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spans="1:24" ht="13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spans="1:24" ht="13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spans="1:24" ht="13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spans="1:24" ht="13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spans="1:24" ht="13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spans="1:24" ht="13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spans="1:24" ht="13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spans="1:24" ht="13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spans="1:24" ht="13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spans="1:24" ht="13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spans="1:24" ht="13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spans="1:24" ht="13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spans="1:24" ht="13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spans="1:24" ht="13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spans="1:24" ht="13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spans="1:24" ht="13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spans="1:24" ht="13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spans="1:24" ht="13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spans="1:24" ht="13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spans="1:24" ht="13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spans="1:24" ht="13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spans="1:24" ht="13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spans="1:24" ht="13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spans="1:24" ht="13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spans="1:24" ht="13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spans="1:24" ht="13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spans="1:24" ht="13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spans="1:24" ht="13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spans="1:24" ht="13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spans="1:24" ht="13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spans="1:24" ht="13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spans="1:24" ht="13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spans="1:24" ht="13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spans="1:24" ht="13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spans="1:24" ht="13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spans="1:24" ht="13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spans="1:24" ht="13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spans="1:24" ht="13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 spans="1:24" ht="13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 spans="1:24" ht="13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 spans="1:24" ht="13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 spans="1:24" ht="13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 spans="1:24" ht="13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 spans="1:24" ht="13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 spans="1:24" ht="13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 spans="1:24" ht="13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 spans="1:24" ht="13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 spans="1:24" ht="13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 spans="1:24" ht="13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 spans="1:24" ht="13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 spans="1:24" ht="13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 spans="1:24" ht="13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 spans="1:24" ht="13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 spans="1:24" ht="13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 spans="1:24" ht="13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 spans="1:24" ht="13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 spans="1:24" ht="13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 spans="1:24" ht="13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 spans="1:24" ht="13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 spans="1:24" ht="13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 spans="1:24" ht="13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 spans="1:24" ht="13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 spans="1:24" ht="13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 spans="1:24" ht="13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 spans="1:24" ht="13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 spans="1:24" ht="13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 spans="1:24" ht="13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 spans="1:24" ht="13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 spans="1:24" ht="13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 spans="1:24" ht="13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 spans="1:24" ht="13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 spans="1:24" ht="13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 spans="1:24" ht="13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 spans="1:24" ht="13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 spans="1:24" ht="13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 spans="1:24" ht="13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 spans="1:24" ht="13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 spans="1:24" ht="13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 spans="1:24" ht="13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 spans="1:24" ht="13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 spans="1:24" ht="13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 spans="1:24" ht="13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 spans="1:24" ht="13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 spans="1:24" ht="13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 spans="1:24" ht="13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 spans="1:24" ht="13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 spans="1:24" ht="13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 spans="1:24" ht="13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 spans="1:24" ht="13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 spans="1:24" ht="13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 spans="1:24" ht="13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 spans="1:24" ht="13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 spans="1:24" ht="13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 spans="1:24" ht="13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 spans="1:24" ht="13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 spans="1:24" ht="13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 spans="1:24" ht="13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 spans="1:24" ht="13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 spans="1:24" ht="13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 spans="1:24" ht="13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 spans="1:24" ht="13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 spans="1:24" ht="13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 spans="1:24" ht="13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 spans="1:24" ht="13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 spans="1:24" ht="13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 spans="1:24" ht="13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 spans="1:24" ht="13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 spans="1:24" ht="13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 spans="1:24" ht="13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 spans="1:24" ht="13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 spans="1:24" ht="13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 spans="1:24" ht="13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 spans="1:24" ht="13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 spans="1:24" ht="13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 spans="1:24" ht="13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 spans="1:24" ht="13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 spans="1:24" ht="13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 spans="1:24" ht="13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 spans="1:24" ht="13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 spans="1:24" ht="13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 spans="1:24" ht="13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 spans="1:24" ht="13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 spans="1:24" ht="13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 spans="1:24" ht="13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 spans="1:24" ht="13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223"/>
  <sheetViews>
    <sheetView tabSelected="1" workbookViewId="0">
      <selection activeCell="D5" sqref="D5"/>
    </sheetView>
  </sheetViews>
  <sheetFormatPr defaultColWidth="12.6640625" defaultRowHeight="15" customHeight="1"/>
  <cols>
    <col min="1" max="1" width="7.88671875" customWidth="1"/>
    <col min="2" max="2" width="25.5546875" customWidth="1"/>
    <col min="3" max="3" width="18.6640625" customWidth="1"/>
    <col min="4" max="4" width="15.21875" customWidth="1"/>
    <col min="5" max="5" width="40.5546875" customWidth="1"/>
    <col min="6" max="6" width="18.109375" customWidth="1"/>
    <col min="7" max="7" width="19.88671875" customWidth="1"/>
    <col min="8" max="8" width="37.21875" customWidth="1"/>
    <col min="9" max="10" width="30.6640625" customWidth="1"/>
    <col min="11" max="11" width="30.21875" customWidth="1"/>
    <col min="12" max="12" width="16.77734375" customWidth="1"/>
  </cols>
  <sheetData>
    <row r="1" spans="1:11" ht="40.200000000000003">
      <c r="A1" s="427" t="s">
        <v>76</v>
      </c>
      <c r="B1" s="427" t="s">
        <v>77</v>
      </c>
      <c r="C1" s="427" t="s">
        <v>78</v>
      </c>
      <c r="D1" s="427" t="s">
        <v>79</v>
      </c>
      <c r="E1" s="427" t="s">
        <v>80</v>
      </c>
      <c r="F1" s="427" t="s">
        <v>81</v>
      </c>
      <c r="G1" s="427" t="s">
        <v>82</v>
      </c>
      <c r="H1" s="427" t="s">
        <v>83</v>
      </c>
      <c r="I1" s="427" t="s">
        <v>84</v>
      </c>
      <c r="J1" s="427" t="s">
        <v>85</v>
      </c>
      <c r="K1" s="427" t="s">
        <v>86</v>
      </c>
    </row>
    <row r="2" spans="1:11" ht="52.8">
      <c r="A2" s="427">
        <v>1</v>
      </c>
      <c r="B2" s="427" t="s">
        <v>87</v>
      </c>
      <c r="C2" s="427"/>
      <c r="D2" s="427" t="s">
        <v>15</v>
      </c>
      <c r="E2" s="427" t="s">
        <v>88</v>
      </c>
      <c r="F2" s="427"/>
      <c r="G2" s="427"/>
      <c r="H2" s="428" t="s">
        <v>89</v>
      </c>
      <c r="I2" s="427" t="s">
        <v>90</v>
      </c>
      <c r="J2" s="427"/>
      <c r="K2" s="427" t="s">
        <v>91</v>
      </c>
    </row>
    <row r="3" spans="1:11" ht="92.4">
      <c r="A3" s="427">
        <v>2</v>
      </c>
      <c r="B3" s="427" t="s">
        <v>92</v>
      </c>
      <c r="C3" s="427"/>
      <c r="D3" s="427" t="s">
        <v>15</v>
      </c>
      <c r="E3" s="427" t="s">
        <v>93</v>
      </c>
      <c r="F3" s="427"/>
      <c r="G3" s="427"/>
      <c r="H3" s="427" t="s">
        <v>94</v>
      </c>
      <c r="I3" s="427" t="s">
        <v>95</v>
      </c>
      <c r="J3" s="427" t="s">
        <v>96</v>
      </c>
      <c r="K3" s="427"/>
    </row>
    <row r="4" spans="1:11" ht="40.200000000000003">
      <c r="A4" s="427">
        <v>3</v>
      </c>
      <c r="B4" s="427" t="s">
        <v>97</v>
      </c>
      <c r="C4" s="427"/>
      <c r="D4" s="427" t="s">
        <v>15</v>
      </c>
      <c r="E4" s="427" t="s">
        <v>98</v>
      </c>
      <c r="F4" s="427" t="s">
        <v>99</v>
      </c>
      <c r="G4" s="427" t="s">
        <v>100</v>
      </c>
      <c r="H4" s="427" t="s">
        <v>101</v>
      </c>
      <c r="I4" s="427" t="s">
        <v>102</v>
      </c>
      <c r="J4" s="427" t="s">
        <v>103</v>
      </c>
      <c r="K4" s="427"/>
    </row>
    <row r="5" spans="1:11" ht="79.8">
      <c r="A5" s="427">
        <v>4</v>
      </c>
      <c r="B5" s="427" t="s">
        <v>97</v>
      </c>
      <c r="C5" s="427"/>
      <c r="D5" s="427" t="s">
        <v>15</v>
      </c>
      <c r="E5" s="427" t="s">
        <v>104</v>
      </c>
      <c r="F5" s="427" t="s">
        <v>100</v>
      </c>
      <c r="G5" s="427" t="s">
        <v>100</v>
      </c>
      <c r="H5" s="427" t="s">
        <v>105</v>
      </c>
      <c r="I5" s="427" t="s">
        <v>102</v>
      </c>
      <c r="J5" s="427" t="s">
        <v>106</v>
      </c>
      <c r="K5" s="427"/>
    </row>
    <row r="6" spans="1:11" ht="66">
      <c r="A6" s="427">
        <v>5</v>
      </c>
      <c r="B6" s="427" t="s">
        <v>107</v>
      </c>
      <c r="C6" s="427" t="s">
        <v>108</v>
      </c>
      <c r="D6" s="427" t="s">
        <v>16</v>
      </c>
      <c r="E6" s="427" t="s">
        <v>109</v>
      </c>
      <c r="F6" s="427" t="s">
        <v>110</v>
      </c>
      <c r="G6" s="427" t="s">
        <v>100</v>
      </c>
      <c r="H6" s="427" t="s">
        <v>111</v>
      </c>
      <c r="I6" s="427" t="s">
        <v>112</v>
      </c>
      <c r="J6" s="427"/>
      <c r="K6" s="427"/>
    </row>
    <row r="7" spans="1:11" ht="52.8">
      <c r="A7" s="427">
        <v>6</v>
      </c>
      <c r="B7" s="427" t="s">
        <v>113</v>
      </c>
      <c r="C7" s="427" t="s">
        <v>108</v>
      </c>
      <c r="D7" s="427" t="s">
        <v>16</v>
      </c>
      <c r="E7" s="427" t="s">
        <v>114</v>
      </c>
      <c r="F7" s="427" t="s">
        <v>110</v>
      </c>
      <c r="G7" s="427" t="s">
        <v>100</v>
      </c>
      <c r="H7" s="427" t="s">
        <v>115</v>
      </c>
      <c r="I7" s="427" t="s">
        <v>116</v>
      </c>
      <c r="J7" s="427"/>
      <c r="K7" s="427"/>
    </row>
    <row r="8" spans="1:11" ht="52.8">
      <c r="A8" s="427">
        <v>7</v>
      </c>
      <c r="B8" s="427" t="s">
        <v>117</v>
      </c>
      <c r="C8" s="427" t="s">
        <v>108</v>
      </c>
      <c r="D8" s="427" t="s">
        <v>23</v>
      </c>
      <c r="E8" s="427" t="s">
        <v>118</v>
      </c>
      <c r="F8" s="427" t="s">
        <v>99</v>
      </c>
      <c r="G8" s="427" t="s">
        <v>100</v>
      </c>
      <c r="H8" s="427" t="s">
        <v>119</v>
      </c>
      <c r="I8" s="427">
        <v>45444</v>
      </c>
      <c r="J8" s="427" t="s">
        <v>120</v>
      </c>
      <c r="K8" s="427" t="s">
        <v>121</v>
      </c>
    </row>
    <row r="9" spans="1:11" ht="66">
      <c r="A9" s="427">
        <v>8</v>
      </c>
      <c r="B9" s="427" t="s">
        <v>122</v>
      </c>
      <c r="C9" s="427" t="s">
        <v>108</v>
      </c>
      <c r="D9" s="427" t="s">
        <v>23</v>
      </c>
      <c r="E9" s="427" t="s">
        <v>123</v>
      </c>
      <c r="F9" s="427" t="s">
        <v>99</v>
      </c>
      <c r="G9" s="427" t="s">
        <v>124</v>
      </c>
      <c r="H9" s="427" t="s">
        <v>125</v>
      </c>
      <c r="I9" s="427" t="s">
        <v>126</v>
      </c>
      <c r="J9" s="427" t="s">
        <v>127</v>
      </c>
      <c r="K9" s="427" t="s">
        <v>128</v>
      </c>
    </row>
    <row r="10" spans="1:11" ht="92.4">
      <c r="A10" s="427">
        <v>9</v>
      </c>
      <c r="B10" s="427" t="s">
        <v>122</v>
      </c>
      <c r="C10" s="427" t="s">
        <v>108</v>
      </c>
      <c r="D10" s="427" t="s">
        <v>23</v>
      </c>
      <c r="E10" s="427" t="s">
        <v>123</v>
      </c>
      <c r="F10" s="427" t="s">
        <v>99</v>
      </c>
      <c r="G10" s="427" t="s">
        <v>124</v>
      </c>
      <c r="H10" s="427" t="s">
        <v>129</v>
      </c>
      <c r="I10" s="427" t="s">
        <v>130</v>
      </c>
      <c r="J10" s="427" t="s">
        <v>127</v>
      </c>
      <c r="K10" s="427" t="s">
        <v>131</v>
      </c>
    </row>
    <row r="11" spans="1:11" ht="39.6">
      <c r="A11" s="427">
        <v>10</v>
      </c>
      <c r="B11" s="427" t="s">
        <v>122</v>
      </c>
      <c r="C11" s="427" t="s">
        <v>108</v>
      </c>
      <c r="D11" s="427" t="s">
        <v>23</v>
      </c>
      <c r="E11" s="427" t="s">
        <v>132</v>
      </c>
      <c r="F11" s="427" t="s">
        <v>62</v>
      </c>
      <c r="G11" s="427" t="s">
        <v>124</v>
      </c>
      <c r="H11" s="427" t="s">
        <v>133</v>
      </c>
      <c r="I11" s="427" t="s">
        <v>134</v>
      </c>
      <c r="J11" s="427" t="s">
        <v>135</v>
      </c>
      <c r="K11" s="427" t="s">
        <v>136</v>
      </c>
    </row>
    <row r="12" spans="1:11" ht="66">
      <c r="A12" s="427">
        <v>11</v>
      </c>
      <c r="B12" s="427" t="s">
        <v>137</v>
      </c>
      <c r="C12" s="427"/>
      <c r="D12" s="427" t="s">
        <v>15</v>
      </c>
      <c r="E12" s="427" t="s">
        <v>138</v>
      </c>
      <c r="F12" s="427" t="s">
        <v>65</v>
      </c>
      <c r="G12" s="427" t="s">
        <v>124</v>
      </c>
      <c r="H12" s="427" t="s">
        <v>139</v>
      </c>
      <c r="I12" s="427" t="s">
        <v>140</v>
      </c>
      <c r="J12" s="427" t="s">
        <v>141</v>
      </c>
      <c r="K12" s="427" t="s">
        <v>142</v>
      </c>
    </row>
    <row r="13" spans="1:11" ht="52.8">
      <c r="A13" s="427">
        <v>12</v>
      </c>
      <c r="B13" s="427" t="s">
        <v>137</v>
      </c>
      <c r="C13" s="427"/>
      <c r="D13" s="427" t="s">
        <v>15</v>
      </c>
      <c r="E13" s="427" t="s">
        <v>143</v>
      </c>
      <c r="F13" s="427" t="s">
        <v>65</v>
      </c>
      <c r="G13" s="427" t="s">
        <v>124</v>
      </c>
      <c r="H13" s="427" t="s">
        <v>144</v>
      </c>
      <c r="I13" s="427" t="s">
        <v>145</v>
      </c>
      <c r="J13" s="427" t="s">
        <v>146</v>
      </c>
      <c r="K13" s="427"/>
    </row>
    <row r="14" spans="1:11" ht="40.200000000000003">
      <c r="A14" s="427">
        <v>13</v>
      </c>
      <c r="B14" s="427" t="s">
        <v>97</v>
      </c>
      <c r="C14" s="427"/>
      <c r="D14" s="427" t="s">
        <v>15</v>
      </c>
      <c r="E14" s="427" t="s">
        <v>147</v>
      </c>
      <c r="F14" s="427" t="s">
        <v>100</v>
      </c>
      <c r="G14" s="427" t="s">
        <v>100</v>
      </c>
      <c r="H14" s="427" t="s">
        <v>148</v>
      </c>
      <c r="I14" s="427" t="s">
        <v>145</v>
      </c>
      <c r="J14" s="427"/>
      <c r="K14" s="427"/>
    </row>
    <row r="15" spans="1:11" ht="52.8">
      <c r="A15" s="427">
        <v>14</v>
      </c>
      <c r="B15" s="427" t="s">
        <v>149</v>
      </c>
      <c r="C15" s="427"/>
      <c r="D15" s="427" t="s">
        <v>15</v>
      </c>
      <c r="E15" s="427" t="s">
        <v>150</v>
      </c>
      <c r="F15" s="427" t="s">
        <v>62</v>
      </c>
      <c r="G15" s="427" t="s">
        <v>124</v>
      </c>
      <c r="H15" s="427" t="s">
        <v>151</v>
      </c>
      <c r="I15" s="427" t="s">
        <v>145</v>
      </c>
      <c r="J15" s="427" t="s">
        <v>152</v>
      </c>
      <c r="K15" s="427" t="s">
        <v>153</v>
      </c>
    </row>
    <row r="16" spans="1:11" ht="52.8">
      <c r="A16" s="427">
        <v>15</v>
      </c>
      <c r="B16" s="427" t="s">
        <v>154</v>
      </c>
      <c r="C16" s="427"/>
      <c r="D16" s="427" t="s">
        <v>18</v>
      </c>
      <c r="E16" s="427" t="s">
        <v>155</v>
      </c>
      <c r="F16" s="427" t="s">
        <v>100</v>
      </c>
      <c r="G16" s="427" t="s">
        <v>156</v>
      </c>
      <c r="H16" s="427" t="s">
        <v>157</v>
      </c>
      <c r="I16" s="427" t="s">
        <v>158</v>
      </c>
      <c r="J16" s="427" t="s">
        <v>159</v>
      </c>
      <c r="K16" s="427" t="s">
        <v>160</v>
      </c>
    </row>
    <row r="17" spans="1:11" ht="53.4">
      <c r="A17" s="427">
        <v>16</v>
      </c>
      <c r="B17" s="427" t="s">
        <v>161</v>
      </c>
      <c r="C17" s="427"/>
      <c r="D17" s="427" t="s">
        <v>162</v>
      </c>
      <c r="E17" s="427" t="s">
        <v>163</v>
      </c>
      <c r="F17" s="427" t="s">
        <v>65</v>
      </c>
      <c r="G17" s="427" t="s">
        <v>164</v>
      </c>
      <c r="H17" s="427" t="s">
        <v>165</v>
      </c>
      <c r="I17" s="427" t="s">
        <v>166</v>
      </c>
      <c r="J17" s="427" t="s">
        <v>167</v>
      </c>
      <c r="K17" s="427" t="s">
        <v>168</v>
      </c>
    </row>
    <row r="18" spans="1:11" ht="52.8">
      <c r="A18" s="427">
        <v>17</v>
      </c>
      <c r="B18" s="427" t="s">
        <v>169</v>
      </c>
      <c r="C18" s="427"/>
      <c r="D18" s="427" t="s">
        <v>162</v>
      </c>
      <c r="E18" s="427" t="s">
        <v>170</v>
      </c>
      <c r="F18" s="427" t="s">
        <v>65</v>
      </c>
      <c r="G18" s="427" t="s">
        <v>164</v>
      </c>
      <c r="H18" s="427" t="s">
        <v>171</v>
      </c>
      <c r="I18" s="427" t="s">
        <v>172</v>
      </c>
      <c r="J18" s="427" t="s">
        <v>173</v>
      </c>
      <c r="K18" s="427" t="s">
        <v>174</v>
      </c>
    </row>
    <row r="19" spans="1:11" ht="66">
      <c r="A19" s="427">
        <v>18</v>
      </c>
      <c r="B19" s="427" t="s">
        <v>175</v>
      </c>
      <c r="C19" s="427" t="s">
        <v>108</v>
      </c>
      <c r="D19" s="427" t="s">
        <v>16</v>
      </c>
      <c r="E19" s="427" t="s">
        <v>176</v>
      </c>
      <c r="F19" s="427" t="s">
        <v>100</v>
      </c>
      <c r="G19" s="427" t="s">
        <v>124</v>
      </c>
      <c r="H19" s="427" t="s">
        <v>177</v>
      </c>
      <c r="I19" s="427" t="s">
        <v>116</v>
      </c>
      <c r="J19" s="427"/>
      <c r="K19" s="427"/>
    </row>
    <row r="20" spans="1:11" ht="52.8">
      <c r="A20" s="427">
        <v>19</v>
      </c>
      <c r="B20" s="427" t="s">
        <v>178</v>
      </c>
      <c r="C20" s="427"/>
      <c r="D20" s="427" t="s">
        <v>21</v>
      </c>
      <c r="E20" s="427" t="s">
        <v>179</v>
      </c>
      <c r="F20" s="427" t="s">
        <v>110</v>
      </c>
      <c r="G20" s="427" t="s">
        <v>100</v>
      </c>
      <c r="H20" s="427" t="s">
        <v>180</v>
      </c>
      <c r="I20" s="427" t="s">
        <v>145</v>
      </c>
      <c r="J20" s="427"/>
      <c r="K20" s="427"/>
    </row>
    <row r="21" spans="1:11" ht="105.6">
      <c r="A21" s="427">
        <v>20</v>
      </c>
      <c r="B21" s="427" t="s">
        <v>181</v>
      </c>
      <c r="C21" s="427"/>
      <c r="D21" s="427" t="s">
        <v>17</v>
      </c>
      <c r="E21" s="427" t="s">
        <v>182</v>
      </c>
      <c r="F21" s="427" t="s">
        <v>100</v>
      </c>
      <c r="G21" s="427"/>
      <c r="H21" s="427" t="s">
        <v>183</v>
      </c>
      <c r="I21" s="427" t="s">
        <v>90</v>
      </c>
      <c r="J21" s="427"/>
      <c r="K21" s="427" t="s">
        <v>184</v>
      </c>
    </row>
    <row r="22" spans="1:11" ht="66">
      <c r="A22" s="427">
        <v>21</v>
      </c>
      <c r="B22" s="427" t="s">
        <v>185</v>
      </c>
      <c r="C22" s="427" t="s">
        <v>124</v>
      </c>
      <c r="D22" s="427" t="s">
        <v>17</v>
      </c>
      <c r="E22" s="427" t="s">
        <v>186</v>
      </c>
      <c r="F22" s="427" t="s">
        <v>100</v>
      </c>
      <c r="G22" s="427" t="s">
        <v>164</v>
      </c>
      <c r="H22" s="427" t="s">
        <v>187</v>
      </c>
      <c r="I22" s="427" t="s">
        <v>188</v>
      </c>
      <c r="J22" s="427"/>
      <c r="K22" s="427" t="s">
        <v>189</v>
      </c>
    </row>
    <row r="23" spans="1:11" ht="66">
      <c r="A23" s="427">
        <v>22</v>
      </c>
      <c r="B23" s="427" t="s">
        <v>190</v>
      </c>
      <c r="C23" s="427" t="s">
        <v>191</v>
      </c>
      <c r="D23" s="427" t="s">
        <v>17</v>
      </c>
      <c r="E23" s="427" t="s">
        <v>192</v>
      </c>
      <c r="F23" s="427" t="s">
        <v>100</v>
      </c>
      <c r="G23" s="427"/>
      <c r="H23" s="427" t="s">
        <v>193</v>
      </c>
      <c r="I23" s="427" t="s">
        <v>194</v>
      </c>
      <c r="J23" s="427"/>
      <c r="K23" s="427" t="s">
        <v>195</v>
      </c>
    </row>
    <row r="24" spans="1:11" ht="39.6">
      <c r="A24" s="427">
        <v>23</v>
      </c>
      <c r="B24" s="427" t="s">
        <v>196</v>
      </c>
      <c r="C24" s="427"/>
      <c r="D24" s="427" t="s">
        <v>17</v>
      </c>
      <c r="E24" s="427" t="s">
        <v>197</v>
      </c>
      <c r="F24" s="427" t="s">
        <v>62</v>
      </c>
      <c r="G24" s="427" t="s">
        <v>124</v>
      </c>
      <c r="H24" s="427" t="s">
        <v>198</v>
      </c>
      <c r="I24" s="427" t="s">
        <v>199</v>
      </c>
      <c r="J24" s="427" t="s">
        <v>200</v>
      </c>
      <c r="K24" s="427" t="s">
        <v>201</v>
      </c>
    </row>
    <row r="25" spans="1:11" ht="52.8">
      <c r="A25" s="427">
        <v>24</v>
      </c>
      <c r="B25" s="427" t="s">
        <v>202</v>
      </c>
      <c r="C25" s="427"/>
      <c r="D25" s="427" t="s">
        <v>203</v>
      </c>
      <c r="E25" s="427" t="s">
        <v>204</v>
      </c>
      <c r="F25" s="427"/>
      <c r="G25" s="427"/>
      <c r="H25" s="427" t="s">
        <v>205</v>
      </c>
      <c r="I25" s="427" t="s">
        <v>206</v>
      </c>
      <c r="J25" s="427"/>
      <c r="K25" s="427" t="s">
        <v>207</v>
      </c>
    </row>
    <row r="26" spans="1:11" ht="79.2">
      <c r="A26" s="427">
        <v>25</v>
      </c>
      <c r="B26" s="427" t="s">
        <v>169</v>
      </c>
      <c r="C26" s="427"/>
      <c r="D26" s="427" t="s">
        <v>162</v>
      </c>
      <c r="E26" s="427" t="s">
        <v>208</v>
      </c>
      <c r="F26" s="427" t="s">
        <v>65</v>
      </c>
      <c r="G26" s="427" t="s">
        <v>164</v>
      </c>
      <c r="H26" s="427" t="s">
        <v>209</v>
      </c>
      <c r="I26" s="427" t="s">
        <v>210</v>
      </c>
      <c r="J26" s="427"/>
      <c r="K26" s="427" t="s">
        <v>211</v>
      </c>
    </row>
    <row r="27" spans="1:11" ht="52.8">
      <c r="A27" s="427">
        <v>26</v>
      </c>
      <c r="B27" s="427" t="s">
        <v>212</v>
      </c>
      <c r="C27" s="427" t="s">
        <v>213</v>
      </c>
      <c r="D27" s="427" t="s">
        <v>18</v>
      </c>
      <c r="E27" s="427" t="s">
        <v>214</v>
      </c>
      <c r="F27" s="427" t="s">
        <v>100</v>
      </c>
      <c r="G27" s="427" t="s">
        <v>164</v>
      </c>
      <c r="H27" s="427" t="s">
        <v>215</v>
      </c>
      <c r="I27" s="427" t="s">
        <v>216</v>
      </c>
      <c r="J27" s="427"/>
      <c r="K27" s="427"/>
    </row>
    <row r="28" spans="1:11" ht="158.4">
      <c r="A28" s="427">
        <v>27</v>
      </c>
      <c r="B28" s="427" t="s">
        <v>217</v>
      </c>
      <c r="C28" s="427" t="s">
        <v>100</v>
      </c>
      <c r="D28" s="427" t="s">
        <v>18</v>
      </c>
      <c r="E28" s="427" t="s">
        <v>218</v>
      </c>
      <c r="F28" s="427" t="s">
        <v>100</v>
      </c>
      <c r="G28" s="427" t="s">
        <v>164</v>
      </c>
      <c r="H28" s="427" t="s">
        <v>219</v>
      </c>
      <c r="I28" s="427" t="s">
        <v>216</v>
      </c>
      <c r="J28" s="427" t="s">
        <v>220</v>
      </c>
      <c r="K28" s="427" t="s">
        <v>221</v>
      </c>
    </row>
    <row r="29" spans="1:11" ht="79.2">
      <c r="A29" s="427">
        <v>28</v>
      </c>
      <c r="B29" s="427" t="s">
        <v>222</v>
      </c>
      <c r="C29" s="427" t="s">
        <v>100</v>
      </c>
      <c r="D29" s="427" t="s">
        <v>18</v>
      </c>
      <c r="E29" s="427" t="s">
        <v>223</v>
      </c>
      <c r="F29" s="427" t="s">
        <v>100</v>
      </c>
      <c r="G29" s="427" t="s">
        <v>164</v>
      </c>
      <c r="H29" s="427" t="s">
        <v>224</v>
      </c>
      <c r="I29" s="427" t="s">
        <v>194</v>
      </c>
      <c r="J29" s="427" t="s">
        <v>225</v>
      </c>
      <c r="K29" s="427" t="s">
        <v>226</v>
      </c>
    </row>
    <row r="30" spans="1:11" ht="39.6">
      <c r="A30" s="427">
        <v>29</v>
      </c>
      <c r="B30" s="427" t="s">
        <v>227</v>
      </c>
      <c r="C30" s="427" t="s">
        <v>228</v>
      </c>
      <c r="D30" s="427" t="s">
        <v>24</v>
      </c>
      <c r="E30" s="427" t="s">
        <v>229</v>
      </c>
      <c r="F30" s="427" t="s">
        <v>230</v>
      </c>
      <c r="G30" s="427" t="s">
        <v>124</v>
      </c>
      <c r="H30" s="427" t="s">
        <v>231</v>
      </c>
      <c r="I30" s="427" t="s">
        <v>194</v>
      </c>
      <c r="J30" s="427" t="s">
        <v>232</v>
      </c>
      <c r="K30" s="427" t="s">
        <v>233</v>
      </c>
    </row>
    <row r="31" spans="1:11" ht="66">
      <c r="A31" s="427">
        <v>30</v>
      </c>
      <c r="B31" s="427" t="s">
        <v>234</v>
      </c>
      <c r="C31" s="427" t="s">
        <v>100</v>
      </c>
      <c r="D31" s="427" t="s">
        <v>24</v>
      </c>
      <c r="E31" s="427" t="s">
        <v>235</v>
      </c>
      <c r="F31" s="427"/>
      <c r="G31" s="427"/>
      <c r="H31" s="427" t="s">
        <v>236</v>
      </c>
      <c r="I31" s="427" t="s">
        <v>237</v>
      </c>
      <c r="J31" s="427"/>
      <c r="K31" s="427"/>
    </row>
    <row r="32" spans="1:11" ht="39.6">
      <c r="A32" s="427">
        <v>31</v>
      </c>
      <c r="B32" s="427" t="s">
        <v>238</v>
      </c>
      <c r="C32" s="427" t="s">
        <v>164</v>
      </c>
      <c r="D32" s="427" t="s">
        <v>203</v>
      </c>
      <c r="E32" s="427" t="s">
        <v>239</v>
      </c>
      <c r="F32" s="427" t="s">
        <v>110</v>
      </c>
      <c r="G32" s="427" t="s">
        <v>124</v>
      </c>
      <c r="H32" s="427" t="s">
        <v>240</v>
      </c>
      <c r="I32" s="427" t="s">
        <v>241</v>
      </c>
      <c r="J32" s="427" t="s">
        <v>242</v>
      </c>
      <c r="K32" s="427" t="s">
        <v>243</v>
      </c>
    </row>
    <row r="33" spans="1:11" ht="26.4">
      <c r="A33" s="427">
        <v>32</v>
      </c>
      <c r="B33" s="427" t="s">
        <v>244</v>
      </c>
      <c r="C33" s="427"/>
      <c r="D33" s="427" t="s">
        <v>203</v>
      </c>
      <c r="E33" s="427" t="s">
        <v>245</v>
      </c>
      <c r="F33" s="427"/>
      <c r="G33" s="427"/>
      <c r="H33" s="427" t="s">
        <v>246</v>
      </c>
      <c r="I33" s="427" t="s">
        <v>247</v>
      </c>
      <c r="J33" s="427"/>
      <c r="K33" s="427"/>
    </row>
    <row r="34" spans="1:11" ht="66">
      <c r="A34" s="427">
        <v>33</v>
      </c>
      <c r="B34" s="427" t="s">
        <v>248</v>
      </c>
      <c r="C34" s="427"/>
      <c r="D34" s="427" t="s">
        <v>16</v>
      </c>
      <c r="E34" s="427" t="s">
        <v>249</v>
      </c>
      <c r="F34" s="427" t="s">
        <v>110</v>
      </c>
      <c r="G34" s="427" t="s">
        <v>100</v>
      </c>
      <c r="H34" s="427" t="s">
        <v>250</v>
      </c>
      <c r="I34" s="427">
        <v>45627</v>
      </c>
      <c r="J34" s="427"/>
      <c r="K34" s="427"/>
    </row>
    <row r="35" spans="1:11" ht="52.8">
      <c r="A35" s="427">
        <v>34</v>
      </c>
      <c r="B35" s="427" t="s">
        <v>251</v>
      </c>
      <c r="C35" s="427" t="s">
        <v>100</v>
      </c>
      <c r="D35" s="427" t="s">
        <v>21</v>
      </c>
      <c r="E35" s="427" t="s">
        <v>252</v>
      </c>
      <c r="F35" s="427" t="s">
        <v>110</v>
      </c>
      <c r="G35" s="427" t="s">
        <v>100</v>
      </c>
      <c r="H35" s="427" t="s">
        <v>253</v>
      </c>
      <c r="I35" s="427">
        <v>45542</v>
      </c>
      <c r="J35" s="427"/>
      <c r="K35" s="427"/>
    </row>
    <row r="36" spans="1:11" ht="92.4">
      <c r="A36" s="427">
        <v>35</v>
      </c>
      <c r="B36" s="427" t="s">
        <v>254</v>
      </c>
      <c r="C36" s="427" t="s">
        <v>255</v>
      </c>
      <c r="D36" s="427" t="s">
        <v>21</v>
      </c>
      <c r="E36" s="427" t="s">
        <v>256</v>
      </c>
      <c r="F36" s="427" t="s">
        <v>230</v>
      </c>
      <c r="G36" s="427" t="s">
        <v>100</v>
      </c>
      <c r="H36" s="427" t="s">
        <v>257</v>
      </c>
      <c r="I36" s="427">
        <v>45505</v>
      </c>
      <c r="J36" s="427"/>
      <c r="K36" s="427"/>
    </row>
    <row r="37" spans="1:11" ht="66">
      <c r="A37" s="427">
        <v>36</v>
      </c>
      <c r="B37" s="427" t="s">
        <v>258</v>
      </c>
      <c r="C37" s="427" t="s">
        <v>259</v>
      </c>
      <c r="D37" s="427" t="s">
        <v>21</v>
      </c>
      <c r="E37" s="427" t="s">
        <v>260</v>
      </c>
      <c r="F37" s="427" t="s">
        <v>110</v>
      </c>
      <c r="G37" s="427" t="s">
        <v>100</v>
      </c>
      <c r="H37" s="427" t="s">
        <v>261</v>
      </c>
      <c r="I37" s="427">
        <v>45566</v>
      </c>
      <c r="J37" s="427"/>
      <c r="K37" s="427"/>
    </row>
    <row r="38" spans="1:11" ht="52.8">
      <c r="A38" s="427">
        <v>37</v>
      </c>
      <c r="B38" s="427" t="s">
        <v>262</v>
      </c>
      <c r="C38" s="427" t="s">
        <v>263</v>
      </c>
      <c r="D38" s="427" t="s">
        <v>21</v>
      </c>
      <c r="E38" s="427" t="s">
        <v>264</v>
      </c>
      <c r="F38" s="427" t="s">
        <v>99</v>
      </c>
      <c r="G38" s="427" t="s">
        <v>100</v>
      </c>
      <c r="H38" s="427" t="s">
        <v>265</v>
      </c>
      <c r="I38" s="427">
        <v>45597</v>
      </c>
      <c r="J38" s="427"/>
      <c r="K38" s="427"/>
    </row>
    <row r="39" spans="1:11" ht="39.6">
      <c r="A39" s="427">
        <v>38</v>
      </c>
      <c r="B39" s="427" t="s">
        <v>266</v>
      </c>
      <c r="C39" s="427" t="s">
        <v>108</v>
      </c>
      <c r="D39" s="427" t="s">
        <v>23</v>
      </c>
      <c r="E39" s="427" t="s">
        <v>267</v>
      </c>
      <c r="F39" s="427" t="s">
        <v>62</v>
      </c>
      <c r="G39" s="427" t="s">
        <v>164</v>
      </c>
      <c r="H39" s="427" t="s">
        <v>268</v>
      </c>
      <c r="I39" s="427" t="s">
        <v>269</v>
      </c>
      <c r="J39" s="427" t="s">
        <v>270</v>
      </c>
      <c r="K39" s="427"/>
    </row>
    <row r="40" spans="1:11" ht="79.2">
      <c r="A40" s="427">
        <v>39</v>
      </c>
      <c r="B40" s="427" t="s">
        <v>271</v>
      </c>
      <c r="C40" s="427" t="s">
        <v>164</v>
      </c>
      <c r="D40" s="427" t="s">
        <v>17</v>
      </c>
      <c r="E40" s="427" t="s">
        <v>272</v>
      </c>
      <c r="F40" s="427" t="s">
        <v>100</v>
      </c>
      <c r="G40" s="427" t="s">
        <v>124</v>
      </c>
      <c r="H40" s="427" t="s">
        <v>273</v>
      </c>
      <c r="I40" s="427" t="s">
        <v>274</v>
      </c>
      <c r="J40" s="427" t="s">
        <v>275</v>
      </c>
      <c r="K40" s="427" t="s">
        <v>276</v>
      </c>
    </row>
    <row r="41" spans="1:11" ht="66">
      <c r="A41" s="427">
        <v>40</v>
      </c>
      <c r="B41" s="427" t="s">
        <v>277</v>
      </c>
      <c r="C41" s="427"/>
      <c r="D41" s="427" t="s">
        <v>17</v>
      </c>
      <c r="E41" s="427" t="s">
        <v>278</v>
      </c>
      <c r="F41" s="427"/>
      <c r="G41" s="427"/>
      <c r="H41" s="427" t="s">
        <v>279</v>
      </c>
      <c r="I41" s="427" t="s">
        <v>280</v>
      </c>
      <c r="J41" s="427"/>
      <c r="K41" s="427" t="s">
        <v>281</v>
      </c>
    </row>
    <row r="42" spans="1:11" ht="92.4">
      <c r="A42" s="427">
        <v>41</v>
      </c>
      <c r="B42" s="427" t="s">
        <v>282</v>
      </c>
      <c r="C42" s="427"/>
      <c r="D42" s="427" t="s">
        <v>24</v>
      </c>
      <c r="E42" s="427" t="s">
        <v>283</v>
      </c>
      <c r="F42" s="427"/>
      <c r="G42" s="427"/>
      <c r="H42" s="427" t="s">
        <v>284</v>
      </c>
      <c r="I42" s="427" t="s">
        <v>285</v>
      </c>
      <c r="J42" s="427" t="s">
        <v>286</v>
      </c>
      <c r="K42" s="427" t="s">
        <v>287</v>
      </c>
    </row>
    <row r="43" spans="1:11" ht="92.4">
      <c r="A43" s="427">
        <v>42</v>
      </c>
      <c r="B43" s="427" t="s">
        <v>288</v>
      </c>
      <c r="C43" s="427"/>
      <c r="D43" s="427" t="s">
        <v>24</v>
      </c>
      <c r="E43" s="427" t="s">
        <v>283</v>
      </c>
      <c r="F43" s="427"/>
      <c r="G43" s="427"/>
      <c r="H43" s="427" t="s">
        <v>289</v>
      </c>
      <c r="I43" s="427" t="s">
        <v>285</v>
      </c>
      <c r="J43" s="427" t="s">
        <v>286</v>
      </c>
      <c r="K43" s="427" t="s">
        <v>290</v>
      </c>
    </row>
    <row r="44" spans="1:11" ht="66">
      <c r="A44" s="427">
        <v>43</v>
      </c>
      <c r="B44" s="427" t="s">
        <v>291</v>
      </c>
      <c r="C44" s="427"/>
      <c r="D44" s="427" t="s">
        <v>17</v>
      </c>
      <c r="E44" s="427" t="s">
        <v>292</v>
      </c>
      <c r="F44" s="427"/>
      <c r="G44" s="427"/>
      <c r="H44" s="427" t="s">
        <v>293</v>
      </c>
      <c r="I44" s="427" t="s">
        <v>294</v>
      </c>
      <c r="J44" s="427"/>
      <c r="K44" s="427" t="s">
        <v>295</v>
      </c>
    </row>
    <row r="45" spans="1:11" ht="66">
      <c r="A45" s="427">
        <v>44</v>
      </c>
      <c r="B45" s="427" t="s">
        <v>291</v>
      </c>
      <c r="C45" s="427"/>
      <c r="D45" s="427" t="s">
        <v>17</v>
      </c>
      <c r="E45" s="427" t="s">
        <v>292</v>
      </c>
      <c r="F45" s="427"/>
      <c r="G45" s="427"/>
      <c r="H45" s="427" t="s">
        <v>296</v>
      </c>
      <c r="I45" s="427" t="s">
        <v>294</v>
      </c>
      <c r="J45" s="427"/>
      <c r="K45" s="427" t="s">
        <v>297</v>
      </c>
    </row>
    <row r="46" spans="1:11" ht="66">
      <c r="A46" s="427">
        <v>45</v>
      </c>
      <c r="B46" s="427" t="s">
        <v>298</v>
      </c>
      <c r="C46" s="427"/>
      <c r="D46" s="427" t="s">
        <v>17</v>
      </c>
      <c r="E46" s="427" t="s">
        <v>299</v>
      </c>
      <c r="F46" s="427"/>
      <c r="G46" s="427"/>
      <c r="H46" s="427" t="s">
        <v>300</v>
      </c>
      <c r="I46" s="427" t="s">
        <v>301</v>
      </c>
      <c r="J46" s="427"/>
      <c r="K46" s="427" t="s">
        <v>302</v>
      </c>
    </row>
    <row r="47" spans="1:11" ht="52.8">
      <c r="A47" s="427">
        <v>46</v>
      </c>
      <c r="B47" s="427" t="s">
        <v>303</v>
      </c>
      <c r="C47" s="427"/>
      <c r="D47" s="427" t="s">
        <v>15</v>
      </c>
      <c r="E47" s="427" t="s">
        <v>304</v>
      </c>
      <c r="F47" s="427" t="s">
        <v>65</v>
      </c>
      <c r="G47" s="427" t="s">
        <v>124</v>
      </c>
      <c r="H47" s="427" t="s">
        <v>305</v>
      </c>
      <c r="I47" s="427" t="s">
        <v>285</v>
      </c>
      <c r="J47" s="427" t="s">
        <v>306</v>
      </c>
      <c r="K47" s="427" t="s">
        <v>307</v>
      </c>
    </row>
    <row r="48" spans="1:11" ht="52.8">
      <c r="A48" s="427">
        <v>47</v>
      </c>
      <c r="B48" s="427" t="s">
        <v>303</v>
      </c>
      <c r="C48" s="427"/>
      <c r="D48" s="427" t="s">
        <v>15</v>
      </c>
      <c r="E48" s="427" t="s">
        <v>308</v>
      </c>
      <c r="F48" s="427" t="s">
        <v>62</v>
      </c>
      <c r="G48" s="427" t="s">
        <v>124</v>
      </c>
      <c r="H48" s="427" t="s">
        <v>309</v>
      </c>
      <c r="I48" s="427" t="s">
        <v>285</v>
      </c>
      <c r="J48" s="427" t="s">
        <v>310</v>
      </c>
      <c r="K48" s="427" t="s">
        <v>311</v>
      </c>
    </row>
    <row r="49" spans="1:11" ht="52.8">
      <c r="A49" s="427">
        <v>48</v>
      </c>
      <c r="B49" s="427" t="s">
        <v>312</v>
      </c>
      <c r="C49" s="427"/>
      <c r="D49" s="427" t="s">
        <v>15</v>
      </c>
      <c r="E49" s="427" t="s">
        <v>313</v>
      </c>
      <c r="F49" s="427"/>
      <c r="G49" s="427"/>
      <c r="H49" s="427" t="s">
        <v>314</v>
      </c>
      <c r="I49" s="427" t="s">
        <v>315</v>
      </c>
      <c r="J49" s="427"/>
      <c r="K49" s="427"/>
    </row>
    <row r="50" spans="1:11" ht="92.4">
      <c r="A50" s="427">
        <v>49</v>
      </c>
      <c r="B50" s="427" t="s">
        <v>316</v>
      </c>
      <c r="C50" s="427"/>
      <c r="D50" s="427" t="s">
        <v>15</v>
      </c>
      <c r="E50" s="427" t="s">
        <v>317</v>
      </c>
      <c r="F50" s="427"/>
      <c r="G50" s="427"/>
      <c r="H50" s="427" t="s">
        <v>318</v>
      </c>
      <c r="I50" s="427" t="s">
        <v>319</v>
      </c>
      <c r="J50" s="427">
        <v>9781003545941</v>
      </c>
      <c r="K50" s="427" t="s">
        <v>320</v>
      </c>
    </row>
    <row r="51" spans="1:11" ht="52.8">
      <c r="A51" s="427">
        <v>50</v>
      </c>
      <c r="B51" s="427" t="s">
        <v>321</v>
      </c>
      <c r="C51" s="427" t="s">
        <v>322</v>
      </c>
      <c r="D51" s="427" t="s">
        <v>15</v>
      </c>
      <c r="E51" s="427" t="s">
        <v>323</v>
      </c>
      <c r="F51" s="427" t="s">
        <v>62</v>
      </c>
      <c r="G51" s="427" t="s">
        <v>124</v>
      </c>
      <c r="H51" s="427" t="s">
        <v>324</v>
      </c>
      <c r="I51" s="427" t="s">
        <v>194</v>
      </c>
      <c r="J51" s="427">
        <v>15498328</v>
      </c>
      <c r="K51" s="427" t="s">
        <v>325</v>
      </c>
    </row>
    <row r="52" spans="1:11" ht="66">
      <c r="A52" s="427">
        <v>51</v>
      </c>
      <c r="B52" s="427" t="s">
        <v>149</v>
      </c>
      <c r="C52" s="427"/>
      <c r="D52" s="427" t="s">
        <v>15</v>
      </c>
      <c r="E52" s="427" t="s">
        <v>326</v>
      </c>
      <c r="F52" s="427"/>
      <c r="G52" s="427"/>
      <c r="H52" s="427" t="s">
        <v>327</v>
      </c>
      <c r="I52" s="427" t="s">
        <v>194</v>
      </c>
      <c r="J52" s="427" t="s">
        <v>328</v>
      </c>
      <c r="K52" s="427" t="s">
        <v>329</v>
      </c>
    </row>
    <row r="53" spans="1:11" ht="79.2">
      <c r="A53" s="427">
        <v>52</v>
      </c>
      <c r="B53" s="427" t="s">
        <v>330</v>
      </c>
      <c r="C53" s="427" t="s">
        <v>322</v>
      </c>
      <c r="D53" s="427" t="s">
        <v>15</v>
      </c>
      <c r="E53" s="427" t="s">
        <v>331</v>
      </c>
      <c r="F53" s="427" t="s">
        <v>100</v>
      </c>
      <c r="G53" s="427" t="s">
        <v>124</v>
      </c>
      <c r="H53" s="427" t="s">
        <v>332</v>
      </c>
      <c r="I53" s="427" t="s">
        <v>315</v>
      </c>
      <c r="J53" s="427"/>
      <c r="K53" s="427"/>
    </row>
    <row r="54" spans="1:11" ht="52.8">
      <c r="A54" s="427">
        <v>53</v>
      </c>
      <c r="B54" s="427" t="s">
        <v>333</v>
      </c>
      <c r="C54" s="427" t="s">
        <v>322</v>
      </c>
      <c r="D54" s="427" t="s">
        <v>15</v>
      </c>
      <c r="E54" s="427" t="s">
        <v>334</v>
      </c>
      <c r="F54" s="427" t="s">
        <v>100</v>
      </c>
      <c r="G54" s="427" t="s">
        <v>124</v>
      </c>
      <c r="H54" s="427" t="s">
        <v>335</v>
      </c>
      <c r="I54" s="427" t="s">
        <v>336</v>
      </c>
      <c r="J54" s="427" t="s">
        <v>337</v>
      </c>
      <c r="K54" s="427" t="s">
        <v>338</v>
      </c>
    </row>
    <row r="55" spans="1:11" ht="79.2">
      <c r="A55" s="427">
        <v>54</v>
      </c>
      <c r="B55" s="427" t="s">
        <v>333</v>
      </c>
      <c r="C55" s="427" t="s">
        <v>322</v>
      </c>
      <c r="D55" s="427" t="s">
        <v>15</v>
      </c>
      <c r="E55" s="427" t="s">
        <v>339</v>
      </c>
      <c r="F55" s="427" t="s">
        <v>100</v>
      </c>
      <c r="G55" s="427" t="s">
        <v>340</v>
      </c>
      <c r="H55" s="427" t="s">
        <v>341</v>
      </c>
      <c r="I55" s="427" t="s">
        <v>342</v>
      </c>
      <c r="J55" s="427"/>
      <c r="K55" s="427" t="s">
        <v>338</v>
      </c>
    </row>
    <row r="56" spans="1:11" ht="79.2">
      <c r="A56" s="427">
        <v>55</v>
      </c>
      <c r="B56" s="427" t="s">
        <v>333</v>
      </c>
      <c r="C56" s="427" t="s">
        <v>322</v>
      </c>
      <c r="D56" s="427" t="s">
        <v>15</v>
      </c>
      <c r="E56" s="427" t="s">
        <v>343</v>
      </c>
      <c r="F56" s="427" t="s">
        <v>100</v>
      </c>
      <c r="G56" s="427" t="s">
        <v>340</v>
      </c>
      <c r="H56" s="427" t="s">
        <v>344</v>
      </c>
      <c r="I56" s="427" t="s">
        <v>345</v>
      </c>
      <c r="J56" s="427"/>
      <c r="K56" s="427" t="s">
        <v>338</v>
      </c>
    </row>
    <row r="57" spans="1:11" ht="66">
      <c r="A57" s="427">
        <v>56</v>
      </c>
      <c r="B57" s="427" t="s">
        <v>346</v>
      </c>
      <c r="C57" s="427" t="s">
        <v>322</v>
      </c>
      <c r="D57" s="427" t="s">
        <v>16</v>
      </c>
      <c r="E57" s="427" t="s">
        <v>347</v>
      </c>
      <c r="F57" s="427" t="s">
        <v>110</v>
      </c>
      <c r="G57" s="427" t="s">
        <v>164</v>
      </c>
      <c r="H57" s="427" t="s">
        <v>348</v>
      </c>
      <c r="I57" s="427">
        <v>45597</v>
      </c>
      <c r="J57" s="427"/>
      <c r="K57" s="427"/>
    </row>
    <row r="58" spans="1:11" ht="52.8">
      <c r="A58" s="427">
        <v>57</v>
      </c>
      <c r="B58" s="427" t="s">
        <v>349</v>
      </c>
      <c r="C58" s="427" t="s">
        <v>322</v>
      </c>
      <c r="D58" s="427" t="s">
        <v>16</v>
      </c>
      <c r="E58" s="427" t="s">
        <v>350</v>
      </c>
      <c r="F58" s="427" t="s">
        <v>110</v>
      </c>
      <c r="G58" s="427" t="s">
        <v>164</v>
      </c>
      <c r="H58" s="427" t="s">
        <v>351</v>
      </c>
      <c r="I58" s="427">
        <v>45566</v>
      </c>
      <c r="J58" s="427"/>
      <c r="K58" s="427"/>
    </row>
    <row r="59" spans="1:11" ht="66">
      <c r="A59" s="427">
        <v>58</v>
      </c>
      <c r="B59" s="427" t="s">
        <v>352</v>
      </c>
      <c r="C59" s="427" t="s">
        <v>322</v>
      </c>
      <c r="D59" s="427" t="s">
        <v>16</v>
      </c>
      <c r="E59" s="427" t="s">
        <v>353</v>
      </c>
      <c r="F59" s="427" t="s">
        <v>110</v>
      </c>
      <c r="G59" s="427" t="s">
        <v>164</v>
      </c>
      <c r="H59" s="427"/>
      <c r="I59" s="427">
        <v>45566</v>
      </c>
      <c r="J59" s="427"/>
      <c r="K59" s="427"/>
    </row>
    <row r="60" spans="1:11" ht="66">
      <c r="A60" s="427">
        <v>59</v>
      </c>
      <c r="B60" s="427" t="s">
        <v>354</v>
      </c>
      <c r="C60" s="427" t="s">
        <v>322</v>
      </c>
      <c r="D60" s="427" t="s">
        <v>16</v>
      </c>
      <c r="E60" s="427" t="s">
        <v>355</v>
      </c>
      <c r="F60" s="427" t="s">
        <v>110</v>
      </c>
      <c r="G60" s="427" t="s">
        <v>164</v>
      </c>
      <c r="H60" s="427" t="s">
        <v>356</v>
      </c>
      <c r="I60" s="427">
        <v>45474</v>
      </c>
      <c r="J60" s="427"/>
      <c r="K60" s="427"/>
    </row>
    <row r="61" spans="1:11" ht="92.4">
      <c r="A61" s="427">
        <v>60</v>
      </c>
      <c r="B61" s="427" t="s">
        <v>357</v>
      </c>
      <c r="C61" s="427" t="s">
        <v>322</v>
      </c>
      <c r="D61" s="427" t="s">
        <v>16</v>
      </c>
      <c r="E61" s="427" t="s">
        <v>358</v>
      </c>
      <c r="F61" s="427" t="s">
        <v>110</v>
      </c>
      <c r="G61" s="427" t="s">
        <v>164</v>
      </c>
      <c r="H61" s="427" t="s">
        <v>359</v>
      </c>
      <c r="I61" s="427">
        <v>45627</v>
      </c>
      <c r="J61" s="427"/>
      <c r="K61" s="427"/>
    </row>
    <row r="62" spans="1:11" ht="92.4">
      <c r="A62" s="427">
        <v>61</v>
      </c>
      <c r="B62" s="427" t="s">
        <v>360</v>
      </c>
      <c r="C62" s="427" t="s">
        <v>322</v>
      </c>
      <c r="D62" s="427" t="s">
        <v>16</v>
      </c>
      <c r="E62" s="427" t="s">
        <v>361</v>
      </c>
      <c r="F62" s="427" t="s">
        <v>110</v>
      </c>
      <c r="G62" s="427" t="s">
        <v>164</v>
      </c>
      <c r="H62" s="427" t="s">
        <v>362</v>
      </c>
      <c r="I62" s="427" t="s">
        <v>363</v>
      </c>
      <c r="J62" s="427"/>
      <c r="K62" s="427"/>
    </row>
    <row r="63" spans="1:11" ht="39.6">
      <c r="A63" s="427">
        <v>62</v>
      </c>
      <c r="B63" s="427" t="s">
        <v>360</v>
      </c>
      <c r="C63" s="427" t="s">
        <v>322</v>
      </c>
      <c r="D63" s="427" t="s">
        <v>16</v>
      </c>
      <c r="E63" s="427" t="s">
        <v>364</v>
      </c>
      <c r="F63" s="427" t="s">
        <v>110</v>
      </c>
      <c r="G63" s="427" t="s">
        <v>164</v>
      </c>
      <c r="H63" s="427" t="s">
        <v>365</v>
      </c>
      <c r="I63" s="427" t="s">
        <v>366</v>
      </c>
      <c r="J63" s="427"/>
      <c r="K63" s="427"/>
    </row>
    <row r="64" spans="1:11" ht="62.4">
      <c r="A64" s="427">
        <v>63</v>
      </c>
      <c r="B64" s="427" t="s">
        <v>367</v>
      </c>
      <c r="C64" s="427" t="s">
        <v>368</v>
      </c>
      <c r="D64" s="427" t="s">
        <v>16</v>
      </c>
      <c r="E64" s="427" t="s">
        <v>369</v>
      </c>
      <c r="F64" s="427" t="s">
        <v>230</v>
      </c>
      <c r="G64" s="427" t="s">
        <v>164</v>
      </c>
      <c r="H64" s="427" t="s">
        <v>370</v>
      </c>
      <c r="I64" s="427" t="s">
        <v>371</v>
      </c>
      <c r="J64" s="427"/>
      <c r="K64" s="427"/>
    </row>
    <row r="65" spans="1:11" ht="264">
      <c r="A65" s="427">
        <v>64</v>
      </c>
      <c r="B65" s="427" t="s">
        <v>367</v>
      </c>
      <c r="C65" s="427" t="s">
        <v>372</v>
      </c>
      <c r="D65" s="427" t="s">
        <v>16</v>
      </c>
      <c r="E65" s="427" t="s">
        <v>373</v>
      </c>
      <c r="F65" s="427" t="s">
        <v>110</v>
      </c>
      <c r="G65" s="427" t="s">
        <v>164</v>
      </c>
      <c r="H65" s="427" t="s">
        <v>374</v>
      </c>
      <c r="I65" s="427">
        <v>45627</v>
      </c>
      <c r="J65" s="427"/>
      <c r="K65" s="427"/>
    </row>
    <row r="66" spans="1:11" ht="52.8">
      <c r="A66" s="427">
        <v>65</v>
      </c>
      <c r="B66" s="427" t="s">
        <v>375</v>
      </c>
      <c r="C66" s="427" t="s">
        <v>376</v>
      </c>
      <c r="D66" s="427" t="s">
        <v>17</v>
      </c>
      <c r="E66" s="427" t="s">
        <v>377</v>
      </c>
      <c r="F66" s="427" t="s">
        <v>110</v>
      </c>
      <c r="G66" s="427" t="s">
        <v>164</v>
      </c>
      <c r="H66" s="427" t="s">
        <v>378</v>
      </c>
      <c r="I66" s="427" t="s">
        <v>319</v>
      </c>
      <c r="J66" s="427"/>
      <c r="K66" s="427" t="s">
        <v>379</v>
      </c>
    </row>
    <row r="67" spans="1:11" ht="39.6">
      <c r="A67" s="427">
        <v>66</v>
      </c>
      <c r="B67" s="427" t="s">
        <v>380</v>
      </c>
      <c r="C67" s="427" t="s">
        <v>322</v>
      </c>
      <c r="D67" s="427" t="s">
        <v>17</v>
      </c>
      <c r="E67" s="427" t="s">
        <v>381</v>
      </c>
      <c r="F67" s="427" t="s">
        <v>110</v>
      </c>
      <c r="G67" s="427" t="s">
        <v>156</v>
      </c>
      <c r="H67" s="427" t="s">
        <v>382</v>
      </c>
      <c r="I67" s="427" t="s">
        <v>383</v>
      </c>
      <c r="J67" s="427" t="s">
        <v>384</v>
      </c>
      <c r="K67" s="427" t="s">
        <v>385</v>
      </c>
    </row>
    <row r="68" spans="1:11" ht="66">
      <c r="A68" s="427">
        <v>67</v>
      </c>
      <c r="B68" s="427" t="s">
        <v>386</v>
      </c>
      <c r="C68" s="427" t="s">
        <v>108</v>
      </c>
      <c r="D68" s="427" t="s">
        <v>17</v>
      </c>
      <c r="E68" s="427" t="s">
        <v>387</v>
      </c>
      <c r="F68" s="427" t="s">
        <v>65</v>
      </c>
      <c r="G68" s="427" t="s">
        <v>124</v>
      </c>
      <c r="H68" s="427" t="s">
        <v>388</v>
      </c>
      <c r="I68" s="427" t="s">
        <v>389</v>
      </c>
      <c r="J68" s="427" t="s">
        <v>390</v>
      </c>
      <c r="K68" s="427" t="s">
        <v>391</v>
      </c>
    </row>
    <row r="69" spans="1:11" ht="39.6">
      <c r="A69" s="427">
        <v>68</v>
      </c>
      <c r="B69" s="427" t="s">
        <v>392</v>
      </c>
      <c r="C69" s="427" t="s">
        <v>322</v>
      </c>
      <c r="D69" s="427" t="s">
        <v>17</v>
      </c>
      <c r="E69" s="427" t="s">
        <v>381</v>
      </c>
      <c r="F69" s="427" t="s">
        <v>110</v>
      </c>
      <c r="G69" s="427" t="s">
        <v>164</v>
      </c>
      <c r="H69" s="427" t="s">
        <v>393</v>
      </c>
      <c r="I69" s="427" t="s">
        <v>383</v>
      </c>
      <c r="J69" s="427"/>
      <c r="K69" s="427" t="s">
        <v>394</v>
      </c>
    </row>
    <row r="70" spans="1:11" ht="39.6">
      <c r="A70" s="427">
        <v>69</v>
      </c>
      <c r="B70" s="427" t="s">
        <v>122</v>
      </c>
      <c r="C70" s="427" t="s">
        <v>322</v>
      </c>
      <c r="D70" s="427" t="s">
        <v>23</v>
      </c>
      <c r="E70" s="427" t="s">
        <v>395</v>
      </c>
      <c r="F70" s="427" t="s">
        <v>396</v>
      </c>
      <c r="G70" s="427" t="s">
        <v>124</v>
      </c>
      <c r="H70" s="427" t="s">
        <v>397</v>
      </c>
      <c r="I70" s="427" t="s">
        <v>398</v>
      </c>
      <c r="J70" s="427" t="s">
        <v>399</v>
      </c>
      <c r="K70" s="427" t="s">
        <v>400</v>
      </c>
    </row>
    <row r="71" spans="1:11" ht="39.6">
      <c r="A71" s="427">
        <v>70</v>
      </c>
      <c r="B71" s="427" t="s">
        <v>380</v>
      </c>
      <c r="C71" s="427" t="s">
        <v>124</v>
      </c>
      <c r="D71" s="427" t="s">
        <v>17</v>
      </c>
      <c r="E71" s="427" t="s">
        <v>401</v>
      </c>
      <c r="F71" s="427" t="s">
        <v>230</v>
      </c>
      <c r="G71" s="427" t="s">
        <v>124</v>
      </c>
      <c r="H71" s="427" t="s">
        <v>402</v>
      </c>
      <c r="I71" s="427" t="s">
        <v>403</v>
      </c>
      <c r="J71" s="427" t="s">
        <v>404</v>
      </c>
      <c r="K71" s="427" t="s">
        <v>405</v>
      </c>
    </row>
    <row r="72" spans="1:11" ht="39.6">
      <c r="A72" s="427">
        <v>71</v>
      </c>
      <c r="B72" s="427" t="s">
        <v>406</v>
      </c>
      <c r="C72" s="427" t="s">
        <v>407</v>
      </c>
      <c r="D72" s="427" t="s">
        <v>16</v>
      </c>
      <c r="E72" s="427" t="s">
        <v>408</v>
      </c>
      <c r="F72" s="427" t="s">
        <v>110</v>
      </c>
      <c r="G72" s="427" t="s">
        <v>409</v>
      </c>
      <c r="H72" s="427" t="s">
        <v>410</v>
      </c>
      <c r="I72" s="427" t="s">
        <v>411</v>
      </c>
      <c r="J72" s="427"/>
      <c r="K72" s="427"/>
    </row>
    <row r="73" spans="1:11" ht="79.2">
      <c r="A73" s="427">
        <v>72</v>
      </c>
      <c r="B73" s="427" t="s">
        <v>412</v>
      </c>
      <c r="C73" s="427" t="s">
        <v>413</v>
      </c>
      <c r="D73" s="427" t="s">
        <v>16</v>
      </c>
      <c r="E73" s="427" t="s">
        <v>414</v>
      </c>
      <c r="F73" s="427" t="s">
        <v>110</v>
      </c>
      <c r="G73" s="427" t="s">
        <v>409</v>
      </c>
      <c r="H73" s="427" t="s">
        <v>415</v>
      </c>
      <c r="I73" s="427" t="s">
        <v>416</v>
      </c>
      <c r="J73" s="427"/>
      <c r="K73" s="427" t="s">
        <v>417</v>
      </c>
    </row>
    <row r="74" spans="1:11" ht="39.6">
      <c r="A74" s="427">
        <v>73</v>
      </c>
      <c r="B74" s="427" t="s">
        <v>406</v>
      </c>
      <c r="C74" s="427" t="s">
        <v>407</v>
      </c>
      <c r="D74" s="427" t="s">
        <v>16</v>
      </c>
      <c r="E74" s="427" t="s">
        <v>418</v>
      </c>
      <c r="F74" s="427" t="s">
        <v>110</v>
      </c>
      <c r="G74" s="427" t="s">
        <v>409</v>
      </c>
      <c r="H74" s="427" t="s">
        <v>419</v>
      </c>
      <c r="I74" s="427" t="s">
        <v>420</v>
      </c>
      <c r="J74" s="427"/>
      <c r="K74" s="427" t="s">
        <v>421</v>
      </c>
    </row>
    <row r="75" spans="1:11" ht="79.2">
      <c r="A75" s="427">
        <v>74</v>
      </c>
      <c r="B75" s="427" t="s">
        <v>422</v>
      </c>
      <c r="C75" s="427" t="s">
        <v>407</v>
      </c>
      <c r="D75" s="427" t="s">
        <v>16</v>
      </c>
      <c r="E75" s="427" t="s">
        <v>423</v>
      </c>
      <c r="F75" s="427" t="s">
        <v>110</v>
      </c>
      <c r="G75" s="427" t="s">
        <v>409</v>
      </c>
      <c r="H75" s="427" t="s">
        <v>424</v>
      </c>
      <c r="I75" s="427" t="s">
        <v>389</v>
      </c>
      <c r="J75" s="427"/>
      <c r="K75" s="427" t="s">
        <v>425</v>
      </c>
    </row>
    <row r="76" spans="1:11" ht="79.2">
      <c r="A76" s="427">
        <v>75</v>
      </c>
      <c r="B76" s="427" t="s">
        <v>426</v>
      </c>
      <c r="C76" s="427" t="s">
        <v>407</v>
      </c>
      <c r="D76" s="427" t="s">
        <v>16</v>
      </c>
      <c r="E76" s="427" t="s">
        <v>427</v>
      </c>
      <c r="F76" s="427" t="s">
        <v>110</v>
      </c>
      <c r="G76" s="427" t="s">
        <v>409</v>
      </c>
      <c r="H76" s="427" t="s">
        <v>428</v>
      </c>
      <c r="I76" s="427" t="s">
        <v>429</v>
      </c>
      <c r="J76" s="427"/>
      <c r="K76" s="427"/>
    </row>
    <row r="77" spans="1:11" ht="171.6">
      <c r="A77" s="427">
        <v>76</v>
      </c>
      <c r="B77" s="427" t="s">
        <v>430</v>
      </c>
      <c r="C77" s="427" t="s">
        <v>407</v>
      </c>
      <c r="D77" s="427" t="s">
        <v>24</v>
      </c>
      <c r="E77" s="427" t="s">
        <v>431</v>
      </c>
      <c r="F77" s="427" t="s">
        <v>47</v>
      </c>
      <c r="G77" s="427" t="s">
        <v>47</v>
      </c>
      <c r="H77" s="427" t="s">
        <v>432</v>
      </c>
      <c r="I77" s="427" t="s">
        <v>433</v>
      </c>
      <c r="J77" s="427" t="s">
        <v>434</v>
      </c>
      <c r="K77" s="427" t="s">
        <v>435</v>
      </c>
    </row>
    <row r="78" spans="1:11" ht="39.6">
      <c r="A78" s="427">
        <v>77</v>
      </c>
      <c r="B78" s="427" t="s">
        <v>254</v>
      </c>
      <c r="C78" s="427" t="s">
        <v>322</v>
      </c>
      <c r="D78" s="427" t="s">
        <v>21</v>
      </c>
      <c r="E78" s="427" t="s">
        <v>436</v>
      </c>
      <c r="F78" s="427" t="s">
        <v>99</v>
      </c>
      <c r="G78" s="427" t="s">
        <v>409</v>
      </c>
      <c r="H78" s="427" t="s">
        <v>437</v>
      </c>
      <c r="I78" s="427" t="s">
        <v>438</v>
      </c>
      <c r="J78" s="427"/>
      <c r="K78" s="427"/>
    </row>
    <row r="79" spans="1:11" ht="79.2">
      <c r="A79" s="427">
        <v>78</v>
      </c>
      <c r="B79" s="427" t="s">
        <v>439</v>
      </c>
      <c r="C79" s="427" t="s">
        <v>407</v>
      </c>
      <c r="D79" s="427" t="s">
        <v>16</v>
      </c>
      <c r="E79" s="427" t="s">
        <v>440</v>
      </c>
      <c r="F79" s="427" t="s">
        <v>230</v>
      </c>
      <c r="G79" s="427" t="s">
        <v>441</v>
      </c>
      <c r="H79" s="427" t="s">
        <v>442</v>
      </c>
      <c r="I79" s="427" t="s">
        <v>443</v>
      </c>
      <c r="J79" s="427"/>
      <c r="K79" s="427"/>
    </row>
    <row r="80" spans="1:11" ht="79.2">
      <c r="A80" s="427">
        <v>79</v>
      </c>
      <c r="B80" s="427" t="s">
        <v>444</v>
      </c>
      <c r="C80" s="427"/>
      <c r="D80" s="427" t="s">
        <v>15</v>
      </c>
      <c r="E80" s="427" t="s">
        <v>445</v>
      </c>
      <c r="F80" s="427"/>
      <c r="G80" s="427" t="s">
        <v>340</v>
      </c>
      <c r="H80" s="427" t="s">
        <v>446</v>
      </c>
      <c r="I80" s="427" t="s">
        <v>447</v>
      </c>
      <c r="J80" s="427"/>
      <c r="K80" s="427"/>
    </row>
    <row r="81" spans="1:11" ht="66">
      <c r="A81" s="427">
        <v>80</v>
      </c>
      <c r="B81" s="427" t="s">
        <v>448</v>
      </c>
      <c r="C81" s="427" t="s">
        <v>449</v>
      </c>
      <c r="D81" s="427" t="s">
        <v>15</v>
      </c>
      <c r="E81" s="427" t="s">
        <v>450</v>
      </c>
      <c r="F81" s="427" t="s">
        <v>100</v>
      </c>
      <c r="G81" s="427" t="s">
        <v>100</v>
      </c>
      <c r="H81" s="427" t="s">
        <v>451</v>
      </c>
      <c r="I81" s="427" t="s">
        <v>447</v>
      </c>
      <c r="J81" s="427"/>
      <c r="K81" s="427"/>
    </row>
    <row r="82" spans="1:11" ht="79.2">
      <c r="A82" s="427">
        <v>81</v>
      </c>
      <c r="B82" s="427" t="s">
        <v>452</v>
      </c>
      <c r="C82" s="427" t="s">
        <v>108</v>
      </c>
      <c r="D82" s="427" t="s">
        <v>15</v>
      </c>
      <c r="E82" s="427" t="s">
        <v>453</v>
      </c>
      <c r="F82" s="427" t="s">
        <v>100</v>
      </c>
      <c r="G82" s="427" t="s">
        <v>100</v>
      </c>
      <c r="H82" s="427" t="s">
        <v>454</v>
      </c>
      <c r="I82" s="427" t="s">
        <v>455</v>
      </c>
      <c r="J82" s="427"/>
      <c r="K82" s="427" t="s">
        <v>456</v>
      </c>
    </row>
    <row r="83" spans="1:11" ht="52.8">
      <c r="A83" s="427">
        <v>82</v>
      </c>
      <c r="B83" s="427" t="s">
        <v>303</v>
      </c>
      <c r="C83" s="427" t="s">
        <v>108</v>
      </c>
      <c r="D83" s="427" t="s">
        <v>15</v>
      </c>
      <c r="E83" s="427" t="s">
        <v>457</v>
      </c>
      <c r="F83" s="427" t="s">
        <v>100</v>
      </c>
      <c r="G83" s="427" t="s">
        <v>100</v>
      </c>
      <c r="H83" s="427" t="s">
        <v>458</v>
      </c>
      <c r="I83" s="427" t="s">
        <v>459</v>
      </c>
      <c r="J83" s="427" t="s">
        <v>460</v>
      </c>
      <c r="K83" s="427" t="s">
        <v>461</v>
      </c>
    </row>
    <row r="84" spans="1:11" ht="52.8">
      <c r="A84" s="427">
        <v>83</v>
      </c>
      <c r="B84" s="427" t="s">
        <v>303</v>
      </c>
      <c r="C84" s="427" t="s">
        <v>108</v>
      </c>
      <c r="D84" s="427" t="s">
        <v>15</v>
      </c>
      <c r="E84" s="427" t="s">
        <v>462</v>
      </c>
      <c r="F84" s="427" t="s">
        <v>65</v>
      </c>
      <c r="G84" s="427" t="s">
        <v>124</v>
      </c>
      <c r="H84" s="427" t="s">
        <v>463</v>
      </c>
      <c r="I84" s="427" t="s">
        <v>459</v>
      </c>
      <c r="J84" s="427" t="s">
        <v>464</v>
      </c>
      <c r="K84" s="427" t="s">
        <v>465</v>
      </c>
    </row>
    <row r="85" spans="1:11" ht="52.8">
      <c r="A85" s="427">
        <v>84</v>
      </c>
      <c r="B85" s="427" t="s">
        <v>466</v>
      </c>
      <c r="C85" s="427" t="s">
        <v>108</v>
      </c>
      <c r="D85" s="427" t="s">
        <v>25</v>
      </c>
      <c r="E85" s="427" t="s">
        <v>467</v>
      </c>
      <c r="F85" s="427" t="s">
        <v>100</v>
      </c>
      <c r="G85" s="427" t="s">
        <v>124</v>
      </c>
      <c r="H85" s="427" t="s">
        <v>468</v>
      </c>
      <c r="I85" s="427" t="s">
        <v>469</v>
      </c>
      <c r="J85" s="427"/>
      <c r="K85" s="427" t="s">
        <v>470</v>
      </c>
    </row>
    <row r="86" spans="1:11" ht="39.6">
      <c r="A86" s="427">
        <v>85</v>
      </c>
      <c r="B86" s="427" t="s">
        <v>466</v>
      </c>
      <c r="C86" s="427" t="s">
        <v>156</v>
      </c>
      <c r="D86" s="427" t="s">
        <v>25</v>
      </c>
      <c r="E86" s="427" t="s">
        <v>471</v>
      </c>
      <c r="F86" s="427" t="s">
        <v>65</v>
      </c>
      <c r="G86" s="427" t="s">
        <v>124</v>
      </c>
      <c r="H86" s="427" t="s">
        <v>472</v>
      </c>
      <c r="I86" s="427" t="s">
        <v>126</v>
      </c>
      <c r="J86" s="427" t="s">
        <v>473</v>
      </c>
      <c r="K86" s="427" t="s">
        <v>474</v>
      </c>
    </row>
    <row r="87" spans="1:11" ht="66">
      <c r="A87" s="427">
        <v>86</v>
      </c>
      <c r="B87" s="427" t="s">
        <v>475</v>
      </c>
      <c r="C87" s="427" t="s">
        <v>156</v>
      </c>
      <c r="D87" s="427" t="s">
        <v>25</v>
      </c>
      <c r="E87" s="427" t="s">
        <v>476</v>
      </c>
      <c r="F87" s="427" t="s">
        <v>100</v>
      </c>
      <c r="G87" s="427" t="s">
        <v>124</v>
      </c>
      <c r="H87" s="427" t="s">
        <v>477</v>
      </c>
      <c r="I87" s="427" t="s">
        <v>478</v>
      </c>
      <c r="J87" s="427" t="s">
        <v>479</v>
      </c>
      <c r="K87" s="427" t="s">
        <v>480</v>
      </c>
    </row>
    <row r="88" spans="1:11" ht="31.2">
      <c r="A88" s="427">
        <v>87</v>
      </c>
      <c r="B88" s="427" t="s">
        <v>481</v>
      </c>
      <c r="C88" s="427" t="s">
        <v>156</v>
      </c>
      <c r="D88" s="427" t="s">
        <v>25</v>
      </c>
      <c r="E88" s="427" t="s">
        <v>482</v>
      </c>
      <c r="F88" s="427" t="s">
        <v>100</v>
      </c>
      <c r="G88" s="427" t="s">
        <v>340</v>
      </c>
      <c r="H88" s="427" t="s">
        <v>483</v>
      </c>
      <c r="I88" s="427">
        <v>45622</v>
      </c>
      <c r="J88" s="427" t="s">
        <v>484</v>
      </c>
      <c r="K88" s="427" t="s">
        <v>485</v>
      </c>
    </row>
    <row r="89" spans="1:11" ht="46.8">
      <c r="A89" s="427">
        <v>88</v>
      </c>
      <c r="B89" s="427" t="s">
        <v>481</v>
      </c>
      <c r="C89" s="427" t="s">
        <v>156</v>
      </c>
      <c r="D89" s="427" t="s">
        <v>25</v>
      </c>
      <c r="E89" s="427" t="s">
        <v>467</v>
      </c>
      <c r="F89" s="427" t="s">
        <v>100</v>
      </c>
      <c r="G89" s="427" t="s">
        <v>340</v>
      </c>
      <c r="H89" s="427" t="s">
        <v>486</v>
      </c>
      <c r="I89" s="427">
        <v>45476</v>
      </c>
      <c r="J89" s="427" t="s">
        <v>487</v>
      </c>
      <c r="K89" s="427" t="s">
        <v>488</v>
      </c>
    </row>
    <row r="90" spans="1:11" ht="39.6">
      <c r="A90" s="427">
        <v>89</v>
      </c>
      <c r="B90" s="427" t="s">
        <v>489</v>
      </c>
      <c r="C90" s="427" t="s">
        <v>164</v>
      </c>
      <c r="D90" s="427" t="s">
        <v>18</v>
      </c>
      <c r="E90" s="427" t="s">
        <v>490</v>
      </c>
      <c r="F90" s="427" t="s">
        <v>100</v>
      </c>
      <c r="G90" s="427" t="s">
        <v>164</v>
      </c>
      <c r="H90" s="427" t="s">
        <v>491</v>
      </c>
      <c r="I90" s="427" t="s">
        <v>492</v>
      </c>
      <c r="J90" s="427"/>
      <c r="K90" s="427"/>
    </row>
    <row r="91" spans="1:11" ht="79.2">
      <c r="A91" s="427">
        <v>90</v>
      </c>
      <c r="B91" s="427" t="s">
        <v>271</v>
      </c>
      <c r="C91" s="427" t="s">
        <v>164</v>
      </c>
      <c r="D91" s="427" t="s">
        <v>17</v>
      </c>
      <c r="E91" s="427" t="s">
        <v>493</v>
      </c>
      <c r="F91" s="427" t="s">
        <v>100</v>
      </c>
      <c r="G91" s="427" t="s">
        <v>340</v>
      </c>
      <c r="H91" s="427" t="s">
        <v>494</v>
      </c>
      <c r="I91" s="427" t="s">
        <v>495</v>
      </c>
      <c r="J91" s="427"/>
      <c r="K91" s="427" t="s">
        <v>394</v>
      </c>
    </row>
    <row r="92" spans="1:11" ht="52.8">
      <c r="A92" s="427">
        <v>91</v>
      </c>
      <c r="B92" s="427" t="s">
        <v>496</v>
      </c>
      <c r="C92" s="427" t="s">
        <v>322</v>
      </c>
      <c r="D92" s="427" t="s">
        <v>21</v>
      </c>
      <c r="E92" s="427" t="s">
        <v>497</v>
      </c>
      <c r="F92" s="427" t="s">
        <v>110</v>
      </c>
      <c r="G92" s="427" t="s">
        <v>100</v>
      </c>
      <c r="H92" s="427" t="s">
        <v>498</v>
      </c>
      <c r="I92" s="427">
        <v>45658</v>
      </c>
      <c r="J92" s="427"/>
      <c r="K92" s="427"/>
    </row>
    <row r="93" spans="1:11" ht="79.2">
      <c r="A93" s="427">
        <v>92</v>
      </c>
      <c r="B93" s="427" t="s">
        <v>499</v>
      </c>
      <c r="C93" s="427" t="s">
        <v>500</v>
      </c>
      <c r="D93" s="427" t="s">
        <v>21</v>
      </c>
      <c r="E93" s="427" t="s">
        <v>501</v>
      </c>
      <c r="F93" s="427" t="s">
        <v>110</v>
      </c>
      <c r="G93" s="427" t="s">
        <v>100</v>
      </c>
      <c r="H93" s="427" t="s">
        <v>502</v>
      </c>
      <c r="I93" s="427">
        <v>45689</v>
      </c>
      <c r="J93" s="427"/>
      <c r="K93" s="427"/>
    </row>
    <row r="94" spans="1:11" ht="66">
      <c r="A94" s="427">
        <v>93</v>
      </c>
      <c r="B94" s="427" t="s">
        <v>503</v>
      </c>
      <c r="C94" s="427" t="s">
        <v>322</v>
      </c>
      <c r="D94" s="427" t="s">
        <v>17</v>
      </c>
      <c r="E94" s="427" t="s">
        <v>504</v>
      </c>
      <c r="F94" s="427" t="s">
        <v>505</v>
      </c>
      <c r="G94" s="427" t="s">
        <v>124</v>
      </c>
      <c r="H94" s="427" t="s">
        <v>506</v>
      </c>
      <c r="I94" s="427">
        <v>45658</v>
      </c>
      <c r="J94" s="427" t="s">
        <v>507</v>
      </c>
      <c r="K94" s="427" t="s">
        <v>508</v>
      </c>
    </row>
    <row r="95" spans="1:11" ht="66">
      <c r="A95" s="427">
        <v>94</v>
      </c>
      <c r="B95" s="427" t="s">
        <v>282</v>
      </c>
      <c r="C95" s="427" t="s">
        <v>322</v>
      </c>
      <c r="D95" s="427" t="s">
        <v>24</v>
      </c>
      <c r="E95" s="427" t="s">
        <v>509</v>
      </c>
      <c r="F95" s="427" t="s">
        <v>100</v>
      </c>
      <c r="G95" s="427" t="s">
        <v>100</v>
      </c>
      <c r="H95" s="427" t="s">
        <v>510</v>
      </c>
      <c r="I95" s="427" t="s">
        <v>216</v>
      </c>
      <c r="J95" s="427"/>
      <c r="K95" s="427"/>
    </row>
    <row r="96" spans="1:11" ht="66">
      <c r="A96" s="427">
        <v>95</v>
      </c>
      <c r="B96" s="427" t="s">
        <v>511</v>
      </c>
      <c r="C96" s="427" t="s">
        <v>322</v>
      </c>
      <c r="D96" s="427" t="s">
        <v>24</v>
      </c>
      <c r="E96" s="427" t="s">
        <v>512</v>
      </c>
      <c r="F96" s="427" t="s">
        <v>100</v>
      </c>
      <c r="G96" s="427" t="s">
        <v>100</v>
      </c>
      <c r="H96" s="427" t="s">
        <v>513</v>
      </c>
      <c r="I96" s="427" t="s">
        <v>319</v>
      </c>
      <c r="J96" s="427"/>
      <c r="K96" s="427" t="s">
        <v>514</v>
      </c>
    </row>
    <row r="97" spans="1:11" ht="79.2">
      <c r="A97" s="427">
        <v>96</v>
      </c>
      <c r="B97" s="427" t="s">
        <v>515</v>
      </c>
      <c r="C97" s="427" t="s">
        <v>108</v>
      </c>
      <c r="D97" s="427" t="s">
        <v>24</v>
      </c>
      <c r="E97" s="427" t="s">
        <v>516</v>
      </c>
      <c r="F97" s="427" t="s">
        <v>100</v>
      </c>
      <c r="G97" s="427" t="s">
        <v>100</v>
      </c>
      <c r="H97" s="427" t="s">
        <v>517</v>
      </c>
      <c r="I97" s="427" t="s">
        <v>194</v>
      </c>
      <c r="J97" s="427" t="s">
        <v>518</v>
      </c>
      <c r="K97" s="427" t="s">
        <v>519</v>
      </c>
    </row>
    <row r="98" spans="1:11" ht="52.8">
      <c r="A98" s="427">
        <v>97</v>
      </c>
      <c r="B98" s="427" t="s">
        <v>520</v>
      </c>
      <c r="C98" s="427" t="s">
        <v>108</v>
      </c>
      <c r="D98" s="427" t="s">
        <v>24</v>
      </c>
      <c r="E98" s="427" t="s">
        <v>521</v>
      </c>
      <c r="F98" s="427" t="s">
        <v>100</v>
      </c>
      <c r="G98" s="427" t="s">
        <v>100</v>
      </c>
      <c r="H98" s="427" t="s">
        <v>522</v>
      </c>
      <c r="I98" s="427" t="s">
        <v>523</v>
      </c>
      <c r="J98" s="427"/>
      <c r="K98" s="427" t="s">
        <v>524</v>
      </c>
    </row>
    <row r="99" spans="1:11" ht="119.4">
      <c r="A99" s="427">
        <v>98</v>
      </c>
      <c r="B99" s="427" t="s">
        <v>525</v>
      </c>
      <c r="C99" s="427" t="s">
        <v>108</v>
      </c>
      <c r="D99" s="427" t="s">
        <v>24</v>
      </c>
      <c r="E99" s="427" t="s">
        <v>526</v>
      </c>
      <c r="F99" s="427" t="s">
        <v>100</v>
      </c>
      <c r="G99" s="427" t="s">
        <v>100</v>
      </c>
      <c r="H99" s="427" t="s">
        <v>527</v>
      </c>
      <c r="I99" s="427" t="s">
        <v>528</v>
      </c>
      <c r="J99" s="427"/>
      <c r="K99" s="427" t="s">
        <v>529</v>
      </c>
    </row>
    <row r="100" spans="1:11" ht="158.4">
      <c r="A100" s="427">
        <v>99</v>
      </c>
      <c r="B100" s="427" t="s">
        <v>282</v>
      </c>
      <c r="C100" s="427" t="s">
        <v>108</v>
      </c>
      <c r="D100" s="427" t="s">
        <v>24</v>
      </c>
      <c r="E100" s="427" t="s">
        <v>530</v>
      </c>
      <c r="F100" s="427" t="s">
        <v>100</v>
      </c>
      <c r="G100" s="427" t="s">
        <v>100</v>
      </c>
      <c r="H100" s="427" t="s">
        <v>531</v>
      </c>
      <c r="I100" s="427" t="s">
        <v>194</v>
      </c>
      <c r="J100" s="427" t="s">
        <v>532</v>
      </c>
      <c r="K100" s="427" t="s">
        <v>533</v>
      </c>
    </row>
    <row r="101" spans="1:11" ht="106.2">
      <c r="A101" s="427">
        <v>100</v>
      </c>
      <c r="B101" s="427" t="s">
        <v>525</v>
      </c>
      <c r="C101" s="427" t="s">
        <v>108</v>
      </c>
      <c r="D101" s="427" t="s">
        <v>24</v>
      </c>
      <c r="E101" s="427" t="s">
        <v>534</v>
      </c>
      <c r="F101" s="427" t="s">
        <v>100</v>
      </c>
      <c r="G101" s="427" t="s">
        <v>100</v>
      </c>
      <c r="H101" s="427" t="s">
        <v>535</v>
      </c>
      <c r="I101" s="427" t="s">
        <v>536</v>
      </c>
      <c r="J101" s="427"/>
      <c r="K101" s="427" t="s">
        <v>537</v>
      </c>
    </row>
    <row r="102" spans="1:11" ht="26.4">
      <c r="A102" s="427">
        <v>101</v>
      </c>
      <c r="B102" s="427" t="s">
        <v>538</v>
      </c>
      <c r="C102" s="427" t="s">
        <v>108</v>
      </c>
      <c r="D102" s="427" t="s">
        <v>23</v>
      </c>
      <c r="E102" s="427" t="s">
        <v>539</v>
      </c>
      <c r="F102" s="427" t="s">
        <v>62</v>
      </c>
      <c r="G102" s="427" t="s">
        <v>100</v>
      </c>
      <c r="H102" s="427" t="s">
        <v>540</v>
      </c>
      <c r="I102" s="427" t="s">
        <v>541</v>
      </c>
      <c r="J102" s="427"/>
      <c r="K102" s="427" t="s">
        <v>542</v>
      </c>
    </row>
    <row r="103" spans="1:11" ht="66">
      <c r="A103" s="427">
        <v>102</v>
      </c>
      <c r="B103" s="427" t="s">
        <v>303</v>
      </c>
      <c r="C103" s="427" t="s">
        <v>108</v>
      </c>
      <c r="D103" s="427" t="s">
        <v>15</v>
      </c>
      <c r="E103" s="427" t="s">
        <v>543</v>
      </c>
      <c r="F103" s="427" t="s">
        <v>62</v>
      </c>
      <c r="G103" s="427" t="s">
        <v>124</v>
      </c>
      <c r="H103" s="427" t="s">
        <v>544</v>
      </c>
      <c r="I103" s="427" t="s">
        <v>545</v>
      </c>
      <c r="J103" s="427">
        <v>27507</v>
      </c>
      <c r="K103" s="427" t="s">
        <v>546</v>
      </c>
    </row>
    <row r="104" spans="1:11" ht="66">
      <c r="A104" s="427">
        <v>103</v>
      </c>
      <c r="B104" s="427" t="s">
        <v>547</v>
      </c>
      <c r="C104" s="427" t="s">
        <v>108</v>
      </c>
      <c r="D104" s="427" t="s">
        <v>16</v>
      </c>
      <c r="E104" s="427" t="s">
        <v>548</v>
      </c>
      <c r="F104" s="427" t="s">
        <v>110</v>
      </c>
      <c r="G104" s="427" t="s">
        <v>100</v>
      </c>
      <c r="H104" s="427" t="s">
        <v>549</v>
      </c>
      <c r="I104" s="427" t="s">
        <v>550</v>
      </c>
      <c r="J104" s="427"/>
      <c r="K104" s="427"/>
    </row>
    <row r="105" spans="1:11" ht="52.8">
      <c r="A105" s="427">
        <v>104</v>
      </c>
      <c r="B105" s="427" t="s">
        <v>551</v>
      </c>
      <c r="C105" s="427" t="s">
        <v>108</v>
      </c>
      <c r="D105" s="427" t="s">
        <v>15</v>
      </c>
      <c r="E105" s="427" t="s">
        <v>552</v>
      </c>
      <c r="F105" s="427" t="s">
        <v>553</v>
      </c>
      <c r="G105" s="427" t="s">
        <v>124</v>
      </c>
      <c r="H105" s="427" t="s">
        <v>554</v>
      </c>
      <c r="I105" s="427" t="s">
        <v>555</v>
      </c>
      <c r="J105" s="427"/>
      <c r="K105" s="427"/>
    </row>
    <row r="106" spans="1:11" ht="66.599999999999994">
      <c r="A106" s="427">
        <v>105</v>
      </c>
      <c r="B106" s="427" t="s">
        <v>556</v>
      </c>
      <c r="C106" s="427" t="s">
        <v>108</v>
      </c>
      <c r="D106" s="427" t="s">
        <v>15</v>
      </c>
      <c r="E106" s="427" t="s">
        <v>453</v>
      </c>
      <c r="F106" s="427" t="s">
        <v>100</v>
      </c>
      <c r="G106" s="427" t="s">
        <v>100</v>
      </c>
      <c r="H106" s="427" t="s">
        <v>557</v>
      </c>
      <c r="I106" s="427" t="s">
        <v>285</v>
      </c>
      <c r="J106" s="427" t="s">
        <v>558</v>
      </c>
      <c r="K106" s="427" t="s">
        <v>559</v>
      </c>
    </row>
    <row r="107" spans="1:11" ht="79.2">
      <c r="A107" s="427">
        <v>106</v>
      </c>
      <c r="B107" s="427" t="s">
        <v>560</v>
      </c>
      <c r="C107" s="427" t="s">
        <v>322</v>
      </c>
      <c r="D107" s="427" t="s">
        <v>15</v>
      </c>
      <c r="E107" s="427" t="s">
        <v>561</v>
      </c>
      <c r="F107" s="427" t="s">
        <v>100</v>
      </c>
      <c r="G107" s="427" t="s">
        <v>124</v>
      </c>
      <c r="H107" s="427" t="s">
        <v>562</v>
      </c>
      <c r="I107" s="427" t="s">
        <v>126</v>
      </c>
      <c r="J107" s="427" t="s">
        <v>563</v>
      </c>
      <c r="K107" s="427" t="s">
        <v>564</v>
      </c>
    </row>
    <row r="108" spans="1:11" ht="105.6">
      <c r="A108" s="427">
        <v>107</v>
      </c>
      <c r="B108" s="427" t="s">
        <v>565</v>
      </c>
      <c r="C108" s="427" t="s">
        <v>322</v>
      </c>
      <c r="D108" s="427" t="s">
        <v>15</v>
      </c>
      <c r="E108" s="427" t="s">
        <v>566</v>
      </c>
      <c r="F108" s="427" t="s">
        <v>100</v>
      </c>
      <c r="G108" s="427" t="s">
        <v>567</v>
      </c>
      <c r="H108" s="427" t="s">
        <v>568</v>
      </c>
      <c r="I108" s="427" t="s">
        <v>569</v>
      </c>
      <c r="J108" s="427"/>
      <c r="K108" s="427"/>
    </row>
    <row r="109" spans="1:11" ht="79.2">
      <c r="A109" s="427">
        <v>108</v>
      </c>
      <c r="B109" s="427" t="s">
        <v>570</v>
      </c>
      <c r="C109" s="427" t="s">
        <v>322</v>
      </c>
      <c r="D109" s="427" t="s">
        <v>15</v>
      </c>
      <c r="E109" s="427" t="s">
        <v>571</v>
      </c>
      <c r="F109" s="427" t="s">
        <v>100</v>
      </c>
      <c r="G109" s="427" t="s">
        <v>567</v>
      </c>
      <c r="H109" s="427" t="s">
        <v>572</v>
      </c>
      <c r="I109" s="427" t="s">
        <v>545</v>
      </c>
      <c r="J109" s="427" t="s">
        <v>573</v>
      </c>
      <c r="K109" s="427" t="s">
        <v>574</v>
      </c>
    </row>
    <row r="110" spans="1:11" ht="92.4">
      <c r="A110" s="427">
        <v>109</v>
      </c>
      <c r="B110" s="427" t="s">
        <v>560</v>
      </c>
      <c r="C110" s="427" t="s">
        <v>322</v>
      </c>
      <c r="D110" s="427" t="s">
        <v>15</v>
      </c>
      <c r="E110" s="427" t="s">
        <v>575</v>
      </c>
      <c r="F110" s="427" t="s">
        <v>100</v>
      </c>
      <c r="G110" s="427" t="s">
        <v>567</v>
      </c>
      <c r="H110" s="427" t="s">
        <v>576</v>
      </c>
      <c r="I110" s="427" t="s">
        <v>577</v>
      </c>
      <c r="J110" s="427" t="s">
        <v>578</v>
      </c>
      <c r="K110" s="427" t="s">
        <v>579</v>
      </c>
    </row>
    <row r="111" spans="1:11" ht="66">
      <c r="A111" s="427">
        <v>110</v>
      </c>
      <c r="B111" s="427" t="s">
        <v>580</v>
      </c>
      <c r="C111" s="427" t="s">
        <v>581</v>
      </c>
      <c r="D111" s="427" t="s">
        <v>15</v>
      </c>
      <c r="E111" s="427" t="s">
        <v>582</v>
      </c>
      <c r="F111" s="427" t="s">
        <v>100</v>
      </c>
      <c r="G111" s="427" t="s">
        <v>100</v>
      </c>
      <c r="H111" s="427" t="s">
        <v>583</v>
      </c>
      <c r="I111" s="427" t="s">
        <v>545</v>
      </c>
      <c r="J111" s="427" t="s">
        <v>584</v>
      </c>
      <c r="K111" s="427" t="s">
        <v>585</v>
      </c>
    </row>
    <row r="112" spans="1:11" ht="79.2">
      <c r="A112" s="427">
        <v>111</v>
      </c>
      <c r="B112" s="427" t="s">
        <v>586</v>
      </c>
      <c r="C112" s="427" t="s">
        <v>322</v>
      </c>
      <c r="D112" s="427" t="s">
        <v>25</v>
      </c>
      <c r="E112" s="427" t="s">
        <v>587</v>
      </c>
      <c r="F112" s="427" t="s">
        <v>100</v>
      </c>
      <c r="G112" s="427" t="s">
        <v>100</v>
      </c>
      <c r="H112" s="427" t="s">
        <v>588</v>
      </c>
      <c r="I112" s="427" t="s">
        <v>216</v>
      </c>
      <c r="J112" s="427" t="s">
        <v>589</v>
      </c>
      <c r="K112" s="427" t="s">
        <v>590</v>
      </c>
    </row>
    <row r="113" spans="1:11" ht="39.6">
      <c r="A113" s="427">
        <v>112</v>
      </c>
      <c r="B113" s="427" t="s">
        <v>591</v>
      </c>
      <c r="C113" s="427" t="s">
        <v>322</v>
      </c>
      <c r="D113" s="427" t="s">
        <v>25</v>
      </c>
      <c r="E113" s="427" t="s">
        <v>592</v>
      </c>
      <c r="F113" s="427" t="s">
        <v>100</v>
      </c>
      <c r="G113" s="427" t="s">
        <v>100</v>
      </c>
      <c r="H113" s="427" t="s">
        <v>593</v>
      </c>
      <c r="I113" s="427" t="s">
        <v>216</v>
      </c>
      <c r="J113" s="427" t="s">
        <v>594</v>
      </c>
      <c r="K113" s="427" t="s">
        <v>595</v>
      </c>
    </row>
    <row r="114" spans="1:11" ht="79.2">
      <c r="A114" s="427">
        <v>113</v>
      </c>
      <c r="B114" s="427" t="s">
        <v>169</v>
      </c>
      <c r="C114" s="427" t="s">
        <v>108</v>
      </c>
      <c r="D114" s="427" t="s">
        <v>596</v>
      </c>
      <c r="E114" s="427" t="s">
        <v>597</v>
      </c>
      <c r="F114" s="427" t="s">
        <v>65</v>
      </c>
      <c r="G114" s="427" t="s">
        <v>100</v>
      </c>
      <c r="H114" s="427" t="s">
        <v>209</v>
      </c>
      <c r="I114" s="427" t="s">
        <v>598</v>
      </c>
      <c r="J114" s="427" t="s">
        <v>599</v>
      </c>
      <c r="K114" s="427" t="s">
        <v>600</v>
      </c>
    </row>
    <row r="115" spans="1:11" ht="66">
      <c r="A115" s="427">
        <v>114</v>
      </c>
      <c r="B115" s="427" t="s">
        <v>601</v>
      </c>
      <c r="C115" s="427" t="s">
        <v>108</v>
      </c>
      <c r="D115" s="427" t="s">
        <v>23</v>
      </c>
      <c r="E115" s="427" t="s">
        <v>602</v>
      </c>
      <c r="F115" s="427" t="s">
        <v>100</v>
      </c>
      <c r="G115" s="427" t="s">
        <v>100</v>
      </c>
      <c r="H115" s="427" t="s">
        <v>603</v>
      </c>
      <c r="I115" s="427" t="s">
        <v>604</v>
      </c>
      <c r="J115" s="427" t="s">
        <v>584</v>
      </c>
      <c r="K115" s="427" t="s">
        <v>605</v>
      </c>
    </row>
    <row r="116" spans="1:11" ht="39.6">
      <c r="A116" s="427">
        <v>115</v>
      </c>
      <c r="B116" s="427" t="s">
        <v>606</v>
      </c>
      <c r="C116" s="427" t="s">
        <v>108</v>
      </c>
      <c r="D116" s="427" t="s">
        <v>23</v>
      </c>
      <c r="E116" s="427" t="s">
        <v>607</v>
      </c>
      <c r="F116" s="427" t="s">
        <v>99</v>
      </c>
      <c r="G116" s="427" t="s">
        <v>100</v>
      </c>
      <c r="H116" s="427" t="s">
        <v>608</v>
      </c>
      <c r="I116" s="427" t="s">
        <v>609</v>
      </c>
      <c r="J116" s="427" t="s">
        <v>610</v>
      </c>
      <c r="K116" s="427" t="s">
        <v>611</v>
      </c>
    </row>
    <row r="117" spans="1:11" ht="66">
      <c r="A117" s="427">
        <v>116</v>
      </c>
      <c r="B117" s="427" t="s">
        <v>238</v>
      </c>
      <c r="C117" s="427" t="s">
        <v>108</v>
      </c>
      <c r="D117" s="427" t="s">
        <v>203</v>
      </c>
      <c r="E117" s="427" t="s">
        <v>612</v>
      </c>
      <c r="F117" s="427" t="s">
        <v>110</v>
      </c>
      <c r="G117" s="427" t="s">
        <v>441</v>
      </c>
      <c r="H117" s="427" t="s">
        <v>613</v>
      </c>
      <c r="I117" s="427" t="s">
        <v>614</v>
      </c>
      <c r="J117" s="427"/>
      <c r="K117" s="427"/>
    </row>
    <row r="118" spans="1:11" ht="92.4">
      <c r="A118" s="427">
        <v>117</v>
      </c>
      <c r="B118" s="427" t="s">
        <v>190</v>
      </c>
      <c r="C118" s="427" t="s">
        <v>108</v>
      </c>
      <c r="D118" s="427" t="s">
        <v>17</v>
      </c>
      <c r="E118" s="427" t="s">
        <v>615</v>
      </c>
      <c r="F118" s="427" t="s">
        <v>100</v>
      </c>
      <c r="G118" s="427" t="s">
        <v>100</v>
      </c>
      <c r="H118" s="427" t="s">
        <v>616</v>
      </c>
      <c r="I118" s="427" t="s">
        <v>617</v>
      </c>
      <c r="J118" s="427"/>
      <c r="K118" s="427" t="s">
        <v>618</v>
      </c>
    </row>
    <row r="119" spans="1:11" ht="79.2">
      <c r="A119" s="427">
        <v>118</v>
      </c>
      <c r="B119" s="427" t="s">
        <v>503</v>
      </c>
      <c r="C119" s="427" t="s">
        <v>124</v>
      </c>
      <c r="D119" s="427" t="s">
        <v>17</v>
      </c>
      <c r="E119" s="427" t="s">
        <v>619</v>
      </c>
      <c r="F119" s="427" t="s">
        <v>100</v>
      </c>
      <c r="G119" s="427" t="s">
        <v>100</v>
      </c>
      <c r="H119" s="427" t="s">
        <v>620</v>
      </c>
      <c r="I119" s="427" t="s">
        <v>621</v>
      </c>
      <c r="J119" s="427"/>
      <c r="K119" s="427" t="s">
        <v>622</v>
      </c>
    </row>
    <row r="120" spans="1:11" ht="52.8">
      <c r="A120" s="427">
        <v>119</v>
      </c>
      <c r="B120" s="427" t="s">
        <v>623</v>
      </c>
      <c r="C120" s="427" t="s">
        <v>47</v>
      </c>
      <c r="D120" s="427" t="s">
        <v>17</v>
      </c>
      <c r="E120" s="427" t="s">
        <v>624</v>
      </c>
      <c r="F120" s="427" t="s">
        <v>100</v>
      </c>
      <c r="G120" s="427" t="s">
        <v>100</v>
      </c>
      <c r="H120" s="427" t="s">
        <v>625</v>
      </c>
      <c r="I120" s="427" t="s">
        <v>626</v>
      </c>
      <c r="J120" s="427"/>
      <c r="K120" s="427" t="s">
        <v>627</v>
      </c>
    </row>
    <row r="121" spans="1:11" ht="79.2">
      <c r="A121" s="427">
        <v>120</v>
      </c>
      <c r="B121" s="427" t="s">
        <v>628</v>
      </c>
      <c r="C121" s="427" t="s">
        <v>47</v>
      </c>
      <c r="D121" s="427" t="s">
        <v>17</v>
      </c>
      <c r="E121" s="427" t="s">
        <v>629</v>
      </c>
      <c r="F121" s="427" t="s">
        <v>100</v>
      </c>
      <c r="G121" s="427" t="s">
        <v>100</v>
      </c>
      <c r="H121" s="427" t="s">
        <v>630</v>
      </c>
      <c r="I121" s="427" t="s">
        <v>631</v>
      </c>
      <c r="J121" s="427"/>
      <c r="K121" s="427" t="s">
        <v>632</v>
      </c>
    </row>
    <row r="122" spans="1:11" ht="52.8">
      <c r="A122" s="427">
        <v>121</v>
      </c>
      <c r="B122" s="427" t="s">
        <v>628</v>
      </c>
      <c r="C122" s="427" t="s">
        <v>47</v>
      </c>
      <c r="D122" s="427" t="s">
        <v>17</v>
      </c>
      <c r="E122" s="427" t="s">
        <v>633</v>
      </c>
      <c r="F122" s="427" t="s">
        <v>100</v>
      </c>
      <c r="G122" s="427" t="s">
        <v>100</v>
      </c>
      <c r="H122" s="427" t="s">
        <v>634</v>
      </c>
      <c r="I122" s="427" t="s">
        <v>635</v>
      </c>
      <c r="J122" s="427"/>
      <c r="K122" s="427" t="s">
        <v>636</v>
      </c>
    </row>
    <row r="123" spans="1:11" ht="118.8">
      <c r="A123" s="427">
        <v>122</v>
      </c>
      <c r="B123" s="427" t="s">
        <v>628</v>
      </c>
      <c r="C123" s="427" t="s">
        <v>47</v>
      </c>
      <c r="D123" s="427" t="s">
        <v>17</v>
      </c>
      <c r="E123" s="427" t="s">
        <v>637</v>
      </c>
      <c r="F123" s="427" t="s">
        <v>100</v>
      </c>
      <c r="G123" s="427" t="s">
        <v>100</v>
      </c>
      <c r="H123" s="427" t="s">
        <v>638</v>
      </c>
      <c r="I123" s="427" t="s">
        <v>639</v>
      </c>
      <c r="J123" s="427"/>
      <c r="K123" s="427" t="s">
        <v>640</v>
      </c>
    </row>
    <row r="124" spans="1:11" ht="79.2">
      <c r="A124" s="427">
        <v>123</v>
      </c>
      <c r="B124" s="427" t="s">
        <v>628</v>
      </c>
      <c r="C124" s="427" t="s">
        <v>47</v>
      </c>
      <c r="D124" s="427" t="s">
        <v>17</v>
      </c>
      <c r="E124" s="427" t="s">
        <v>641</v>
      </c>
      <c r="F124" s="427" t="s">
        <v>100</v>
      </c>
      <c r="G124" s="427" t="s">
        <v>100</v>
      </c>
      <c r="H124" s="427" t="s">
        <v>642</v>
      </c>
      <c r="I124" s="427" t="s">
        <v>639</v>
      </c>
      <c r="J124" s="427"/>
      <c r="K124" s="427" t="s">
        <v>643</v>
      </c>
    </row>
    <row r="125" spans="1:11" ht="79.2">
      <c r="A125" s="427">
        <v>124</v>
      </c>
      <c r="B125" s="427" t="s">
        <v>644</v>
      </c>
      <c r="C125" s="427" t="s">
        <v>645</v>
      </c>
      <c r="D125" s="427" t="s">
        <v>16</v>
      </c>
      <c r="E125" s="427" t="s">
        <v>646</v>
      </c>
      <c r="F125" s="427" t="s">
        <v>110</v>
      </c>
      <c r="G125" s="427" t="s">
        <v>100</v>
      </c>
      <c r="H125" s="427" t="s">
        <v>647</v>
      </c>
      <c r="I125" s="427" t="s">
        <v>648</v>
      </c>
      <c r="J125" s="427"/>
      <c r="K125" s="427" t="s">
        <v>649</v>
      </c>
    </row>
    <row r="126" spans="1:11" ht="52.8">
      <c r="A126" s="427">
        <v>125</v>
      </c>
      <c r="B126" s="427" t="s">
        <v>149</v>
      </c>
      <c r="C126" s="427" t="s">
        <v>322</v>
      </c>
      <c r="D126" s="427" t="s">
        <v>15</v>
      </c>
      <c r="E126" s="427" t="s">
        <v>650</v>
      </c>
      <c r="F126" s="427" t="s">
        <v>62</v>
      </c>
      <c r="G126" s="427" t="s">
        <v>124</v>
      </c>
      <c r="H126" s="427" t="s">
        <v>651</v>
      </c>
      <c r="I126" s="427">
        <v>45717</v>
      </c>
      <c r="J126" s="427" t="s">
        <v>652</v>
      </c>
      <c r="K126" s="427" t="s">
        <v>653</v>
      </c>
    </row>
    <row r="127" spans="1:11" ht="53.4">
      <c r="A127" s="427">
        <v>126</v>
      </c>
      <c r="B127" s="427" t="s">
        <v>149</v>
      </c>
      <c r="C127" s="427" t="s">
        <v>322</v>
      </c>
      <c r="D127" s="427" t="s">
        <v>15</v>
      </c>
      <c r="E127" s="427" t="s">
        <v>654</v>
      </c>
      <c r="F127" s="427" t="s">
        <v>65</v>
      </c>
      <c r="G127" s="427" t="s">
        <v>124</v>
      </c>
      <c r="H127" s="427" t="s">
        <v>655</v>
      </c>
      <c r="I127" s="427">
        <v>45717</v>
      </c>
      <c r="J127" s="427">
        <v>19430647</v>
      </c>
      <c r="K127" s="427" t="s">
        <v>656</v>
      </c>
    </row>
    <row r="128" spans="1:11" ht="39.6">
      <c r="A128" s="427">
        <v>127</v>
      </c>
      <c r="B128" s="427" t="s">
        <v>185</v>
      </c>
      <c r="C128" s="427" t="s">
        <v>322</v>
      </c>
      <c r="D128" s="427" t="s">
        <v>657</v>
      </c>
      <c r="E128" s="427" t="s">
        <v>658</v>
      </c>
      <c r="F128" s="427" t="s">
        <v>100</v>
      </c>
      <c r="G128" s="427" t="s">
        <v>100</v>
      </c>
      <c r="H128" s="427" t="s">
        <v>659</v>
      </c>
      <c r="I128" s="427" t="s">
        <v>194</v>
      </c>
      <c r="J128" s="427"/>
      <c r="K128" s="427" t="s">
        <v>660</v>
      </c>
    </row>
    <row r="129" spans="1:11" ht="118.8">
      <c r="A129" s="427">
        <v>128</v>
      </c>
      <c r="B129" s="427" t="s">
        <v>661</v>
      </c>
      <c r="C129" s="427" t="s">
        <v>322</v>
      </c>
      <c r="D129" s="427" t="s">
        <v>17</v>
      </c>
      <c r="E129" s="427" t="s">
        <v>662</v>
      </c>
      <c r="F129" s="427" t="s">
        <v>100</v>
      </c>
      <c r="G129" s="427" t="s">
        <v>100</v>
      </c>
      <c r="H129" s="427" t="s">
        <v>663</v>
      </c>
      <c r="I129" s="427" t="s">
        <v>664</v>
      </c>
      <c r="J129" s="427"/>
      <c r="K129" s="427" t="s">
        <v>665</v>
      </c>
    </row>
    <row r="130" spans="1:11" ht="39.6">
      <c r="A130" s="427">
        <v>129</v>
      </c>
      <c r="B130" s="427" t="s">
        <v>666</v>
      </c>
      <c r="C130" s="427" t="s">
        <v>322</v>
      </c>
      <c r="D130" s="427" t="s">
        <v>17</v>
      </c>
      <c r="E130" s="427" t="s">
        <v>667</v>
      </c>
      <c r="F130" s="427" t="s">
        <v>99</v>
      </c>
      <c r="G130" s="427"/>
      <c r="H130" s="427" t="s">
        <v>668</v>
      </c>
      <c r="I130" s="427" t="s">
        <v>669</v>
      </c>
      <c r="J130" s="427"/>
      <c r="K130" s="427" t="s">
        <v>670</v>
      </c>
    </row>
    <row r="131" spans="1:11" ht="66">
      <c r="A131" s="427">
        <v>130</v>
      </c>
      <c r="B131" s="427" t="s">
        <v>671</v>
      </c>
      <c r="C131" s="427" t="s">
        <v>322</v>
      </c>
      <c r="D131" s="427" t="s">
        <v>17</v>
      </c>
      <c r="E131" s="427" t="s">
        <v>672</v>
      </c>
      <c r="F131" s="427" t="s">
        <v>100</v>
      </c>
      <c r="G131" s="427" t="s">
        <v>100</v>
      </c>
      <c r="H131" s="427" t="s">
        <v>673</v>
      </c>
      <c r="I131" s="427" t="s">
        <v>674</v>
      </c>
      <c r="J131" s="427"/>
      <c r="K131" s="427" t="s">
        <v>675</v>
      </c>
    </row>
    <row r="132" spans="1:11" ht="66">
      <c r="A132" s="427">
        <v>131</v>
      </c>
      <c r="B132" s="427" t="s">
        <v>671</v>
      </c>
      <c r="C132" s="427" t="s">
        <v>322</v>
      </c>
      <c r="D132" s="427" t="s">
        <v>17</v>
      </c>
      <c r="E132" s="427" t="s">
        <v>676</v>
      </c>
      <c r="F132" s="427" t="s">
        <v>100</v>
      </c>
      <c r="G132" s="427" t="s">
        <v>100</v>
      </c>
      <c r="H132" s="427" t="s">
        <v>677</v>
      </c>
      <c r="I132" s="427" t="s">
        <v>319</v>
      </c>
      <c r="J132" s="427"/>
      <c r="K132" s="427" t="s">
        <v>678</v>
      </c>
    </row>
    <row r="133" spans="1:11" ht="132">
      <c r="A133" s="427">
        <v>132</v>
      </c>
      <c r="B133" s="427" t="s">
        <v>406</v>
      </c>
      <c r="C133" s="427" t="s">
        <v>679</v>
      </c>
      <c r="D133" s="427" t="s">
        <v>16</v>
      </c>
      <c r="E133" s="427" t="s">
        <v>680</v>
      </c>
      <c r="F133" s="427" t="s">
        <v>110</v>
      </c>
      <c r="G133" s="427" t="s">
        <v>100</v>
      </c>
      <c r="H133" s="427" t="s">
        <v>681</v>
      </c>
      <c r="I133" s="427" t="s">
        <v>682</v>
      </c>
      <c r="J133" s="427"/>
      <c r="K133" s="427"/>
    </row>
    <row r="134" spans="1:11" ht="41.4">
      <c r="A134" s="427">
        <v>133</v>
      </c>
      <c r="B134" s="427" t="s">
        <v>303</v>
      </c>
      <c r="C134" s="427" t="s">
        <v>108</v>
      </c>
      <c r="D134" s="427" t="s">
        <v>15</v>
      </c>
      <c r="E134" s="427" t="s">
        <v>683</v>
      </c>
      <c r="F134" s="427" t="s">
        <v>65</v>
      </c>
      <c r="G134" s="427" t="s">
        <v>124</v>
      </c>
      <c r="H134" s="427" t="s">
        <v>684</v>
      </c>
      <c r="I134" s="427">
        <v>45717</v>
      </c>
      <c r="J134" s="427" t="s">
        <v>685</v>
      </c>
      <c r="K134" s="427" t="s">
        <v>686</v>
      </c>
    </row>
    <row r="135" spans="1:11" ht="39.6">
      <c r="A135" s="427">
        <v>134</v>
      </c>
      <c r="B135" s="427" t="s">
        <v>687</v>
      </c>
      <c r="C135" s="427" t="s">
        <v>108</v>
      </c>
      <c r="D135" s="427" t="s">
        <v>15</v>
      </c>
      <c r="E135" s="427" t="s">
        <v>688</v>
      </c>
      <c r="F135" s="427" t="s">
        <v>230</v>
      </c>
      <c r="G135" s="427" t="s">
        <v>124</v>
      </c>
      <c r="H135" s="427" t="s">
        <v>689</v>
      </c>
      <c r="I135" s="427">
        <v>45717</v>
      </c>
      <c r="J135" s="427" t="s">
        <v>690</v>
      </c>
      <c r="K135" s="427" t="s">
        <v>691</v>
      </c>
    </row>
    <row r="136" spans="1:11" ht="39.6">
      <c r="A136" s="427">
        <v>135</v>
      </c>
      <c r="B136" s="427" t="s">
        <v>149</v>
      </c>
      <c r="C136" s="427" t="s">
        <v>322</v>
      </c>
      <c r="D136" s="427" t="s">
        <v>15</v>
      </c>
      <c r="E136" s="427" t="s">
        <v>692</v>
      </c>
      <c r="F136" s="427" t="s">
        <v>230</v>
      </c>
      <c r="G136" s="427" t="s">
        <v>124</v>
      </c>
      <c r="H136" s="427" t="s">
        <v>693</v>
      </c>
      <c r="I136" s="427">
        <v>45717</v>
      </c>
      <c r="J136" s="427" t="s">
        <v>694</v>
      </c>
      <c r="K136" s="427" t="s">
        <v>695</v>
      </c>
    </row>
    <row r="137" spans="1:11" ht="26.4">
      <c r="A137" s="427">
        <v>136</v>
      </c>
      <c r="B137" s="427" t="s">
        <v>696</v>
      </c>
      <c r="C137" s="427" t="s">
        <v>108</v>
      </c>
      <c r="D137" s="427" t="s">
        <v>15</v>
      </c>
      <c r="E137" s="427" t="s">
        <v>697</v>
      </c>
      <c r="F137" s="427" t="s">
        <v>47</v>
      </c>
      <c r="G137" s="427" t="s">
        <v>164</v>
      </c>
      <c r="H137" s="427" t="s">
        <v>698</v>
      </c>
      <c r="I137" s="427">
        <v>45717</v>
      </c>
      <c r="J137" s="427"/>
      <c r="K137" s="427"/>
    </row>
    <row r="138" spans="1:11" ht="39.6">
      <c r="A138" s="427">
        <v>137</v>
      </c>
      <c r="B138" s="427" t="s">
        <v>696</v>
      </c>
      <c r="C138" s="427" t="s">
        <v>108</v>
      </c>
      <c r="D138" s="427" t="s">
        <v>15</v>
      </c>
      <c r="E138" s="427" t="s">
        <v>697</v>
      </c>
      <c r="F138" s="427" t="s">
        <v>47</v>
      </c>
      <c r="G138" s="427" t="s">
        <v>164</v>
      </c>
      <c r="H138" s="427" t="s">
        <v>699</v>
      </c>
      <c r="I138" s="427">
        <v>45717</v>
      </c>
      <c r="J138" s="427"/>
      <c r="K138" s="427"/>
    </row>
    <row r="139" spans="1:11" ht="39.6">
      <c r="A139" s="427">
        <v>138</v>
      </c>
      <c r="B139" s="427" t="s">
        <v>700</v>
      </c>
      <c r="C139" s="427" t="s">
        <v>108</v>
      </c>
      <c r="D139" s="427" t="s">
        <v>203</v>
      </c>
      <c r="E139" s="427" t="s">
        <v>701</v>
      </c>
      <c r="F139" s="427" t="s">
        <v>47</v>
      </c>
      <c r="G139" s="427" t="s">
        <v>124</v>
      </c>
      <c r="H139" s="427" t="s">
        <v>702</v>
      </c>
      <c r="I139" s="427" t="s">
        <v>703</v>
      </c>
      <c r="J139" s="427"/>
      <c r="K139" s="427"/>
    </row>
    <row r="140" spans="1:11" ht="79.2">
      <c r="A140" s="427">
        <v>139</v>
      </c>
      <c r="B140" s="427" t="s">
        <v>196</v>
      </c>
      <c r="C140" s="427" t="s">
        <v>108</v>
      </c>
      <c r="D140" s="427" t="s">
        <v>17</v>
      </c>
      <c r="E140" s="427" t="s">
        <v>704</v>
      </c>
      <c r="F140" s="427" t="s">
        <v>100</v>
      </c>
      <c r="G140" s="427" t="s">
        <v>124</v>
      </c>
      <c r="H140" s="427" t="s">
        <v>705</v>
      </c>
      <c r="I140" s="427">
        <v>45737</v>
      </c>
      <c r="J140" s="427">
        <v>18695469</v>
      </c>
      <c r="K140" s="427" t="s">
        <v>706</v>
      </c>
    </row>
    <row r="141" spans="1:11" ht="52.8">
      <c r="A141" s="427">
        <v>140</v>
      </c>
      <c r="B141" s="427" t="s">
        <v>707</v>
      </c>
      <c r="C141" s="427" t="s">
        <v>108</v>
      </c>
      <c r="D141" s="427" t="s">
        <v>23</v>
      </c>
      <c r="E141" s="427" t="s">
        <v>708</v>
      </c>
      <c r="F141" s="427" t="s">
        <v>99</v>
      </c>
      <c r="G141" s="427" t="s">
        <v>164</v>
      </c>
      <c r="H141" s="427" t="s">
        <v>709</v>
      </c>
      <c r="I141" s="427">
        <v>45627</v>
      </c>
      <c r="J141" s="427" t="s">
        <v>710</v>
      </c>
      <c r="K141" s="427"/>
    </row>
    <row r="142" spans="1:11" ht="26.4">
      <c r="A142" s="427">
        <v>141</v>
      </c>
      <c r="B142" s="427" t="s">
        <v>711</v>
      </c>
      <c r="C142" s="427" t="s">
        <v>108</v>
      </c>
      <c r="D142" s="427" t="s">
        <v>17</v>
      </c>
      <c r="E142" s="427" t="s">
        <v>712</v>
      </c>
      <c r="F142" s="427" t="s">
        <v>47</v>
      </c>
      <c r="G142" s="427" t="s">
        <v>164</v>
      </c>
      <c r="H142" s="427" t="s">
        <v>713</v>
      </c>
      <c r="I142" s="427">
        <v>45809</v>
      </c>
      <c r="J142" s="427"/>
      <c r="K142" s="427" t="s">
        <v>714</v>
      </c>
    </row>
    <row r="143" spans="1:11" ht="66">
      <c r="A143" s="427">
        <v>142</v>
      </c>
      <c r="B143" s="427" t="s">
        <v>520</v>
      </c>
      <c r="C143" s="427" t="s">
        <v>715</v>
      </c>
      <c r="D143" s="427" t="s">
        <v>24</v>
      </c>
      <c r="E143" s="427" t="s">
        <v>716</v>
      </c>
      <c r="F143" s="427" t="s">
        <v>110</v>
      </c>
      <c r="G143" s="427"/>
      <c r="H143" s="427" t="s">
        <v>717</v>
      </c>
      <c r="I143" s="427" t="s">
        <v>523</v>
      </c>
      <c r="J143" s="427"/>
      <c r="K143" s="427" t="s">
        <v>718</v>
      </c>
    </row>
    <row r="144" spans="1:11" ht="66">
      <c r="A144" s="427">
        <v>143</v>
      </c>
      <c r="B144" s="427" t="s">
        <v>719</v>
      </c>
      <c r="C144" s="427" t="s">
        <v>108</v>
      </c>
      <c r="D144" s="427" t="s">
        <v>24</v>
      </c>
      <c r="E144" s="427" t="s">
        <v>720</v>
      </c>
      <c r="F144" s="427" t="s">
        <v>110</v>
      </c>
      <c r="G144" s="427"/>
      <c r="H144" s="427" t="s">
        <v>721</v>
      </c>
      <c r="I144" s="427" t="s">
        <v>639</v>
      </c>
      <c r="J144" s="427"/>
      <c r="K144" s="427" t="s">
        <v>722</v>
      </c>
    </row>
    <row r="145" spans="1:11" ht="66">
      <c r="A145" s="427">
        <v>144</v>
      </c>
      <c r="B145" s="427" t="s">
        <v>234</v>
      </c>
      <c r="C145" s="427"/>
      <c r="D145" s="427" t="s">
        <v>24</v>
      </c>
      <c r="E145" s="427" t="s">
        <v>723</v>
      </c>
      <c r="F145" s="427" t="s">
        <v>110</v>
      </c>
      <c r="G145" s="427"/>
      <c r="H145" s="427" t="s">
        <v>724</v>
      </c>
      <c r="I145" s="427" t="s">
        <v>194</v>
      </c>
      <c r="J145" s="427"/>
      <c r="K145" s="427" t="s">
        <v>725</v>
      </c>
    </row>
    <row r="146" spans="1:11" ht="52.8">
      <c r="A146" s="427">
        <v>145</v>
      </c>
      <c r="B146" s="427" t="s">
        <v>661</v>
      </c>
      <c r="C146" s="427" t="s">
        <v>108</v>
      </c>
      <c r="D146" s="427" t="s">
        <v>17</v>
      </c>
      <c r="E146" s="427" t="s">
        <v>726</v>
      </c>
      <c r="F146" s="427" t="s">
        <v>47</v>
      </c>
      <c r="G146" s="427" t="s">
        <v>47</v>
      </c>
      <c r="H146" s="427" t="s">
        <v>727</v>
      </c>
      <c r="I146" s="427" t="s">
        <v>728</v>
      </c>
      <c r="J146" s="427" t="s">
        <v>47</v>
      </c>
      <c r="K146" s="427" t="s">
        <v>729</v>
      </c>
    </row>
    <row r="147" spans="1:11" ht="92.4">
      <c r="A147" s="427">
        <v>146</v>
      </c>
      <c r="B147" s="427" t="s">
        <v>730</v>
      </c>
      <c r="C147" s="427" t="s">
        <v>108</v>
      </c>
      <c r="D147" s="427" t="s">
        <v>16</v>
      </c>
      <c r="E147" s="427" t="s">
        <v>731</v>
      </c>
      <c r="F147" s="427" t="s">
        <v>110</v>
      </c>
      <c r="G147" s="427" t="s">
        <v>100</v>
      </c>
      <c r="H147" s="427" t="s">
        <v>732</v>
      </c>
      <c r="I147" s="427" t="s">
        <v>733</v>
      </c>
      <c r="J147" s="427"/>
      <c r="K147" s="427"/>
    </row>
    <row r="148" spans="1:11" ht="79.2">
      <c r="A148" s="427">
        <v>147</v>
      </c>
      <c r="B148" s="427" t="s">
        <v>426</v>
      </c>
      <c r="C148" s="427" t="s">
        <v>734</v>
      </c>
      <c r="D148" s="427" t="s">
        <v>16</v>
      </c>
      <c r="E148" s="427" t="s">
        <v>735</v>
      </c>
      <c r="F148" s="427" t="s">
        <v>110</v>
      </c>
      <c r="G148" s="427" t="s">
        <v>100</v>
      </c>
      <c r="H148" s="427" t="s">
        <v>736</v>
      </c>
      <c r="I148" s="427" t="s">
        <v>737</v>
      </c>
      <c r="J148" s="427"/>
      <c r="K148" s="427"/>
    </row>
    <row r="149" spans="1:11" ht="105.6">
      <c r="A149" s="427">
        <v>148</v>
      </c>
      <c r="B149" s="427" t="s">
        <v>439</v>
      </c>
      <c r="C149" s="427" t="s">
        <v>738</v>
      </c>
      <c r="D149" s="427" t="s">
        <v>16</v>
      </c>
      <c r="E149" s="427" t="s">
        <v>739</v>
      </c>
      <c r="F149" s="427" t="s">
        <v>110</v>
      </c>
      <c r="G149" s="427" t="s">
        <v>100</v>
      </c>
      <c r="H149" s="427" t="s">
        <v>740</v>
      </c>
      <c r="I149" s="427" t="s">
        <v>741</v>
      </c>
      <c r="J149" s="427"/>
      <c r="K149" s="427"/>
    </row>
    <row r="150" spans="1:11" ht="66">
      <c r="A150" s="427">
        <v>149</v>
      </c>
      <c r="B150" s="427" t="s">
        <v>742</v>
      </c>
      <c r="C150" s="427" t="s">
        <v>322</v>
      </c>
      <c r="D150" s="427" t="s">
        <v>21</v>
      </c>
      <c r="E150" s="427" t="s">
        <v>743</v>
      </c>
      <c r="F150" s="427" t="s">
        <v>230</v>
      </c>
      <c r="G150" s="427" t="s">
        <v>100</v>
      </c>
      <c r="H150" s="427" t="s">
        <v>744</v>
      </c>
      <c r="I150" s="427" t="s">
        <v>745</v>
      </c>
      <c r="J150" s="427"/>
      <c r="K150" s="427"/>
    </row>
    <row r="151" spans="1:11" ht="66">
      <c r="A151" s="427">
        <v>150</v>
      </c>
      <c r="B151" s="427" t="s">
        <v>746</v>
      </c>
      <c r="C151" s="427" t="s">
        <v>47</v>
      </c>
      <c r="D151" s="427" t="s">
        <v>17</v>
      </c>
      <c r="E151" s="427" t="s">
        <v>747</v>
      </c>
      <c r="F151" s="427" t="s">
        <v>47</v>
      </c>
      <c r="G151" s="427" t="s">
        <v>47</v>
      </c>
      <c r="H151" s="427" t="s">
        <v>748</v>
      </c>
      <c r="I151" s="427" t="s">
        <v>639</v>
      </c>
      <c r="J151" s="427" t="s">
        <v>47</v>
      </c>
      <c r="K151" s="427" t="s">
        <v>749</v>
      </c>
    </row>
    <row r="152" spans="1:11" ht="79.2">
      <c r="A152" s="427">
        <v>151</v>
      </c>
      <c r="B152" s="427" t="s">
        <v>750</v>
      </c>
      <c r="C152" s="427" t="s">
        <v>124</v>
      </c>
      <c r="D152" s="427" t="s">
        <v>17</v>
      </c>
      <c r="E152" s="427" t="s">
        <v>751</v>
      </c>
      <c r="F152" s="427" t="s">
        <v>47</v>
      </c>
      <c r="G152" s="427" t="s">
        <v>47</v>
      </c>
      <c r="H152" s="427" t="s">
        <v>752</v>
      </c>
      <c r="I152" s="427" t="s">
        <v>216</v>
      </c>
      <c r="J152" s="427"/>
      <c r="K152" s="427" t="s">
        <v>753</v>
      </c>
    </row>
    <row r="153" spans="1:11" ht="79.2">
      <c r="A153" s="427">
        <v>152</v>
      </c>
      <c r="B153" s="427" t="s">
        <v>754</v>
      </c>
      <c r="C153" s="427" t="s">
        <v>124</v>
      </c>
      <c r="D153" s="427" t="s">
        <v>17</v>
      </c>
      <c r="E153" s="427" t="s">
        <v>751</v>
      </c>
      <c r="F153" s="427" t="s">
        <v>47</v>
      </c>
      <c r="G153" s="427" t="s">
        <v>47</v>
      </c>
      <c r="H153" s="427" t="s">
        <v>755</v>
      </c>
      <c r="I153" s="427" t="s">
        <v>216</v>
      </c>
      <c r="J153" s="427"/>
      <c r="K153" s="427" t="s">
        <v>756</v>
      </c>
    </row>
    <row r="154" spans="1:11" ht="79.2">
      <c r="A154" s="427">
        <v>153</v>
      </c>
      <c r="B154" s="427" t="s">
        <v>757</v>
      </c>
      <c r="C154" s="427" t="s">
        <v>156</v>
      </c>
      <c r="D154" s="427" t="s">
        <v>17</v>
      </c>
      <c r="E154" s="427" t="s">
        <v>751</v>
      </c>
      <c r="F154" s="427" t="s">
        <v>47</v>
      </c>
      <c r="G154" s="427" t="s">
        <v>47</v>
      </c>
      <c r="H154" s="427" t="s">
        <v>758</v>
      </c>
      <c r="I154" s="427" t="s">
        <v>759</v>
      </c>
      <c r="J154" s="427"/>
      <c r="K154" s="427" t="s">
        <v>760</v>
      </c>
    </row>
    <row r="155" spans="1:11" ht="66">
      <c r="A155" s="427">
        <v>154</v>
      </c>
      <c r="B155" s="427" t="s">
        <v>761</v>
      </c>
      <c r="C155" s="427" t="s">
        <v>164</v>
      </c>
      <c r="D155" s="427" t="s">
        <v>17</v>
      </c>
      <c r="E155" s="427" t="s">
        <v>762</v>
      </c>
      <c r="F155" s="427"/>
      <c r="G155" s="427"/>
      <c r="H155" s="427" t="s">
        <v>763</v>
      </c>
      <c r="I155" s="427" t="s">
        <v>764</v>
      </c>
      <c r="J155" s="427" t="s">
        <v>765</v>
      </c>
      <c r="K155" s="427" t="s">
        <v>766</v>
      </c>
    </row>
    <row r="156" spans="1:11" ht="26.4">
      <c r="A156" s="427">
        <v>155</v>
      </c>
      <c r="B156" s="427" t="s">
        <v>767</v>
      </c>
      <c r="C156" s="427" t="s">
        <v>108</v>
      </c>
      <c r="D156" s="427" t="s">
        <v>15</v>
      </c>
      <c r="E156" s="427" t="s">
        <v>768</v>
      </c>
      <c r="F156" s="427"/>
      <c r="G156" s="427" t="s">
        <v>164</v>
      </c>
      <c r="H156" s="427" t="s">
        <v>769</v>
      </c>
      <c r="I156" s="427"/>
      <c r="J156" s="427"/>
      <c r="K156" s="427"/>
    </row>
    <row r="157" spans="1:11" ht="39.6">
      <c r="A157" s="427">
        <v>156</v>
      </c>
      <c r="B157" s="427" t="s">
        <v>149</v>
      </c>
      <c r="C157" s="427" t="s">
        <v>108</v>
      </c>
      <c r="D157" s="427" t="s">
        <v>15</v>
      </c>
      <c r="E157" s="427" t="s">
        <v>770</v>
      </c>
      <c r="F157" s="427" t="s">
        <v>65</v>
      </c>
      <c r="G157" s="427" t="s">
        <v>124</v>
      </c>
      <c r="H157" s="427" t="s">
        <v>771</v>
      </c>
      <c r="I157" s="427">
        <v>45778</v>
      </c>
      <c r="J157" s="427" t="s">
        <v>772</v>
      </c>
      <c r="K157" s="427" t="s">
        <v>773</v>
      </c>
    </row>
    <row r="158" spans="1:11" ht="52.8">
      <c r="A158" s="427">
        <v>157</v>
      </c>
      <c r="B158" s="427" t="s">
        <v>149</v>
      </c>
      <c r="C158" s="427" t="s">
        <v>108</v>
      </c>
      <c r="D158" s="427" t="s">
        <v>15</v>
      </c>
      <c r="E158" s="427" t="s">
        <v>774</v>
      </c>
      <c r="F158" s="427" t="s">
        <v>62</v>
      </c>
      <c r="G158" s="427" t="s">
        <v>124</v>
      </c>
      <c r="H158" s="427" t="s">
        <v>775</v>
      </c>
      <c r="I158" s="427">
        <v>45748</v>
      </c>
      <c r="J158" s="427" t="s">
        <v>776</v>
      </c>
      <c r="K158" s="427" t="s">
        <v>777</v>
      </c>
    </row>
    <row r="159" spans="1:11" ht="66">
      <c r="A159" s="427">
        <v>158</v>
      </c>
      <c r="B159" s="427" t="s">
        <v>696</v>
      </c>
      <c r="C159" s="427" t="s">
        <v>108</v>
      </c>
      <c r="D159" s="427" t="s">
        <v>15</v>
      </c>
      <c r="E159" s="427" t="s">
        <v>768</v>
      </c>
      <c r="F159" s="427" t="s">
        <v>100</v>
      </c>
      <c r="G159" s="427" t="s">
        <v>164</v>
      </c>
      <c r="H159" s="427" t="s">
        <v>778</v>
      </c>
      <c r="I159" s="427">
        <v>45778</v>
      </c>
      <c r="J159" s="427" t="s">
        <v>47</v>
      </c>
      <c r="K159" s="427" t="s">
        <v>47</v>
      </c>
    </row>
    <row r="160" spans="1:11" ht="66">
      <c r="A160" s="427">
        <v>159</v>
      </c>
      <c r="B160" s="427" t="s">
        <v>565</v>
      </c>
      <c r="C160" s="427" t="s">
        <v>322</v>
      </c>
      <c r="D160" s="427" t="s">
        <v>15</v>
      </c>
      <c r="E160" s="427" t="s">
        <v>779</v>
      </c>
      <c r="F160" s="427" t="s">
        <v>100</v>
      </c>
      <c r="G160" s="427" t="s">
        <v>567</v>
      </c>
      <c r="H160" s="427" t="s">
        <v>780</v>
      </c>
      <c r="I160" s="427" t="s">
        <v>569</v>
      </c>
      <c r="J160" s="427"/>
      <c r="K160" s="427"/>
    </row>
    <row r="161" spans="1:11" ht="39.6">
      <c r="A161" s="427">
        <v>160</v>
      </c>
      <c r="B161" s="427" t="s">
        <v>149</v>
      </c>
      <c r="C161" s="427" t="s">
        <v>108</v>
      </c>
      <c r="D161" s="427" t="s">
        <v>15</v>
      </c>
      <c r="E161" s="427" t="s">
        <v>781</v>
      </c>
      <c r="F161" s="427" t="s">
        <v>62</v>
      </c>
      <c r="G161" s="427" t="s">
        <v>124</v>
      </c>
      <c r="H161" s="427" t="s">
        <v>782</v>
      </c>
      <c r="I161" s="427">
        <v>45778</v>
      </c>
      <c r="J161" s="427" t="s">
        <v>783</v>
      </c>
      <c r="K161" s="427" t="s">
        <v>784</v>
      </c>
    </row>
    <row r="162" spans="1:11" ht="92.4">
      <c r="A162" s="427">
        <v>161</v>
      </c>
      <c r="B162" s="427" t="s">
        <v>298</v>
      </c>
      <c r="C162" s="427" t="s">
        <v>124</v>
      </c>
      <c r="D162" s="427" t="s">
        <v>17</v>
      </c>
      <c r="E162" s="427" t="s">
        <v>785</v>
      </c>
      <c r="F162" s="427" t="s">
        <v>100</v>
      </c>
      <c r="G162" s="427" t="s">
        <v>164</v>
      </c>
      <c r="H162" s="427" t="s">
        <v>786</v>
      </c>
      <c r="I162" s="427" t="s">
        <v>787</v>
      </c>
      <c r="J162" s="427"/>
      <c r="K162" s="427" t="s">
        <v>788</v>
      </c>
    </row>
    <row r="163" spans="1:11" ht="39.6">
      <c r="A163" s="427">
        <v>162</v>
      </c>
      <c r="B163" s="427" t="s">
        <v>298</v>
      </c>
      <c r="C163" s="427" t="s">
        <v>164</v>
      </c>
      <c r="D163" s="427" t="s">
        <v>17</v>
      </c>
      <c r="E163" s="427" t="s">
        <v>789</v>
      </c>
      <c r="F163" s="427" t="s">
        <v>100</v>
      </c>
      <c r="G163" s="427" t="s">
        <v>164</v>
      </c>
      <c r="H163" s="427" t="s">
        <v>790</v>
      </c>
      <c r="I163" s="427" t="s">
        <v>791</v>
      </c>
      <c r="J163" s="427"/>
      <c r="K163" s="427" t="s">
        <v>792</v>
      </c>
    </row>
    <row r="164" spans="1:11" ht="39.6">
      <c r="A164" s="427">
        <v>163</v>
      </c>
      <c r="B164" s="427" t="s">
        <v>793</v>
      </c>
      <c r="C164" s="427" t="s">
        <v>164</v>
      </c>
      <c r="D164" s="427" t="s">
        <v>17</v>
      </c>
      <c r="E164" s="427" t="s">
        <v>794</v>
      </c>
      <c r="F164" s="427" t="s">
        <v>100</v>
      </c>
      <c r="G164" s="427" t="s">
        <v>124</v>
      </c>
      <c r="H164" s="427" t="s">
        <v>795</v>
      </c>
      <c r="I164" s="427" t="s">
        <v>791</v>
      </c>
      <c r="J164" s="427"/>
      <c r="K164" s="427" t="s">
        <v>796</v>
      </c>
    </row>
    <row r="165" spans="1:11" ht="92.4">
      <c r="A165" s="427">
        <v>164</v>
      </c>
      <c r="B165" s="427" t="s">
        <v>797</v>
      </c>
      <c r="C165" s="427" t="s">
        <v>164</v>
      </c>
      <c r="D165" s="427" t="s">
        <v>18</v>
      </c>
      <c r="E165" s="427" t="s">
        <v>798</v>
      </c>
      <c r="F165" s="427" t="s">
        <v>100</v>
      </c>
      <c r="G165" s="427" t="s">
        <v>164</v>
      </c>
      <c r="H165" s="427" t="s">
        <v>799</v>
      </c>
      <c r="I165" s="427" t="s">
        <v>800</v>
      </c>
      <c r="J165" s="427"/>
      <c r="K165" s="427"/>
    </row>
    <row r="166" spans="1:11" ht="92.4">
      <c r="A166" s="427">
        <v>165</v>
      </c>
      <c r="B166" s="427" t="s">
        <v>797</v>
      </c>
      <c r="C166" s="427" t="s">
        <v>164</v>
      </c>
      <c r="D166" s="427" t="s">
        <v>18</v>
      </c>
      <c r="E166" s="427" t="s">
        <v>798</v>
      </c>
      <c r="F166" s="427" t="s">
        <v>100</v>
      </c>
      <c r="G166" s="427" t="s">
        <v>164</v>
      </c>
      <c r="H166" s="427" t="s">
        <v>801</v>
      </c>
      <c r="I166" s="427" t="s">
        <v>800</v>
      </c>
      <c r="J166" s="427"/>
      <c r="K166" s="427"/>
    </row>
    <row r="167" spans="1:11" ht="66">
      <c r="A167" s="427">
        <v>166</v>
      </c>
      <c r="B167" s="427" t="s">
        <v>217</v>
      </c>
      <c r="C167" s="427" t="s">
        <v>100</v>
      </c>
      <c r="D167" s="427" t="s">
        <v>18</v>
      </c>
      <c r="E167" s="427" t="s">
        <v>802</v>
      </c>
      <c r="F167" s="427" t="s">
        <v>100</v>
      </c>
      <c r="G167" s="427" t="s">
        <v>164</v>
      </c>
      <c r="H167" s="427" t="s">
        <v>803</v>
      </c>
      <c r="I167" s="427" t="s">
        <v>804</v>
      </c>
      <c r="J167" s="427"/>
      <c r="K167" s="427"/>
    </row>
    <row r="168" spans="1:11" ht="62.4">
      <c r="A168" s="427">
        <v>167</v>
      </c>
      <c r="B168" s="427" t="s">
        <v>805</v>
      </c>
      <c r="C168" s="427" t="s">
        <v>100</v>
      </c>
      <c r="D168" s="427" t="s">
        <v>25</v>
      </c>
      <c r="E168" s="427" t="s">
        <v>806</v>
      </c>
      <c r="F168" s="427" t="s">
        <v>100</v>
      </c>
      <c r="G168" s="427" t="s">
        <v>164</v>
      </c>
      <c r="H168" s="427" t="s">
        <v>807</v>
      </c>
      <c r="I168" s="427" t="s">
        <v>808</v>
      </c>
      <c r="J168" s="427" t="s">
        <v>809</v>
      </c>
      <c r="K168" s="427" t="s">
        <v>810</v>
      </c>
    </row>
    <row r="169" spans="1:11" ht="39.6">
      <c r="A169" s="427">
        <v>168</v>
      </c>
      <c r="B169" s="427" t="s">
        <v>805</v>
      </c>
      <c r="C169" s="427" t="s">
        <v>100</v>
      </c>
      <c r="D169" s="427" t="s">
        <v>25</v>
      </c>
      <c r="E169" s="427" t="s">
        <v>811</v>
      </c>
      <c r="F169" s="427" t="s">
        <v>99</v>
      </c>
      <c r="G169" s="427" t="s">
        <v>156</v>
      </c>
      <c r="H169" s="427" t="s">
        <v>812</v>
      </c>
      <c r="I169" s="427" t="s">
        <v>813</v>
      </c>
      <c r="J169" s="427" t="s">
        <v>814</v>
      </c>
      <c r="K169" s="427" t="s">
        <v>815</v>
      </c>
    </row>
    <row r="170" spans="1:11" ht="39.6">
      <c r="A170" s="427">
        <v>169</v>
      </c>
      <c r="B170" s="427" t="s">
        <v>816</v>
      </c>
      <c r="C170" s="427" t="s">
        <v>100</v>
      </c>
      <c r="D170" s="427" t="s">
        <v>25</v>
      </c>
      <c r="E170" s="427" t="s">
        <v>806</v>
      </c>
      <c r="F170" s="427" t="s">
        <v>100</v>
      </c>
      <c r="G170" s="427" t="s">
        <v>164</v>
      </c>
      <c r="H170" s="427" t="s">
        <v>817</v>
      </c>
      <c r="I170" s="427" t="s">
        <v>818</v>
      </c>
      <c r="J170" s="427" t="s">
        <v>819</v>
      </c>
      <c r="K170" s="427" t="s">
        <v>820</v>
      </c>
    </row>
    <row r="171" spans="1:11" ht="26.4">
      <c r="A171" s="427">
        <v>170</v>
      </c>
      <c r="B171" s="427" t="s">
        <v>816</v>
      </c>
      <c r="C171" s="427" t="s">
        <v>100</v>
      </c>
      <c r="D171" s="427" t="s">
        <v>25</v>
      </c>
      <c r="E171" s="427" t="s">
        <v>821</v>
      </c>
      <c r="F171" s="427" t="s">
        <v>822</v>
      </c>
      <c r="G171" s="427" t="s">
        <v>340</v>
      </c>
      <c r="H171" s="427" t="s">
        <v>823</v>
      </c>
      <c r="I171" s="427" t="s">
        <v>824</v>
      </c>
      <c r="J171" s="427"/>
      <c r="K171" s="427"/>
    </row>
    <row r="172" spans="1:11" ht="52.8">
      <c r="A172" s="427">
        <v>171</v>
      </c>
      <c r="B172" s="427" t="s">
        <v>825</v>
      </c>
      <c r="C172" s="427" t="s">
        <v>100</v>
      </c>
      <c r="D172" s="427" t="s">
        <v>25</v>
      </c>
      <c r="E172" s="427" t="s">
        <v>826</v>
      </c>
      <c r="F172" s="427" t="s">
        <v>62</v>
      </c>
      <c r="G172" s="427" t="s">
        <v>124</v>
      </c>
      <c r="H172" s="427" t="s">
        <v>827</v>
      </c>
      <c r="I172" s="427" t="s">
        <v>828</v>
      </c>
      <c r="J172" s="427" t="s">
        <v>829</v>
      </c>
      <c r="K172" s="427" t="s">
        <v>829</v>
      </c>
    </row>
    <row r="173" spans="1:11" ht="52.8">
      <c r="A173" s="427">
        <v>172</v>
      </c>
      <c r="B173" s="427" t="s">
        <v>825</v>
      </c>
      <c r="C173" s="427" t="s">
        <v>100</v>
      </c>
      <c r="D173" s="427" t="s">
        <v>25</v>
      </c>
      <c r="E173" s="427" t="s">
        <v>806</v>
      </c>
      <c r="F173" s="427" t="s">
        <v>100</v>
      </c>
      <c r="G173" s="427" t="s">
        <v>156</v>
      </c>
      <c r="H173" s="427" t="s">
        <v>830</v>
      </c>
      <c r="I173" s="427" t="s">
        <v>831</v>
      </c>
      <c r="J173" s="427" t="s">
        <v>832</v>
      </c>
      <c r="K173" s="427"/>
    </row>
    <row r="174" spans="1:11" ht="39.6">
      <c r="A174" s="427">
        <v>173</v>
      </c>
      <c r="B174" s="427" t="s">
        <v>816</v>
      </c>
      <c r="C174" s="427" t="s">
        <v>100</v>
      </c>
      <c r="D174" s="427" t="s">
        <v>25</v>
      </c>
      <c r="E174" s="427" t="s">
        <v>467</v>
      </c>
      <c r="F174" s="427" t="s">
        <v>822</v>
      </c>
      <c r="G174" s="427" t="s">
        <v>340</v>
      </c>
      <c r="H174" s="427" t="s">
        <v>833</v>
      </c>
      <c r="I174" s="427" t="s">
        <v>831</v>
      </c>
      <c r="J174" s="427"/>
      <c r="K174" s="427" t="s">
        <v>834</v>
      </c>
    </row>
    <row r="175" spans="1:11" ht="26.4">
      <c r="A175" s="427">
        <v>174</v>
      </c>
      <c r="B175" s="427" t="s">
        <v>825</v>
      </c>
      <c r="C175" s="427" t="s">
        <v>100</v>
      </c>
      <c r="D175" s="427" t="s">
        <v>25</v>
      </c>
      <c r="E175" s="427" t="s">
        <v>821</v>
      </c>
      <c r="F175" s="427" t="s">
        <v>822</v>
      </c>
      <c r="G175" s="427" t="s">
        <v>340</v>
      </c>
      <c r="H175" s="427" t="s">
        <v>823</v>
      </c>
      <c r="I175" s="427" t="s">
        <v>824</v>
      </c>
      <c r="J175" s="427"/>
      <c r="K175" s="427"/>
    </row>
    <row r="176" spans="1:11" ht="39.6">
      <c r="A176" s="427">
        <v>175</v>
      </c>
      <c r="B176" s="427" t="s">
        <v>816</v>
      </c>
      <c r="C176" s="427" t="s">
        <v>100</v>
      </c>
      <c r="D176" s="427" t="s">
        <v>25</v>
      </c>
      <c r="E176" s="427" t="s">
        <v>806</v>
      </c>
      <c r="F176" s="427" t="s">
        <v>100</v>
      </c>
      <c r="G176" s="427" t="s">
        <v>156</v>
      </c>
      <c r="H176" s="427" t="s">
        <v>835</v>
      </c>
      <c r="I176" s="427" t="s">
        <v>831</v>
      </c>
      <c r="J176" s="427"/>
      <c r="K176" s="427" t="s">
        <v>834</v>
      </c>
    </row>
    <row r="177" spans="1:11" ht="66">
      <c r="A177" s="427">
        <v>176</v>
      </c>
      <c r="B177" s="427" t="s">
        <v>836</v>
      </c>
      <c r="C177" s="427" t="s">
        <v>407</v>
      </c>
      <c r="D177" s="427" t="s">
        <v>16</v>
      </c>
      <c r="E177" s="427" t="s">
        <v>837</v>
      </c>
      <c r="F177" s="427" t="s">
        <v>110</v>
      </c>
      <c r="G177" s="427" t="s">
        <v>100</v>
      </c>
      <c r="H177" s="427" t="s">
        <v>838</v>
      </c>
      <c r="I177" s="427" t="s">
        <v>839</v>
      </c>
      <c r="J177" s="427"/>
      <c r="K177" s="427"/>
    </row>
    <row r="178" spans="1:11" ht="79.2">
      <c r="A178" s="427">
        <v>177</v>
      </c>
      <c r="B178" s="427" t="s">
        <v>840</v>
      </c>
      <c r="C178" s="427" t="s">
        <v>841</v>
      </c>
      <c r="D178" s="427" t="s">
        <v>16</v>
      </c>
      <c r="E178" s="427" t="s">
        <v>842</v>
      </c>
      <c r="F178" s="427" t="s">
        <v>110</v>
      </c>
      <c r="G178" s="427" t="s">
        <v>100</v>
      </c>
      <c r="H178" s="427" t="s">
        <v>843</v>
      </c>
      <c r="I178" s="427" t="s">
        <v>844</v>
      </c>
      <c r="J178" s="427"/>
      <c r="K178" s="427"/>
    </row>
    <row r="179" spans="1:11" ht="92.4">
      <c r="A179" s="427">
        <v>178</v>
      </c>
      <c r="B179" s="427" t="s">
        <v>357</v>
      </c>
      <c r="C179" s="427" t="s">
        <v>845</v>
      </c>
      <c r="D179" s="427" t="s">
        <v>16</v>
      </c>
      <c r="E179" s="427" t="s">
        <v>846</v>
      </c>
      <c r="F179" s="427" t="s">
        <v>110</v>
      </c>
      <c r="G179" s="427" t="s">
        <v>100</v>
      </c>
      <c r="H179" s="427" t="s">
        <v>847</v>
      </c>
      <c r="I179" s="427" t="s">
        <v>844</v>
      </c>
      <c r="J179" s="427"/>
      <c r="K179" s="427"/>
    </row>
    <row r="180" spans="1:11" ht="92.4">
      <c r="A180" s="427">
        <v>179</v>
      </c>
      <c r="B180" s="427" t="s">
        <v>848</v>
      </c>
      <c r="C180" s="427" t="s">
        <v>407</v>
      </c>
      <c r="D180" s="427" t="s">
        <v>16</v>
      </c>
      <c r="E180" s="427" t="s">
        <v>849</v>
      </c>
      <c r="F180" s="427" t="s">
        <v>110</v>
      </c>
      <c r="G180" s="427" t="s">
        <v>100</v>
      </c>
      <c r="H180" s="427" t="s">
        <v>850</v>
      </c>
      <c r="I180" s="427" t="s">
        <v>851</v>
      </c>
      <c r="J180" s="427"/>
      <c r="K180" s="427"/>
    </row>
    <row r="181" spans="1:11" ht="105.6">
      <c r="A181" s="427">
        <v>180</v>
      </c>
      <c r="B181" s="427" t="s">
        <v>852</v>
      </c>
      <c r="C181" s="427" t="s">
        <v>407</v>
      </c>
      <c r="D181" s="427" t="s">
        <v>16</v>
      </c>
      <c r="E181" s="427" t="s">
        <v>853</v>
      </c>
      <c r="F181" s="427" t="s">
        <v>110</v>
      </c>
      <c r="G181" s="427" t="s">
        <v>100</v>
      </c>
      <c r="H181" s="427" t="s">
        <v>854</v>
      </c>
      <c r="I181" s="427" t="s">
        <v>855</v>
      </c>
      <c r="J181" s="427"/>
      <c r="K181" s="427"/>
    </row>
    <row r="182" spans="1:11" ht="105.6">
      <c r="A182" s="427">
        <v>181</v>
      </c>
      <c r="B182" s="427" t="s">
        <v>852</v>
      </c>
      <c r="C182" s="427" t="s">
        <v>407</v>
      </c>
      <c r="D182" s="427" t="s">
        <v>16</v>
      </c>
      <c r="E182" s="427" t="s">
        <v>853</v>
      </c>
      <c r="F182" s="427" t="s">
        <v>110</v>
      </c>
      <c r="G182" s="427" t="s">
        <v>100</v>
      </c>
      <c r="H182" s="427" t="s">
        <v>856</v>
      </c>
      <c r="I182" s="427" t="s">
        <v>857</v>
      </c>
      <c r="J182" s="427"/>
      <c r="K182" s="427"/>
    </row>
    <row r="183" spans="1:11" ht="79.2">
      <c r="A183" s="427">
        <v>182</v>
      </c>
      <c r="B183" s="427" t="s">
        <v>852</v>
      </c>
      <c r="C183" s="427" t="s">
        <v>858</v>
      </c>
      <c r="D183" s="427" t="s">
        <v>16</v>
      </c>
      <c r="E183" s="427" t="s">
        <v>859</v>
      </c>
      <c r="F183" s="427" t="s">
        <v>110</v>
      </c>
      <c r="G183" s="427" t="s">
        <v>100</v>
      </c>
      <c r="H183" s="427" t="s">
        <v>860</v>
      </c>
      <c r="I183" s="427" t="s">
        <v>861</v>
      </c>
      <c r="J183" s="427"/>
      <c r="K183" s="427"/>
    </row>
    <row r="184" spans="1:11" ht="105.6">
      <c r="A184" s="427">
        <v>183</v>
      </c>
      <c r="B184" s="427" t="s">
        <v>836</v>
      </c>
      <c r="C184" s="427" t="s">
        <v>862</v>
      </c>
      <c r="D184" s="427" t="s">
        <v>16</v>
      </c>
      <c r="E184" s="427" t="s">
        <v>863</v>
      </c>
      <c r="F184" s="427" t="s">
        <v>110</v>
      </c>
      <c r="G184" s="427" t="s">
        <v>100</v>
      </c>
      <c r="H184" s="427" t="s">
        <v>864</v>
      </c>
      <c r="I184" s="427" t="s">
        <v>865</v>
      </c>
      <c r="J184" s="427"/>
      <c r="K184" s="427"/>
    </row>
    <row r="185" spans="1:11" ht="105.6">
      <c r="A185" s="427">
        <v>184</v>
      </c>
      <c r="B185" s="427" t="s">
        <v>866</v>
      </c>
      <c r="C185" s="427" t="s">
        <v>867</v>
      </c>
      <c r="D185" s="427" t="s">
        <v>16</v>
      </c>
      <c r="E185" s="427" t="s">
        <v>863</v>
      </c>
      <c r="F185" s="427" t="s">
        <v>110</v>
      </c>
      <c r="G185" s="427" t="s">
        <v>100</v>
      </c>
      <c r="H185" s="427" t="s">
        <v>868</v>
      </c>
      <c r="I185" s="427" t="s">
        <v>869</v>
      </c>
      <c r="J185" s="427"/>
      <c r="K185" s="427"/>
    </row>
    <row r="186" spans="1:11" ht="66">
      <c r="A186" s="427">
        <v>185</v>
      </c>
      <c r="B186" s="427" t="s">
        <v>360</v>
      </c>
      <c r="C186" s="427" t="s">
        <v>407</v>
      </c>
      <c r="D186" s="427" t="s">
        <v>16</v>
      </c>
      <c r="E186" s="427" t="s">
        <v>870</v>
      </c>
      <c r="F186" s="427" t="s">
        <v>99</v>
      </c>
      <c r="G186" s="427" t="s">
        <v>100</v>
      </c>
      <c r="H186" s="427" t="s">
        <v>871</v>
      </c>
      <c r="I186" s="427" t="s">
        <v>541</v>
      </c>
      <c r="J186" s="427"/>
      <c r="K186" s="427"/>
    </row>
    <row r="187" spans="1:11" ht="92.4">
      <c r="A187" s="427">
        <v>186</v>
      </c>
      <c r="B187" s="427" t="s">
        <v>872</v>
      </c>
      <c r="C187" s="427" t="s">
        <v>340</v>
      </c>
      <c r="D187" s="427" t="s">
        <v>17</v>
      </c>
      <c r="E187" s="427" t="s">
        <v>873</v>
      </c>
      <c r="F187" s="427" t="s">
        <v>110</v>
      </c>
      <c r="G187" s="427" t="s">
        <v>100</v>
      </c>
      <c r="H187" s="427" t="s">
        <v>874</v>
      </c>
      <c r="I187" s="427" t="s">
        <v>875</v>
      </c>
      <c r="J187" s="427"/>
      <c r="K187" s="427" t="s">
        <v>876</v>
      </c>
    </row>
    <row r="188" spans="1:11" ht="52.8">
      <c r="A188" s="427">
        <v>187</v>
      </c>
      <c r="B188" s="427" t="s">
        <v>248</v>
      </c>
      <c r="C188" s="427" t="s">
        <v>877</v>
      </c>
      <c r="D188" s="427" t="s">
        <v>16</v>
      </c>
      <c r="E188" s="427" t="s">
        <v>878</v>
      </c>
      <c r="F188" s="427" t="s">
        <v>879</v>
      </c>
      <c r="G188" s="427" t="s">
        <v>100</v>
      </c>
      <c r="H188" s="427" t="s">
        <v>880</v>
      </c>
      <c r="I188" s="427" t="s">
        <v>881</v>
      </c>
      <c r="J188" s="427"/>
      <c r="K188" s="427"/>
    </row>
    <row r="189" spans="1:11" ht="52.8">
      <c r="A189" s="427">
        <v>188</v>
      </c>
      <c r="B189" s="427" t="s">
        <v>375</v>
      </c>
      <c r="C189" s="427" t="s">
        <v>322</v>
      </c>
      <c r="D189" s="427" t="s">
        <v>17</v>
      </c>
      <c r="E189" s="427" t="s">
        <v>882</v>
      </c>
      <c r="F189" s="427" t="s">
        <v>879</v>
      </c>
      <c r="G189" s="427" t="s">
        <v>100</v>
      </c>
      <c r="H189" s="427" t="s">
        <v>883</v>
      </c>
      <c r="I189" s="427" t="s">
        <v>884</v>
      </c>
      <c r="J189" s="427"/>
      <c r="K189" s="427" t="s">
        <v>885</v>
      </c>
    </row>
    <row r="190" spans="1:11" ht="52.8">
      <c r="A190" s="427">
        <v>189</v>
      </c>
      <c r="B190" s="427" t="s">
        <v>392</v>
      </c>
      <c r="C190" s="427" t="s">
        <v>156</v>
      </c>
      <c r="D190" s="427" t="s">
        <v>17</v>
      </c>
      <c r="E190" s="427" t="s">
        <v>886</v>
      </c>
      <c r="F190" s="427" t="s">
        <v>62</v>
      </c>
      <c r="G190" s="427" t="s">
        <v>100</v>
      </c>
      <c r="H190" s="427" t="s">
        <v>887</v>
      </c>
      <c r="I190" s="427" t="s">
        <v>888</v>
      </c>
      <c r="J190" s="427"/>
      <c r="K190" s="427" t="s">
        <v>889</v>
      </c>
    </row>
    <row r="191" spans="1:11" ht="39.6">
      <c r="A191" s="427">
        <v>190</v>
      </c>
      <c r="B191" s="427" t="s">
        <v>890</v>
      </c>
      <c r="C191" s="427" t="s">
        <v>100</v>
      </c>
      <c r="D191" s="427" t="s">
        <v>21</v>
      </c>
      <c r="E191" s="427" t="s">
        <v>891</v>
      </c>
      <c r="F191" s="427" t="s">
        <v>100</v>
      </c>
      <c r="G191" s="427" t="s">
        <v>100</v>
      </c>
      <c r="H191" s="427" t="s">
        <v>892</v>
      </c>
      <c r="I191" s="427" t="s">
        <v>893</v>
      </c>
      <c r="J191" s="427"/>
      <c r="K191" s="427"/>
    </row>
    <row r="192" spans="1:11" ht="66">
      <c r="A192" s="427">
        <v>191</v>
      </c>
      <c r="B192" s="427" t="s">
        <v>894</v>
      </c>
      <c r="C192" s="427" t="s">
        <v>100</v>
      </c>
      <c r="D192" s="427" t="s">
        <v>21</v>
      </c>
      <c r="E192" s="427" t="s">
        <v>895</v>
      </c>
      <c r="F192" s="427" t="s">
        <v>100</v>
      </c>
      <c r="G192" s="427" t="s">
        <v>100</v>
      </c>
      <c r="H192" s="427" t="s">
        <v>896</v>
      </c>
      <c r="I192" s="427" t="s">
        <v>897</v>
      </c>
      <c r="J192" s="427"/>
      <c r="K192" s="427"/>
    </row>
    <row r="193" spans="1:11" ht="39.6">
      <c r="A193" s="427">
        <v>192</v>
      </c>
      <c r="B193" s="427" t="s">
        <v>898</v>
      </c>
      <c r="C193" s="427" t="s">
        <v>899</v>
      </c>
      <c r="D193" s="427" t="s">
        <v>21</v>
      </c>
      <c r="E193" s="427" t="s">
        <v>900</v>
      </c>
      <c r="F193" s="427" t="s">
        <v>99</v>
      </c>
      <c r="G193" s="427" t="s">
        <v>100</v>
      </c>
      <c r="H193" s="427" t="s">
        <v>901</v>
      </c>
      <c r="I193" s="427" t="s">
        <v>902</v>
      </c>
      <c r="J193" s="427"/>
      <c r="K193" s="427"/>
    </row>
    <row r="194" spans="1:11" ht="39.6">
      <c r="A194" s="427">
        <v>193</v>
      </c>
      <c r="B194" s="427" t="s">
        <v>262</v>
      </c>
      <c r="C194" s="427" t="s">
        <v>903</v>
      </c>
      <c r="D194" s="427" t="s">
        <v>21</v>
      </c>
      <c r="E194" s="427" t="s">
        <v>904</v>
      </c>
      <c r="F194" s="427" t="s">
        <v>100</v>
      </c>
      <c r="G194" s="427" t="s">
        <v>100</v>
      </c>
      <c r="H194" s="427" t="s">
        <v>905</v>
      </c>
      <c r="I194" s="427" t="s">
        <v>906</v>
      </c>
      <c r="J194" s="427"/>
      <c r="K194" s="427"/>
    </row>
    <row r="195" spans="1:11" ht="39.6">
      <c r="A195" s="427">
        <v>194</v>
      </c>
      <c r="B195" s="427" t="s">
        <v>907</v>
      </c>
      <c r="C195" s="427" t="s">
        <v>108</v>
      </c>
      <c r="D195" s="427" t="s">
        <v>21</v>
      </c>
      <c r="E195" s="427" t="s">
        <v>908</v>
      </c>
      <c r="F195" s="427" t="s">
        <v>100</v>
      </c>
      <c r="G195" s="427" t="s">
        <v>100</v>
      </c>
      <c r="H195" s="427" t="s">
        <v>909</v>
      </c>
      <c r="I195" s="427" t="s">
        <v>910</v>
      </c>
      <c r="J195" s="427"/>
      <c r="K195" s="427"/>
    </row>
    <row r="196" spans="1:11" ht="39.6">
      <c r="A196" s="427">
        <v>195</v>
      </c>
      <c r="B196" s="427" t="s">
        <v>911</v>
      </c>
      <c r="C196" s="427" t="s">
        <v>322</v>
      </c>
      <c r="D196" s="427" t="s">
        <v>21</v>
      </c>
      <c r="E196" s="427" t="s">
        <v>912</v>
      </c>
      <c r="F196" s="427" t="s">
        <v>100</v>
      </c>
      <c r="G196" s="427" t="s">
        <v>100</v>
      </c>
      <c r="H196" s="427" t="s">
        <v>913</v>
      </c>
      <c r="I196" s="427" t="s">
        <v>910</v>
      </c>
      <c r="J196" s="427"/>
      <c r="K196" s="427"/>
    </row>
    <row r="197" spans="1:11" ht="26.4">
      <c r="A197" s="427">
        <v>196</v>
      </c>
      <c r="B197" s="427" t="s">
        <v>907</v>
      </c>
      <c r="C197" s="427" t="s">
        <v>322</v>
      </c>
      <c r="D197" s="427" t="s">
        <v>21</v>
      </c>
      <c r="E197" s="427" t="s">
        <v>914</v>
      </c>
      <c r="F197" s="427" t="s">
        <v>100</v>
      </c>
      <c r="G197" s="427" t="s">
        <v>100</v>
      </c>
      <c r="H197" s="427" t="s">
        <v>915</v>
      </c>
      <c r="I197" s="427" t="s">
        <v>910</v>
      </c>
      <c r="J197" s="427"/>
      <c r="K197" s="427"/>
    </row>
    <row r="198" spans="1:11" ht="39.6">
      <c r="A198" s="427">
        <v>197</v>
      </c>
      <c r="B198" s="427" t="s">
        <v>520</v>
      </c>
      <c r="C198" s="427"/>
      <c r="D198" s="427" t="s">
        <v>24</v>
      </c>
      <c r="E198" s="427" t="s">
        <v>916</v>
      </c>
      <c r="F198" s="427" t="s">
        <v>230</v>
      </c>
      <c r="G198" s="427" t="s">
        <v>100</v>
      </c>
      <c r="H198" s="427" t="s">
        <v>917</v>
      </c>
      <c r="I198" s="427" t="s">
        <v>918</v>
      </c>
      <c r="J198" s="427"/>
      <c r="K198" s="427" t="s">
        <v>919</v>
      </c>
    </row>
    <row r="199" spans="1:11" ht="79.2">
      <c r="A199" s="427">
        <v>198</v>
      </c>
      <c r="B199" s="427" t="s">
        <v>920</v>
      </c>
      <c r="C199" s="427" t="s">
        <v>921</v>
      </c>
      <c r="D199" s="427" t="s">
        <v>24</v>
      </c>
      <c r="E199" s="427" t="s">
        <v>922</v>
      </c>
      <c r="F199" s="427" t="s">
        <v>110</v>
      </c>
      <c r="G199" s="427" t="s">
        <v>100</v>
      </c>
      <c r="H199" s="427" t="s">
        <v>923</v>
      </c>
      <c r="I199" s="427" t="s">
        <v>639</v>
      </c>
      <c r="J199" s="427"/>
      <c r="K199" s="427" t="s">
        <v>924</v>
      </c>
    </row>
    <row r="200" spans="1:11" ht="92.4">
      <c r="A200" s="427">
        <v>199</v>
      </c>
      <c r="B200" s="427" t="s">
        <v>920</v>
      </c>
      <c r="C200" s="427"/>
      <c r="D200" s="427" t="s">
        <v>24</v>
      </c>
      <c r="E200" s="427" t="s">
        <v>925</v>
      </c>
      <c r="F200" s="427" t="s">
        <v>110</v>
      </c>
      <c r="G200" s="427" t="s">
        <v>100</v>
      </c>
      <c r="H200" s="427" t="s">
        <v>926</v>
      </c>
      <c r="I200" s="427" t="s">
        <v>639</v>
      </c>
      <c r="J200" s="427"/>
      <c r="K200" s="427" t="s">
        <v>927</v>
      </c>
    </row>
    <row r="201" spans="1:11" ht="66">
      <c r="A201" s="427">
        <v>200</v>
      </c>
      <c r="B201" s="427" t="s">
        <v>928</v>
      </c>
      <c r="C201" s="427" t="s">
        <v>322</v>
      </c>
      <c r="D201" s="427" t="s">
        <v>24</v>
      </c>
      <c r="E201" s="427" t="s">
        <v>929</v>
      </c>
      <c r="F201" s="427" t="s">
        <v>110</v>
      </c>
      <c r="G201" s="427" t="s">
        <v>100</v>
      </c>
      <c r="H201" s="427" t="s">
        <v>930</v>
      </c>
      <c r="I201" s="427" t="s">
        <v>639</v>
      </c>
      <c r="J201" s="427"/>
      <c r="K201" s="427" t="s">
        <v>931</v>
      </c>
    </row>
    <row r="202" spans="1:11" ht="79.2">
      <c r="A202" s="427">
        <v>201</v>
      </c>
      <c r="B202" s="427" t="s">
        <v>234</v>
      </c>
      <c r="C202" s="427" t="s">
        <v>932</v>
      </c>
      <c r="D202" s="427" t="s">
        <v>24</v>
      </c>
      <c r="E202" s="427" t="s">
        <v>933</v>
      </c>
      <c r="F202" s="427" t="s">
        <v>110</v>
      </c>
      <c r="G202" s="427" t="s">
        <v>100</v>
      </c>
      <c r="H202" s="427" t="s">
        <v>934</v>
      </c>
      <c r="I202" s="427" t="s">
        <v>639</v>
      </c>
      <c r="J202" s="427"/>
      <c r="K202" s="427" t="s">
        <v>935</v>
      </c>
    </row>
    <row r="203" spans="1:11" ht="92.4">
      <c r="A203" s="427">
        <v>202</v>
      </c>
      <c r="B203" s="427" t="s">
        <v>282</v>
      </c>
      <c r="C203" s="427" t="s">
        <v>936</v>
      </c>
      <c r="D203" s="427" t="s">
        <v>24</v>
      </c>
      <c r="E203" s="427" t="s">
        <v>929</v>
      </c>
      <c r="F203" s="427" t="s">
        <v>110</v>
      </c>
      <c r="G203" s="427" t="s">
        <v>100</v>
      </c>
      <c r="H203" s="427" t="s">
        <v>937</v>
      </c>
      <c r="I203" s="427" t="s">
        <v>639</v>
      </c>
      <c r="J203" s="427"/>
      <c r="K203" s="427" t="s">
        <v>938</v>
      </c>
    </row>
    <row r="204" spans="1:11" ht="66">
      <c r="A204" s="427">
        <v>203</v>
      </c>
      <c r="B204" s="427" t="s">
        <v>520</v>
      </c>
      <c r="C204" s="427"/>
      <c r="D204" s="427" t="s">
        <v>24</v>
      </c>
      <c r="E204" s="427" t="s">
        <v>939</v>
      </c>
      <c r="F204" s="427" t="s">
        <v>110</v>
      </c>
      <c r="G204" s="427" t="s">
        <v>100</v>
      </c>
      <c r="H204" s="427" t="s">
        <v>940</v>
      </c>
      <c r="I204" s="427" t="s">
        <v>523</v>
      </c>
      <c r="J204" s="427"/>
      <c r="K204" s="427" t="s">
        <v>941</v>
      </c>
    </row>
    <row r="205" spans="1:11" ht="66">
      <c r="A205" s="427">
        <v>204</v>
      </c>
      <c r="B205" s="427" t="s">
        <v>291</v>
      </c>
      <c r="C205" s="427" t="s">
        <v>322</v>
      </c>
      <c r="D205" s="427" t="s">
        <v>17</v>
      </c>
      <c r="E205" s="427" t="s">
        <v>942</v>
      </c>
      <c r="F205" s="427" t="s">
        <v>110</v>
      </c>
      <c r="G205" s="427" t="s">
        <v>100</v>
      </c>
      <c r="H205" s="427" t="s">
        <v>943</v>
      </c>
      <c r="I205" s="427" t="s">
        <v>523</v>
      </c>
      <c r="J205" s="427"/>
      <c r="K205" s="427" t="s">
        <v>944</v>
      </c>
    </row>
    <row r="206" spans="1:11" ht="66">
      <c r="A206" s="427">
        <v>205</v>
      </c>
      <c r="B206" s="427" t="s">
        <v>291</v>
      </c>
      <c r="C206" s="427" t="s">
        <v>322</v>
      </c>
      <c r="D206" s="427" t="s">
        <v>17</v>
      </c>
      <c r="E206" s="427" t="s">
        <v>942</v>
      </c>
      <c r="F206" s="427" t="s">
        <v>110</v>
      </c>
      <c r="G206" s="427" t="s">
        <v>100</v>
      </c>
      <c r="H206" s="427" t="s">
        <v>945</v>
      </c>
      <c r="I206" s="427" t="s">
        <v>523</v>
      </c>
      <c r="J206" s="427"/>
      <c r="K206" s="427" t="s">
        <v>946</v>
      </c>
    </row>
    <row r="207" spans="1:11" ht="52.8">
      <c r="A207" s="427">
        <v>206</v>
      </c>
      <c r="B207" s="427" t="s">
        <v>947</v>
      </c>
      <c r="C207" s="427" t="s">
        <v>322</v>
      </c>
      <c r="D207" s="427" t="s">
        <v>17</v>
      </c>
      <c r="E207" s="427" t="s">
        <v>948</v>
      </c>
      <c r="F207" s="427" t="s">
        <v>110</v>
      </c>
      <c r="G207" s="427" t="s">
        <v>100</v>
      </c>
      <c r="H207" s="427" t="s">
        <v>949</v>
      </c>
      <c r="I207" s="427" t="s">
        <v>194</v>
      </c>
      <c r="J207" s="427"/>
      <c r="K207" s="427" t="s">
        <v>950</v>
      </c>
    </row>
    <row r="208" spans="1:11" ht="66">
      <c r="A208" s="427">
        <v>207</v>
      </c>
      <c r="B208" s="427" t="s">
        <v>951</v>
      </c>
      <c r="C208" s="427" t="s">
        <v>322</v>
      </c>
      <c r="D208" s="427" t="s">
        <v>17</v>
      </c>
      <c r="E208" s="427" t="s">
        <v>952</v>
      </c>
      <c r="F208" s="427" t="s">
        <v>110</v>
      </c>
      <c r="G208" s="427" t="s">
        <v>100</v>
      </c>
      <c r="H208" s="427" t="s">
        <v>953</v>
      </c>
      <c r="I208" s="427"/>
      <c r="J208" s="427"/>
      <c r="K208" s="427" t="s">
        <v>954</v>
      </c>
    </row>
    <row r="209" spans="1:15" ht="52.8">
      <c r="A209" s="427">
        <v>208</v>
      </c>
      <c r="B209" s="427" t="s">
        <v>951</v>
      </c>
      <c r="C209" s="427" t="s">
        <v>322</v>
      </c>
      <c r="D209" s="427" t="s">
        <v>17</v>
      </c>
      <c r="E209" s="427" t="s">
        <v>955</v>
      </c>
      <c r="F209" s="427" t="s">
        <v>110</v>
      </c>
      <c r="G209" s="427" t="s">
        <v>100</v>
      </c>
      <c r="H209" s="427" t="s">
        <v>956</v>
      </c>
      <c r="I209" s="427"/>
      <c r="J209" s="427"/>
      <c r="K209" s="427" t="s">
        <v>957</v>
      </c>
    </row>
    <row r="210" spans="1:15" ht="79.2">
      <c r="A210" s="427">
        <v>209</v>
      </c>
      <c r="B210" s="427" t="s">
        <v>196</v>
      </c>
      <c r="C210" s="427" t="s">
        <v>124</v>
      </c>
      <c r="D210" s="427" t="s">
        <v>17</v>
      </c>
      <c r="E210" s="427" t="s">
        <v>958</v>
      </c>
      <c r="F210" s="427" t="s">
        <v>110</v>
      </c>
      <c r="G210" s="427" t="s">
        <v>100</v>
      </c>
      <c r="H210" s="427" t="s">
        <v>959</v>
      </c>
      <c r="I210" s="427"/>
      <c r="J210" s="427"/>
      <c r="K210" s="427" t="s">
        <v>960</v>
      </c>
    </row>
    <row r="211" spans="1:15" ht="105.6">
      <c r="A211" s="427">
        <v>210</v>
      </c>
      <c r="B211" s="427" t="s">
        <v>961</v>
      </c>
      <c r="C211" s="427" t="s">
        <v>124</v>
      </c>
      <c r="D211" s="427" t="s">
        <v>17</v>
      </c>
      <c r="E211" s="427" t="s">
        <v>962</v>
      </c>
      <c r="F211" s="427" t="s">
        <v>110</v>
      </c>
      <c r="G211" s="427" t="s">
        <v>100</v>
      </c>
      <c r="H211" s="427" t="s">
        <v>963</v>
      </c>
      <c r="I211" s="427"/>
      <c r="J211" s="427"/>
      <c r="K211" s="427" t="s">
        <v>964</v>
      </c>
    </row>
    <row r="212" spans="1:15" ht="105.6">
      <c r="A212" s="427">
        <v>211</v>
      </c>
      <c r="B212" s="427" t="s">
        <v>961</v>
      </c>
      <c r="C212" s="427" t="s">
        <v>108</v>
      </c>
      <c r="D212" s="427" t="s">
        <v>17</v>
      </c>
      <c r="E212" s="427" t="s">
        <v>962</v>
      </c>
      <c r="F212" s="427" t="s">
        <v>110</v>
      </c>
      <c r="G212" s="427" t="s">
        <v>100</v>
      </c>
      <c r="H212" s="427" t="s">
        <v>965</v>
      </c>
      <c r="I212" s="427"/>
      <c r="J212" s="427"/>
      <c r="K212" s="427" t="s">
        <v>966</v>
      </c>
    </row>
    <row r="213" spans="1:15" ht="52.8">
      <c r="A213" s="427">
        <v>212</v>
      </c>
      <c r="B213" s="427" t="s">
        <v>967</v>
      </c>
      <c r="C213" s="427" t="s">
        <v>164</v>
      </c>
      <c r="D213" s="427" t="s">
        <v>18</v>
      </c>
      <c r="E213" s="427" t="s">
        <v>768</v>
      </c>
      <c r="F213" s="427" t="s">
        <v>110</v>
      </c>
      <c r="G213" s="427" t="s">
        <v>100</v>
      </c>
      <c r="H213" s="427" t="s">
        <v>968</v>
      </c>
      <c r="I213" s="427" t="s">
        <v>969</v>
      </c>
      <c r="J213" s="427"/>
      <c r="K213" s="427"/>
    </row>
    <row r="214" spans="1:15" ht="26.4">
      <c r="A214" s="427">
        <v>213</v>
      </c>
      <c r="B214" s="427" t="s">
        <v>970</v>
      </c>
      <c r="C214" s="427" t="s">
        <v>124</v>
      </c>
      <c r="D214" s="427" t="s">
        <v>17</v>
      </c>
      <c r="E214" s="427" t="s">
        <v>955</v>
      </c>
      <c r="F214" s="427" t="s">
        <v>110</v>
      </c>
      <c r="G214" s="427" t="s">
        <v>100</v>
      </c>
      <c r="H214" s="427" t="s">
        <v>971</v>
      </c>
      <c r="I214" s="427"/>
      <c r="J214" s="427"/>
      <c r="K214" s="427" t="s">
        <v>972</v>
      </c>
    </row>
    <row r="215" spans="1:15" ht="52.8">
      <c r="A215" s="427">
        <v>214</v>
      </c>
      <c r="B215" s="427" t="s">
        <v>973</v>
      </c>
      <c r="C215" s="427" t="s">
        <v>974</v>
      </c>
      <c r="D215" s="427" t="s">
        <v>203</v>
      </c>
      <c r="E215" s="427" t="s">
        <v>975</v>
      </c>
      <c r="F215" s="427" t="s">
        <v>110</v>
      </c>
      <c r="G215" s="427"/>
      <c r="H215" s="427" t="s">
        <v>976</v>
      </c>
      <c r="I215" s="427" t="s">
        <v>977</v>
      </c>
      <c r="J215" s="427"/>
      <c r="K215" s="427"/>
    </row>
    <row r="216" spans="1:15" ht="39.6">
      <c r="A216" s="427">
        <v>215</v>
      </c>
      <c r="B216" s="427" t="s">
        <v>978</v>
      </c>
      <c r="C216" s="427" t="s">
        <v>47</v>
      </c>
      <c r="D216" s="427" t="s">
        <v>203</v>
      </c>
      <c r="E216" s="427" t="s">
        <v>979</v>
      </c>
      <c r="F216" s="427" t="s">
        <v>110</v>
      </c>
      <c r="G216" s="427"/>
      <c r="H216" s="427" t="s">
        <v>980</v>
      </c>
      <c r="I216" s="427" t="s">
        <v>639</v>
      </c>
      <c r="J216" s="427"/>
      <c r="K216" s="427"/>
      <c r="N216" t="s">
        <v>981</v>
      </c>
      <c r="O216" t="s">
        <v>982</v>
      </c>
    </row>
    <row r="217" spans="1:15" ht="66">
      <c r="A217" s="427">
        <v>216</v>
      </c>
      <c r="B217" s="427" t="s">
        <v>983</v>
      </c>
      <c r="C217" s="427"/>
      <c r="D217" s="427" t="s">
        <v>203</v>
      </c>
      <c r="E217" s="427" t="s">
        <v>984</v>
      </c>
      <c r="F217" s="427" t="s">
        <v>110</v>
      </c>
      <c r="G217" s="427"/>
      <c r="H217" s="427" t="s">
        <v>985</v>
      </c>
      <c r="I217" s="427" t="s">
        <v>986</v>
      </c>
      <c r="J217" s="427"/>
      <c r="K217" s="427"/>
      <c r="O217" t="s">
        <v>987</v>
      </c>
    </row>
    <row r="218" spans="1:15" ht="79.2">
      <c r="A218" s="427">
        <v>217</v>
      </c>
      <c r="B218" s="427" t="s">
        <v>988</v>
      </c>
      <c r="C218" s="427"/>
      <c r="D218" s="427" t="s">
        <v>203</v>
      </c>
      <c r="E218" s="427" t="s">
        <v>989</v>
      </c>
      <c r="F218" s="427" t="s">
        <v>110</v>
      </c>
      <c r="G218" s="427"/>
      <c r="H218" s="427" t="s">
        <v>990</v>
      </c>
      <c r="I218" s="427" t="s">
        <v>991</v>
      </c>
      <c r="J218" s="427"/>
      <c r="K218" s="427"/>
    </row>
    <row r="219" spans="1:15" ht="92.4">
      <c r="A219" s="427">
        <v>218</v>
      </c>
      <c r="B219" s="427" t="s">
        <v>992</v>
      </c>
      <c r="C219" s="427" t="s">
        <v>47</v>
      </c>
      <c r="D219" s="427" t="s">
        <v>203</v>
      </c>
      <c r="E219" s="427" t="s">
        <v>993</v>
      </c>
      <c r="F219" s="427" t="s">
        <v>110</v>
      </c>
      <c r="G219" s="427"/>
      <c r="H219" s="427" t="s">
        <v>994</v>
      </c>
      <c r="I219" s="427" t="s">
        <v>995</v>
      </c>
      <c r="J219" s="427"/>
      <c r="K219" s="427"/>
    </row>
    <row r="220" spans="1:15" ht="92.4">
      <c r="A220" s="427">
        <v>219</v>
      </c>
      <c r="B220" s="427" t="s">
        <v>992</v>
      </c>
      <c r="C220" s="427"/>
      <c r="D220" s="427" t="s">
        <v>203</v>
      </c>
      <c r="E220" s="427" t="s">
        <v>993</v>
      </c>
      <c r="F220" s="427" t="s">
        <v>110</v>
      </c>
      <c r="G220" s="427"/>
      <c r="H220" s="427" t="s">
        <v>996</v>
      </c>
      <c r="I220" s="427" t="s">
        <v>997</v>
      </c>
      <c r="J220" s="427"/>
      <c r="K220" s="427"/>
    </row>
    <row r="221" spans="1:15" ht="39.6">
      <c r="A221" s="427">
        <v>220</v>
      </c>
      <c r="B221" s="427" t="s">
        <v>998</v>
      </c>
      <c r="C221" s="427" t="s">
        <v>100</v>
      </c>
      <c r="D221" s="427" t="s">
        <v>16</v>
      </c>
      <c r="E221" s="427" t="s">
        <v>955</v>
      </c>
      <c r="F221" s="427" t="s">
        <v>100</v>
      </c>
      <c r="G221" s="427" t="s">
        <v>100</v>
      </c>
      <c r="H221" s="427" t="s">
        <v>999</v>
      </c>
      <c r="I221" s="427" t="s">
        <v>1000</v>
      </c>
      <c r="J221" s="427"/>
      <c r="K221" s="427"/>
    </row>
    <row r="222" spans="1:15" ht="66">
      <c r="A222" s="427">
        <v>221</v>
      </c>
      <c r="B222" s="427" t="s">
        <v>836</v>
      </c>
      <c r="C222" s="427" t="s">
        <v>100</v>
      </c>
      <c r="D222" s="427" t="s">
        <v>16</v>
      </c>
      <c r="E222" s="427" t="s">
        <v>1001</v>
      </c>
      <c r="F222" s="427" t="s">
        <v>100</v>
      </c>
      <c r="G222" s="427" t="s">
        <v>100</v>
      </c>
      <c r="H222" s="427" t="s">
        <v>1002</v>
      </c>
      <c r="I222" s="427" t="s">
        <v>1003</v>
      </c>
      <c r="J222" s="427"/>
      <c r="K222" s="427"/>
    </row>
    <row r="223" spans="1:15" ht="79.2">
      <c r="A223" s="427">
        <v>222</v>
      </c>
      <c r="B223" s="427" t="s">
        <v>1004</v>
      </c>
      <c r="C223" s="427" t="s">
        <v>1005</v>
      </c>
      <c r="D223" s="427" t="s">
        <v>16</v>
      </c>
      <c r="E223" s="427" t="s">
        <v>1006</v>
      </c>
      <c r="F223" s="427" t="s">
        <v>100</v>
      </c>
      <c r="G223" s="427" t="s">
        <v>100</v>
      </c>
      <c r="H223" s="427" t="s">
        <v>1007</v>
      </c>
      <c r="I223" s="427" t="s">
        <v>1008</v>
      </c>
      <c r="J223" s="427"/>
      <c r="K223" s="427"/>
    </row>
    <row r="224" spans="1:15" ht="79.2">
      <c r="A224" s="427">
        <v>223</v>
      </c>
      <c r="B224" s="427" t="s">
        <v>1004</v>
      </c>
      <c r="C224" s="427" t="s">
        <v>100</v>
      </c>
      <c r="D224" s="427" t="s">
        <v>16</v>
      </c>
      <c r="E224" s="427" t="s">
        <v>1009</v>
      </c>
      <c r="F224" s="427" t="s">
        <v>100</v>
      </c>
      <c r="G224" s="427" t="s">
        <v>100</v>
      </c>
      <c r="H224" s="427" t="s">
        <v>1010</v>
      </c>
      <c r="I224" s="427" t="s">
        <v>1011</v>
      </c>
      <c r="J224" s="427"/>
      <c r="K224" s="427"/>
    </row>
    <row r="225" spans="1:11" ht="79.2">
      <c r="A225" s="427">
        <v>224</v>
      </c>
      <c r="B225" s="427" t="s">
        <v>1012</v>
      </c>
      <c r="C225" s="427" t="s">
        <v>100</v>
      </c>
      <c r="D225" s="427" t="s">
        <v>16</v>
      </c>
      <c r="E225" s="427" t="s">
        <v>1006</v>
      </c>
      <c r="F225" s="427" t="s">
        <v>100</v>
      </c>
      <c r="G225" s="427" t="s">
        <v>100</v>
      </c>
      <c r="H225" s="427" t="s">
        <v>1013</v>
      </c>
      <c r="I225" s="427" t="s">
        <v>1008</v>
      </c>
      <c r="J225" s="427"/>
      <c r="K225" s="427"/>
    </row>
    <row r="226" spans="1:11" ht="92.4">
      <c r="A226" s="427">
        <v>225</v>
      </c>
      <c r="B226" s="427" t="s">
        <v>1014</v>
      </c>
      <c r="C226" s="427" t="s">
        <v>100</v>
      </c>
      <c r="D226" s="427" t="s">
        <v>16</v>
      </c>
      <c r="E226" s="427" t="s">
        <v>1015</v>
      </c>
      <c r="F226" s="427" t="s">
        <v>100</v>
      </c>
      <c r="G226" s="427" t="s">
        <v>100</v>
      </c>
      <c r="H226" s="427" t="s">
        <v>1016</v>
      </c>
      <c r="I226" s="427" t="s">
        <v>1017</v>
      </c>
      <c r="J226" s="427"/>
      <c r="K226" s="427"/>
    </row>
    <row r="227" spans="1:11" ht="66">
      <c r="A227" s="427">
        <v>226</v>
      </c>
      <c r="B227" s="427" t="s">
        <v>1018</v>
      </c>
      <c r="C227" s="427" t="s">
        <v>1019</v>
      </c>
      <c r="D227" s="427" t="s">
        <v>16</v>
      </c>
      <c r="E227" s="427" t="s">
        <v>1020</v>
      </c>
      <c r="F227" s="427" t="s">
        <v>100</v>
      </c>
      <c r="G227" s="427" t="s">
        <v>100</v>
      </c>
      <c r="H227" s="427" t="s">
        <v>1021</v>
      </c>
      <c r="I227" s="427" t="s">
        <v>1022</v>
      </c>
      <c r="J227" s="427"/>
      <c r="K227" s="427"/>
    </row>
    <row r="228" spans="1:11" ht="66">
      <c r="A228" s="427">
        <v>227</v>
      </c>
      <c r="B228" s="427" t="s">
        <v>848</v>
      </c>
      <c r="C228" s="427" t="s">
        <v>1023</v>
      </c>
      <c r="D228" s="427" t="s">
        <v>16</v>
      </c>
      <c r="E228" s="427" t="s">
        <v>1020</v>
      </c>
      <c r="F228" s="427" t="s">
        <v>100</v>
      </c>
      <c r="G228" s="427" t="s">
        <v>100</v>
      </c>
      <c r="H228" s="427" t="s">
        <v>1024</v>
      </c>
      <c r="I228" s="427" t="s">
        <v>1022</v>
      </c>
      <c r="J228" s="427"/>
      <c r="K228" s="427"/>
    </row>
    <row r="229" spans="1:11" ht="66">
      <c r="A229" s="427">
        <v>228</v>
      </c>
      <c r="B229" s="427" t="s">
        <v>354</v>
      </c>
      <c r="C229" s="427" t="s">
        <v>1025</v>
      </c>
      <c r="D229" s="427" t="s">
        <v>16</v>
      </c>
      <c r="E229" s="427" t="s">
        <v>1020</v>
      </c>
      <c r="F229" s="427" t="s">
        <v>100</v>
      </c>
      <c r="G229" s="427" t="s">
        <v>100</v>
      </c>
      <c r="H229" s="427" t="s">
        <v>1026</v>
      </c>
      <c r="I229" s="427" t="s">
        <v>1022</v>
      </c>
      <c r="J229" s="427"/>
      <c r="K229" s="427"/>
    </row>
    <row r="230" spans="1:11" ht="92.4">
      <c r="A230" s="427">
        <v>229</v>
      </c>
      <c r="B230" s="427" t="s">
        <v>354</v>
      </c>
      <c r="C230" s="427" t="s">
        <v>100</v>
      </c>
      <c r="D230" s="427" t="s">
        <v>16</v>
      </c>
      <c r="E230" s="427" t="s">
        <v>1027</v>
      </c>
      <c r="F230" s="427" t="s">
        <v>100</v>
      </c>
      <c r="G230" s="427" t="s">
        <v>100</v>
      </c>
      <c r="H230" s="427" t="s">
        <v>1028</v>
      </c>
      <c r="I230" s="427" t="s">
        <v>1029</v>
      </c>
      <c r="J230" s="427"/>
      <c r="K230" s="427"/>
    </row>
    <row r="231" spans="1:11" ht="39.6">
      <c r="A231" s="427">
        <v>230</v>
      </c>
      <c r="B231" s="427" t="s">
        <v>1030</v>
      </c>
      <c r="C231" s="427" t="s">
        <v>100</v>
      </c>
      <c r="D231" s="427" t="s">
        <v>16</v>
      </c>
      <c r="E231" s="427" t="s">
        <v>1031</v>
      </c>
      <c r="F231" s="427" t="s">
        <v>230</v>
      </c>
      <c r="G231" s="427" t="s">
        <v>100</v>
      </c>
      <c r="H231" s="427" t="s">
        <v>1032</v>
      </c>
      <c r="I231" s="427" t="s">
        <v>1033</v>
      </c>
      <c r="J231" s="427"/>
      <c r="K231" s="427"/>
    </row>
    <row r="232" spans="1:11" ht="39.6">
      <c r="A232" s="427">
        <v>231</v>
      </c>
      <c r="B232" s="427" t="s">
        <v>1030</v>
      </c>
      <c r="C232" s="427" t="s">
        <v>100</v>
      </c>
      <c r="D232" s="427" t="s">
        <v>16</v>
      </c>
      <c r="E232" s="427" t="s">
        <v>1034</v>
      </c>
      <c r="F232" s="427" t="s">
        <v>230</v>
      </c>
      <c r="G232" s="427" t="s">
        <v>100</v>
      </c>
      <c r="H232" s="427" t="s">
        <v>1035</v>
      </c>
      <c r="I232" s="427" t="s">
        <v>1036</v>
      </c>
      <c r="J232" s="427"/>
      <c r="K232" s="427"/>
    </row>
    <row r="233" spans="1:11" ht="66">
      <c r="A233" s="427">
        <v>232</v>
      </c>
      <c r="B233" s="427" t="s">
        <v>1037</v>
      </c>
      <c r="C233" s="427" t="s">
        <v>100</v>
      </c>
      <c r="D233" s="427" t="s">
        <v>1038</v>
      </c>
      <c r="E233" s="427" t="s">
        <v>1039</v>
      </c>
      <c r="F233" s="427" t="s">
        <v>100</v>
      </c>
      <c r="G233" s="427" t="s">
        <v>100</v>
      </c>
      <c r="H233" s="427" t="s">
        <v>1040</v>
      </c>
      <c r="I233" s="427" t="s">
        <v>639</v>
      </c>
      <c r="J233" s="427"/>
      <c r="K233" s="427" t="s">
        <v>1041</v>
      </c>
    </row>
    <row r="234" spans="1:11" ht="26.4">
      <c r="A234" s="427">
        <v>233</v>
      </c>
      <c r="B234" s="427" t="s">
        <v>911</v>
      </c>
      <c r="C234" s="427" t="s">
        <v>322</v>
      </c>
      <c r="D234" s="427" t="s">
        <v>21</v>
      </c>
      <c r="E234" s="427" t="s">
        <v>1042</v>
      </c>
      <c r="F234" s="427" t="s">
        <v>100</v>
      </c>
      <c r="G234" s="427" t="s">
        <v>100</v>
      </c>
      <c r="H234" s="427" t="s">
        <v>1043</v>
      </c>
      <c r="I234" s="427" t="s">
        <v>1022</v>
      </c>
      <c r="J234" s="427"/>
      <c r="K234" s="427"/>
    </row>
    <row r="235" spans="1:11" ht="26.4">
      <c r="A235" s="427">
        <v>234</v>
      </c>
      <c r="B235" s="427" t="s">
        <v>1044</v>
      </c>
      <c r="C235" s="427" t="s">
        <v>322</v>
      </c>
      <c r="D235" s="427" t="s">
        <v>322</v>
      </c>
      <c r="E235" s="427" t="s">
        <v>1045</v>
      </c>
      <c r="F235" s="427" t="s">
        <v>100</v>
      </c>
      <c r="G235" s="427" t="s">
        <v>100</v>
      </c>
      <c r="H235" s="427" t="s">
        <v>1040</v>
      </c>
      <c r="I235" s="427" t="s">
        <v>1046</v>
      </c>
      <c r="J235" s="427"/>
      <c r="K235" s="427"/>
    </row>
    <row r="236" spans="1:11" ht="26.4">
      <c r="A236" s="427">
        <v>235</v>
      </c>
      <c r="B236" s="427" t="s">
        <v>258</v>
      </c>
      <c r="C236" s="427" t="s">
        <v>100</v>
      </c>
      <c r="D236" s="427" t="s">
        <v>21</v>
      </c>
      <c r="E236" s="427" t="s">
        <v>1047</v>
      </c>
      <c r="F236" s="427" t="s">
        <v>99</v>
      </c>
      <c r="G236" s="427" t="s">
        <v>100</v>
      </c>
      <c r="H236" s="427" t="s">
        <v>1048</v>
      </c>
      <c r="I236" s="427" t="s">
        <v>1022</v>
      </c>
      <c r="J236" s="427"/>
      <c r="K236" s="427"/>
    </row>
    <row r="237" spans="1:11" ht="66">
      <c r="A237" s="427">
        <v>236</v>
      </c>
      <c r="B237" s="427" t="s">
        <v>1049</v>
      </c>
      <c r="C237" s="427" t="s">
        <v>1050</v>
      </c>
      <c r="D237" s="427" t="s">
        <v>203</v>
      </c>
      <c r="E237" s="427" t="s">
        <v>1051</v>
      </c>
      <c r="F237" s="427" t="s">
        <v>110</v>
      </c>
      <c r="G237" s="427" t="s">
        <v>100</v>
      </c>
      <c r="H237" s="427" t="s">
        <v>1052</v>
      </c>
      <c r="I237" s="427" t="s">
        <v>1053</v>
      </c>
      <c r="J237" s="427"/>
      <c r="K237" s="427"/>
    </row>
    <row r="238" spans="1:11" ht="92.4">
      <c r="A238" s="427">
        <v>237</v>
      </c>
      <c r="B238" s="427" t="s">
        <v>244</v>
      </c>
      <c r="C238" s="427" t="s">
        <v>1054</v>
      </c>
      <c r="D238" s="427" t="s">
        <v>203</v>
      </c>
      <c r="E238" s="427" t="s">
        <v>1055</v>
      </c>
      <c r="F238" s="427" t="s">
        <v>110</v>
      </c>
      <c r="G238" s="427" t="s">
        <v>100</v>
      </c>
      <c r="H238" s="427" t="s">
        <v>1056</v>
      </c>
      <c r="I238" s="427" t="s">
        <v>1057</v>
      </c>
      <c r="J238" s="427"/>
      <c r="K238" s="427"/>
    </row>
    <row r="239" spans="1:11" ht="66">
      <c r="A239" s="427">
        <v>238</v>
      </c>
      <c r="B239" s="427" t="s">
        <v>1058</v>
      </c>
      <c r="C239" s="427" t="s">
        <v>47</v>
      </c>
      <c r="D239" s="427" t="s">
        <v>203</v>
      </c>
      <c r="E239" s="427" t="s">
        <v>984</v>
      </c>
      <c r="F239" s="427" t="s">
        <v>110</v>
      </c>
      <c r="G239" s="427" t="s">
        <v>100</v>
      </c>
      <c r="H239" s="427" t="s">
        <v>1059</v>
      </c>
      <c r="I239" s="427" t="s">
        <v>986</v>
      </c>
      <c r="J239" s="427"/>
      <c r="K239" s="426" t="s">
        <v>1060</v>
      </c>
    </row>
    <row r="240" spans="1:11" ht="66">
      <c r="A240" s="427">
        <v>239</v>
      </c>
      <c r="B240" s="427" t="s">
        <v>1061</v>
      </c>
      <c r="C240" s="427" t="s">
        <v>47</v>
      </c>
      <c r="D240" s="427" t="s">
        <v>203</v>
      </c>
      <c r="E240" s="427" t="s">
        <v>1062</v>
      </c>
      <c r="F240" s="427" t="s">
        <v>110</v>
      </c>
      <c r="G240" s="427" t="s">
        <v>100</v>
      </c>
      <c r="H240" s="427" t="s">
        <v>1063</v>
      </c>
      <c r="I240" s="427" t="s">
        <v>1064</v>
      </c>
      <c r="J240" s="427"/>
      <c r="K240" s="427"/>
    </row>
    <row r="241" spans="1:11" ht="66">
      <c r="A241" s="427">
        <v>240</v>
      </c>
      <c r="B241" s="427" t="s">
        <v>1065</v>
      </c>
      <c r="C241" s="427" t="s">
        <v>47</v>
      </c>
      <c r="D241" s="427" t="s">
        <v>203</v>
      </c>
      <c r="E241" s="427" t="s">
        <v>1066</v>
      </c>
      <c r="F241" s="427" t="s">
        <v>110</v>
      </c>
      <c r="G241" s="427" t="s">
        <v>100</v>
      </c>
      <c r="H241" s="427" t="s">
        <v>1067</v>
      </c>
      <c r="I241" s="427" t="s">
        <v>1068</v>
      </c>
      <c r="J241" s="427"/>
      <c r="K241" s="427"/>
    </row>
    <row r="242" spans="1:11" ht="52.8">
      <c r="A242" s="427">
        <v>241</v>
      </c>
      <c r="B242" s="427" t="s">
        <v>1069</v>
      </c>
      <c r="C242" s="427" t="s">
        <v>164</v>
      </c>
      <c r="D242" s="427" t="s">
        <v>18</v>
      </c>
      <c r="E242" s="427" t="s">
        <v>1070</v>
      </c>
      <c r="F242" s="427" t="s">
        <v>110</v>
      </c>
      <c r="G242" s="427" t="s">
        <v>100</v>
      </c>
      <c r="H242" s="427" t="s">
        <v>1071</v>
      </c>
      <c r="I242" s="427" t="s">
        <v>1072</v>
      </c>
      <c r="J242" s="427" t="s">
        <v>1073</v>
      </c>
      <c r="K242" s="427" t="s">
        <v>1074</v>
      </c>
    </row>
    <row r="243" spans="1:11" ht="39.6">
      <c r="A243" s="427">
        <v>242</v>
      </c>
      <c r="B243" s="427" t="s">
        <v>1069</v>
      </c>
      <c r="C243" s="427" t="s">
        <v>164</v>
      </c>
      <c r="D243" s="427" t="s">
        <v>18</v>
      </c>
      <c r="E243" s="427" t="s">
        <v>768</v>
      </c>
      <c r="F243" s="427" t="s">
        <v>110</v>
      </c>
      <c r="G243" s="427" t="s">
        <v>100</v>
      </c>
      <c r="H243" s="427" t="s">
        <v>1075</v>
      </c>
      <c r="I243" s="427" t="s">
        <v>1076</v>
      </c>
      <c r="J243" s="427"/>
      <c r="K243" s="427"/>
    </row>
    <row r="244" spans="1:11" ht="92.4">
      <c r="A244" s="427">
        <v>243</v>
      </c>
      <c r="B244" s="427" t="s">
        <v>1077</v>
      </c>
      <c r="C244" s="427" t="s">
        <v>164</v>
      </c>
      <c r="D244" s="427" t="s">
        <v>17</v>
      </c>
      <c r="E244" s="427" t="s">
        <v>1055</v>
      </c>
      <c r="F244" s="427" t="s">
        <v>110</v>
      </c>
      <c r="G244" s="427" t="s">
        <v>100</v>
      </c>
      <c r="H244" s="427" t="s">
        <v>1078</v>
      </c>
      <c r="I244" s="427" t="s">
        <v>639</v>
      </c>
      <c r="J244" s="427"/>
      <c r="K244" s="427" t="s">
        <v>1079</v>
      </c>
    </row>
    <row r="245" spans="1:11" ht="39.6">
      <c r="A245" s="427">
        <v>244</v>
      </c>
      <c r="B245" s="427" t="s">
        <v>1080</v>
      </c>
      <c r="C245" s="427" t="s">
        <v>191</v>
      </c>
      <c r="D245" s="427" t="s">
        <v>596</v>
      </c>
      <c r="E245" s="427" t="s">
        <v>1081</v>
      </c>
      <c r="F245" s="427" t="s">
        <v>1082</v>
      </c>
      <c r="G245" s="427" t="s">
        <v>1083</v>
      </c>
      <c r="H245" s="427" t="s">
        <v>1084</v>
      </c>
      <c r="I245" s="427" t="s">
        <v>1085</v>
      </c>
      <c r="J245" s="427"/>
      <c r="K245" s="427"/>
    </row>
    <row r="246" spans="1:11" ht="66">
      <c r="A246" s="427">
        <v>245</v>
      </c>
      <c r="B246" s="427" t="s">
        <v>1080</v>
      </c>
      <c r="C246" s="427" t="s">
        <v>191</v>
      </c>
      <c r="D246" s="427" t="s">
        <v>596</v>
      </c>
      <c r="E246" s="427" t="s">
        <v>1086</v>
      </c>
      <c r="F246" s="427" t="s">
        <v>62</v>
      </c>
      <c r="G246" s="427" t="s">
        <v>1083</v>
      </c>
      <c r="H246" s="427" t="s">
        <v>1087</v>
      </c>
      <c r="I246" s="427" t="s">
        <v>1088</v>
      </c>
      <c r="J246" s="427"/>
      <c r="K246" s="427" t="s">
        <v>1089</v>
      </c>
    </row>
    <row r="247" spans="1:11" ht="79.2">
      <c r="A247" s="427">
        <v>246</v>
      </c>
      <c r="B247" s="427" t="s">
        <v>1080</v>
      </c>
      <c r="C247" s="427" t="s">
        <v>191</v>
      </c>
      <c r="D247" s="427" t="s">
        <v>596</v>
      </c>
      <c r="E247" s="427" t="s">
        <v>1090</v>
      </c>
      <c r="F247" s="427" t="s">
        <v>65</v>
      </c>
      <c r="G247" s="427" t="s">
        <v>1083</v>
      </c>
      <c r="H247" s="427" t="s">
        <v>1091</v>
      </c>
      <c r="I247" s="427" t="s">
        <v>1088</v>
      </c>
      <c r="J247" s="427"/>
      <c r="K247" s="427" t="s">
        <v>1089</v>
      </c>
    </row>
    <row r="248" spans="1:11" ht="52.8">
      <c r="A248" s="427">
        <v>247</v>
      </c>
      <c r="B248" s="427" t="s">
        <v>1092</v>
      </c>
      <c r="C248" s="427" t="s">
        <v>191</v>
      </c>
      <c r="D248" s="427" t="s">
        <v>203</v>
      </c>
      <c r="E248" s="427" t="s">
        <v>1093</v>
      </c>
      <c r="F248" s="427" t="s">
        <v>110</v>
      </c>
      <c r="G248" s="427"/>
      <c r="H248" s="427" t="s">
        <v>1094</v>
      </c>
      <c r="I248" s="427" t="s">
        <v>1095</v>
      </c>
      <c r="J248" s="427"/>
      <c r="K248" s="427"/>
    </row>
    <row r="249" spans="1:11" ht="52.8">
      <c r="A249" s="427">
        <v>248</v>
      </c>
      <c r="B249" s="427" t="s">
        <v>1092</v>
      </c>
      <c r="C249" s="427" t="s">
        <v>191</v>
      </c>
      <c r="D249" s="427" t="s">
        <v>203</v>
      </c>
      <c r="E249" s="427" t="s">
        <v>1093</v>
      </c>
      <c r="F249" s="427" t="s">
        <v>110</v>
      </c>
      <c r="G249" s="427"/>
      <c r="H249" s="427" t="s">
        <v>1096</v>
      </c>
      <c r="I249" s="427" t="s">
        <v>1095</v>
      </c>
      <c r="J249" s="427"/>
      <c r="K249" s="427"/>
    </row>
    <row r="250" spans="1:11" ht="66">
      <c r="A250" s="427">
        <v>249</v>
      </c>
      <c r="B250" s="427" t="s">
        <v>1092</v>
      </c>
      <c r="C250" s="427" t="s">
        <v>191</v>
      </c>
      <c r="D250" s="427" t="s">
        <v>203</v>
      </c>
      <c r="E250" s="427" t="s">
        <v>1097</v>
      </c>
      <c r="F250" s="427" t="s">
        <v>110</v>
      </c>
      <c r="G250" s="427"/>
      <c r="H250" s="427" t="s">
        <v>1098</v>
      </c>
      <c r="I250" s="427" t="s">
        <v>1099</v>
      </c>
      <c r="J250" s="427"/>
      <c r="K250" s="427"/>
    </row>
    <row r="251" spans="1:11" ht="105.6">
      <c r="A251" s="427">
        <v>250</v>
      </c>
      <c r="B251" s="427" t="s">
        <v>1100</v>
      </c>
      <c r="C251" s="427" t="s">
        <v>1101</v>
      </c>
      <c r="D251" s="427" t="s">
        <v>24</v>
      </c>
      <c r="E251" s="427" t="s">
        <v>1102</v>
      </c>
      <c r="F251" s="427" t="s">
        <v>110</v>
      </c>
      <c r="G251" s="427" t="s">
        <v>100</v>
      </c>
      <c r="H251" s="427" t="s">
        <v>1103</v>
      </c>
      <c r="I251" s="427" t="s">
        <v>1104</v>
      </c>
      <c r="J251" s="427"/>
      <c r="K251" s="427" t="s">
        <v>1105</v>
      </c>
    </row>
    <row r="252" spans="1:11" ht="62.4">
      <c r="A252" s="427">
        <v>251</v>
      </c>
      <c r="B252" s="427" t="s">
        <v>1100</v>
      </c>
      <c r="C252" s="427" t="s">
        <v>1106</v>
      </c>
      <c r="D252" s="427" t="s">
        <v>24</v>
      </c>
      <c r="E252" s="427" t="s">
        <v>1107</v>
      </c>
      <c r="F252" s="427" t="s">
        <v>230</v>
      </c>
      <c r="G252" s="427" t="s">
        <v>100</v>
      </c>
      <c r="H252" s="427" t="s">
        <v>1108</v>
      </c>
      <c r="I252" s="427" t="s">
        <v>1109</v>
      </c>
      <c r="J252" s="427"/>
      <c r="K252" s="427" t="s">
        <v>1110</v>
      </c>
    </row>
    <row r="253" spans="1:11" ht="92.4">
      <c r="A253" s="427">
        <v>252</v>
      </c>
      <c r="B253" s="427" t="s">
        <v>1100</v>
      </c>
      <c r="C253" s="427"/>
      <c r="D253" s="427" t="s">
        <v>24</v>
      </c>
      <c r="E253" s="427" t="s">
        <v>1111</v>
      </c>
      <c r="F253" s="427" t="s">
        <v>110</v>
      </c>
      <c r="G253" s="427" t="s">
        <v>100</v>
      </c>
      <c r="H253" s="427" t="s">
        <v>1112</v>
      </c>
      <c r="I253" s="427" t="s">
        <v>639</v>
      </c>
      <c r="J253" s="427"/>
      <c r="K253" s="427" t="s">
        <v>1113</v>
      </c>
    </row>
    <row r="254" spans="1:11" ht="66">
      <c r="A254" s="427">
        <v>253</v>
      </c>
      <c r="B254" s="427" t="s">
        <v>234</v>
      </c>
      <c r="C254" s="427"/>
      <c r="D254" s="427" t="s">
        <v>24</v>
      </c>
      <c r="E254" s="427" t="s">
        <v>1114</v>
      </c>
      <c r="F254" s="427" t="s">
        <v>230</v>
      </c>
      <c r="G254" s="427"/>
      <c r="H254" s="427" t="s">
        <v>1115</v>
      </c>
      <c r="I254" s="427" t="s">
        <v>639</v>
      </c>
      <c r="J254" s="427"/>
      <c r="K254" s="427" t="s">
        <v>1116</v>
      </c>
    </row>
    <row r="255" spans="1:11" ht="52.8">
      <c r="A255" s="427">
        <v>254</v>
      </c>
      <c r="B255" s="427" t="s">
        <v>234</v>
      </c>
      <c r="C255" s="427"/>
      <c r="D255" s="427" t="s">
        <v>24</v>
      </c>
      <c r="E255" s="427" t="s">
        <v>1117</v>
      </c>
      <c r="F255" s="427" t="s">
        <v>230</v>
      </c>
      <c r="G255" s="427"/>
      <c r="H255" s="427" t="s">
        <v>1118</v>
      </c>
      <c r="I255" s="427" t="s">
        <v>639</v>
      </c>
      <c r="J255" s="427"/>
      <c r="K255" s="427" t="s">
        <v>1119</v>
      </c>
    </row>
    <row r="256" spans="1:11" ht="39.6">
      <c r="A256" s="427">
        <v>255</v>
      </c>
      <c r="B256" s="427" t="s">
        <v>719</v>
      </c>
      <c r="C256" s="427"/>
      <c r="D256" s="427" t="s">
        <v>24</v>
      </c>
      <c r="E256" s="427" t="s">
        <v>1120</v>
      </c>
      <c r="F256" s="427" t="s">
        <v>65</v>
      </c>
      <c r="G256" s="427"/>
      <c r="H256" s="427" t="s">
        <v>1121</v>
      </c>
      <c r="I256" s="427" t="s">
        <v>1122</v>
      </c>
      <c r="J256" s="427" t="s">
        <v>1123</v>
      </c>
      <c r="K256" s="427" t="s">
        <v>1124</v>
      </c>
    </row>
    <row r="257" spans="1:11" ht="52.8">
      <c r="A257" s="427">
        <v>256</v>
      </c>
      <c r="B257" s="427" t="s">
        <v>1125</v>
      </c>
      <c r="C257" s="427"/>
      <c r="D257" s="427" t="s">
        <v>24</v>
      </c>
      <c r="E257" s="427" t="s">
        <v>1126</v>
      </c>
      <c r="F257" s="427" t="s">
        <v>110</v>
      </c>
      <c r="G257" s="427"/>
      <c r="H257" s="427" t="s">
        <v>1127</v>
      </c>
      <c r="I257" s="427" t="s">
        <v>1128</v>
      </c>
      <c r="J257" s="427"/>
      <c r="K257" s="427" t="s">
        <v>1129</v>
      </c>
    </row>
    <row r="258" spans="1:11" ht="79.8">
      <c r="A258" s="427">
        <v>257</v>
      </c>
      <c r="B258" s="427" t="s">
        <v>288</v>
      </c>
      <c r="C258" s="427"/>
      <c r="D258" s="427" t="s">
        <v>24</v>
      </c>
      <c r="E258" s="427" t="s">
        <v>1130</v>
      </c>
      <c r="F258" s="427" t="s">
        <v>110</v>
      </c>
      <c r="G258" s="427"/>
      <c r="H258" s="427" t="s">
        <v>1131</v>
      </c>
      <c r="I258" s="427" t="s">
        <v>639</v>
      </c>
      <c r="J258" s="427"/>
      <c r="K258" s="427" t="s">
        <v>1132</v>
      </c>
    </row>
    <row r="259" spans="1:11" ht="79.2">
      <c r="A259" s="427">
        <v>258</v>
      </c>
      <c r="B259" s="427" t="s">
        <v>1133</v>
      </c>
      <c r="C259" s="427"/>
      <c r="D259" s="427" t="s">
        <v>24</v>
      </c>
      <c r="E259" s="427" t="s">
        <v>1130</v>
      </c>
      <c r="F259" s="427" t="s">
        <v>110</v>
      </c>
      <c r="G259" s="427"/>
      <c r="H259" s="427" t="s">
        <v>1134</v>
      </c>
      <c r="I259" s="427" t="s">
        <v>639</v>
      </c>
      <c r="J259" s="427"/>
      <c r="K259" s="427" t="s">
        <v>1135</v>
      </c>
    </row>
    <row r="260" spans="1:11" ht="52.8">
      <c r="A260" s="427">
        <v>259</v>
      </c>
      <c r="B260" s="427" t="s">
        <v>1133</v>
      </c>
      <c r="C260" s="427"/>
      <c r="D260" s="427" t="s">
        <v>24</v>
      </c>
      <c r="E260" s="427" t="s">
        <v>1126</v>
      </c>
      <c r="F260" s="427" t="s">
        <v>110</v>
      </c>
      <c r="G260" s="427"/>
      <c r="H260" s="427" t="s">
        <v>1136</v>
      </c>
      <c r="I260" s="427" t="s">
        <v>639</v>
      </c>
      <c r="J260" s="427"/>
      <c r="K260" s="427" t="s">
        <v>1137</v>
      </c>
    </row>
    <row r="261" spans="1:11" ht="52.8">
      <c r="A261" s="427">
        <v>260</v>
      </c>
      <c r="B261" s="427" t="s">
        <v>1138</v>
      </c>
      <c r="C261" s="427"/>
      <c r="D261" s="427" t="s">
        <v>24</v>
      </c>
      <c r="E261" s="427" t="s">
        <v>1126</v>
      </c>
      <c r="F261" s="427" t="s">
        <v>110</v>
      </c>
      <c r="G261" s="427"/>
      <c r="H261" s="427" t="s">
        <v>1139</v>
      </c>
      <c r="I261" s="427" t="s">
        <v>639</v>
      </c>
      <c r="J261" s="427"/>
      <c r="K261" s="427" t="s">
        <v>1140</v>
      </c>
    </row>
    <row r="262" spans="1:11" ht="52.8">
      <c r="A262" s="427">
        <v>261</v>
      </c>
      <c r="B262" s="427" t="s">
        <v>1138</v>
      </c>
      <c r="C262" s="427"/>
      <c r="D262" s="427" t="s">
        <v>24</v>
      </c>
      <c r="E262" s="427" t="s">
        <v>1141</v>
      </c>
      <c r="F262" s="427" t="s">
        <v>99</v>
      </c>
      <c r="G262" s="427"/>
      <c r="H262" s="427" t="s">
        <v>1142</v>
      </c>
      <c r="I262" s="427" t="s">
        <v>194</v>
      </c>
      <c r="J262" s="427"/>
      <c r="K262" s="427" t="s">
        <v>1140</v>
      </c>
    </row>
    <row r="263" spans="1:11" ht="66">
      <c r="A263" s="427">
        <v>262</v>
      </c>
      <c r="B263" s="427" t="s">
        <v>303</v>
      </c>
      <c r="C263" s="427" t="s">
        <v>108</v>
      </c>
      <c r="D263" s="427" t="s">
        <v>15</v>
      </c>
      <c r="E263" s="427" t="s">
        <v>688</v>
      </c>
      <c r="F263" s="427" t="s">
        <v>230</v>
      </c>
      <c r="G263" s="427" t="s">
        <v>124</v>
      </c>
      <c r="H263" s="427" t="s">
        <v>1143</v>
      </c>
      <c r="I263" s="427">
        <v>45778</v>
      </c>
      <c r="J263" s="427" t="s">
        <v>1144</v>
      </c>
      <c r="K263" s="427" t="s">
        <v>1145</v>
      </c>
    </row>
    <row r="264" spans="1:11" ht="52.8">
      <c r="A264" s="427">
        <v>263</v>
      </c>
      <c r="B264" s="427" t="s">
        <v>303</v>
      </c>
      <c r="C264" s="427" t="s">
        <v>108</v>
      </c>
      <c r="D264" s="427" t="s">
        <v>15</v>
      </c>
      <c r="E264" s="427" t="s">
        <v>1146</v>
      </c>
      <c r="F264" s="427" t="s">
        <v>62</v>
      </c>
      <c r="G264" s="427" t="s">
        <v>124</v>
      </c>
      <c r="H264" s="427" t="s">
        <v>1147</v>
      </c>
      <c r="I264" s="427">
        <v>45778</v>
      </c>
      <c r="J264" s="427" t="s">
        <v>1148</v>
      </c>
      <c r="K264" s="427" t="s">
        <v>1149</v>
      </c>
    </row>
    <row r="265" spans="1:11" ht="39.6">
      <c r="A265" s="427">
        <v>264</v>
      </c>
      <c r="B265" s="427" t="s">
        <v>551</v>
      </c>
      <c r="C265" s="427" t="s">
        <v>108</v>
      </c>
      <c r="D265" s="427" t="s">
        <v>15</v>
      </c>
      <c r="E265" s="427" t="s">
        <v>768</v>
      </c>
      <c r="F265" s="427" t="s">
        <v>100</v>
      </c>
      <c r="G265" s="427" t="s">
        <v>124</v>
      </c>
      <c r="H265" s="427" t="s">
        <v>1150</v>
      </c>
      <c r="I265" s="427" t="s">
        <v>1151</v>
      </c>
      <c r="J265" s="427"/>
      <c r="K265" s="427"/>
    </row>
    <row r="266" spans="1:11" ht="26.4">
      <c r="A266" s="427">
        <v>265</v>
      </c>
      <c r="B266" s="427" t="s">
        <v>1152</v>
      </c>
      <c r="C266" s="427" t="s">
        <v>108</v>
      </c>
      <c r="D266" s="427" t="s">
        <v>15</v>
      </c>
      <c r="E266" s="427" t="s">
        <v>1153</v>
      </c>
      <c r="F266" s="427" t="s">
        <v>100</v>
      </c>
      <c r="G266" s="427" t="s">
        <v>1154</v>
      </c>
      <c r="H266" s="427" t="s">
        <v>1155</v>
      </c>
      <c r="I266" s="427" t="s">
        <v>447</v>
      </c>
      <c r="J266" s="427"/>
      <c r="K266" s="427"/>
    </row>
    <row r="267" spans="1:11" ht="39.6">
      <c r="A267" s="427">
        <v>266</v>
      </c>
      <c r="B267" s="427" t="s">
        <v>1156</v>
      </c>
      <c r="C267" s="427" t="s">
        <v>108</v>
      </c>
      <c r="D267" s="427" t="s">
        <v>15</v>
      </c>
      <c r="E267" s="427" t="s">
        <v>1157</v>
      </c>
      <c r="F267" s="427" t="s">
        <v>100</v>
      </c>
      <c r="G267" s="427" t="s">
        <v>1154</v>
      </c>
      <c r="H267" s="427" t="s">
        <v>1158</v>
      </c>
      <c r="I267" s="427" t="s">
        <v>1159</v>
      </c>
      <c r="J267" s="427"/>
      <c r="K267" s="427"/>
    </row>
    <row r="268" spans="1:11" ht="92.4">
      <c r="A268" s="427">
        <v>267</v>
      </c>
      <c r="B268" s="427" t="s">
        <v>1160</v>
      </c>
      <c r="C268" s="427" t="s">
        <v>108</v>
      </c>
      <c r="D268" s="427" t="s">
        <v>15</v>
      </c>
      <c r="E268" s="427" t="s">
        <v>1161</v>
      </c>
      <c r="F268" s="427" t="s">
        <v>100</v>
      </c>
      <c r="G268" s="427" t="s">
        <v>1162</v>
      </c>
      <c r="H268" s="427" t="s">
        <v>1163</v>
      </c>
      <c r="I268" s="427" t="s">
        <v>1164</v>
      </c>
      <c r="J268" s="427"/>
      <c r="K268" s="427" t="s">
        <v>1165</v>
      </c>
    </row>
    <row r="269" spans="1:11" ht="39.6">
      <c r="A269" s="427">
        <v>268</v>
      </c>
      <c r="B269" s="427" t="s">
        <v>149</v>
      </c>
      <c r="C269" s="427" t="s">
        <v>322</v>
      </c>
      <c r="D269" s="427" t="s">
        <v>15</v>
      </c>
      <c r="E269" s="427" t="s">
        <v>1166</v>
      </c>
      <c r="F269" s="427" t="s">
        <v>100</v>
      </c>
      <c r="G269" s="427" t="s">
        <v>124</v>
      </c>
      <c r="H269" s="427" t="s">
        <v>1167</v>
      </c>
      <c r="I269" s="427" t="s">
        <v>1000</v>
      </c>
      <c r="J269" s="427"/>
      <c r="K269" s="427"/>
    </row>
    <row r="270" spans="1:11" ht="66">
      <c r="A270" s="427">
        <v>269</v>
      </c>
      <c r="B270" s="427" t="s">
        <v>1168</v>
      </c>
      <c r="C270" s="427" t="s">
        <v>108</v>
      </c>
      <c r="D270" s="427" t="s">
        <v>15</v>
      </c>
      <c r="E270" s="427" t="s">
        <v>1169</v>
      </c>
      <c r="F270" s="427" t="s">
        <v>100</v>
      </c>
      <c r="G270" s="427" t="s">
        <v>1162</v>
      </c>
      <c r="H270" s="427" t="s">
        <v>1170</v>
      </c>
      <c r="I270" s="427" t="s">
        <v>1171</v>
      </c>
      <c r="J270" s="427"/>
      <c r="K270" s="427"/>
    </row>
    <row r="271" spans="1:11" ht="66">
      <c r="A271" s="427">
        <v>270</v>
      </c>
      <c r="B271" s="427" t="s">
        <v>1172</v>
      </c>
      <c r="C271" s="427" t="s">
        <v>108</v>
      </c>
      <c r="D271" s="427" t="s">
        <v>15</v>
      </c>
      <c r="E271" s="427" t="s">
        <v>1169</v>
      </c>
      <c r="F271" s="427" t="s">
        <v>100</v>
      </c>
      <c r="G271" s="427" t="s">
        <v>1162</v>
      </c>
      <c r="H271" s="427" t="s">
        <v>1173</v>
      </c>
      <c r="I271" s="427" t="s">
        <v>1171</v>
      </c>
      <c r="J271" s="427"/>
      <c r="K271" s="427"/>
    </row>
    <row r="272" spans="1:11" ht="66">
      <c r="A272" s="427">
        <v>271</v>
      </c>
      <c r="B272" s="427" t="s">
        <v>1174</v>
      </c>
      <c r="C272" s="427" t="s">
        <v>108</v>
      </c>
      <c r="D272" s="427" t="s">
        <v>15</v>
      </c>
      <c r="E272" s="427" t="s">
        <v>1169</v>
      </c>
      <c r="F272" s="427" t="s">
        <v>100</v>
      </c>
      <c r="G272" s="427" t="s">
        <v>1162</v>
      </c>
      <c r="H272" s="427" t="s">
        <v>1175</v>
      </c>
      <c r="I272" s="427" t="s">
        <v>1171</v>
      </c>
      <c r="J272" s="427"/>
      <c r="K272" s="427"/>
    </row>
    <row r="273" spans="1:11" ht="79.2">
      <c r="A273" s="427">
        <v>272</v>
      </c>
      <c r="B273" s="427" t="s">
        <v>1176</v>
      </c>
      <c r="C273" s="427" t="s">
        <v>1177</v>
      </c>
      <c r="D273" s="427" t="s">
        <v>15</v>
      </c>
      <c r="E273" s="427" t="s">
        <v>1178</v>
      </c>
      <c r="F273" s="427" t="s">
        <v>100</v>
      </c>
      <c r="G273" s="427" t="s">
        <v>1162</v>
      </c>
      <c r="H273" s="427" t="s">
        <v>1179</v>
      </c>
      <c r="I273" s="427" t="s">
        <v>1180</v>
      </c>
      <c r="J273" s="427"/>
      <c r="K273" s="427" t="s">
        <v>1181</v>
      </c>
    </row>
    <row r="274" spans="1:11" ht="79.2">
      <c r="A274" s="427">
        <v>273</v>
      </c>
      <c r="B274" s="427" t="s">
        <v>1182</v>
      </c>
      <c r="C274" s="427" t="s">
        <v>164</v>
      </c>
      <c r="D274" s="427" t="s">
        <v>15</v>
      </c>
      <c r="E274" s="427" t="s">
        <v>1178</v>
      </c>
      <c r="F274" s="427" t="s">
        <v>100</v>
      </c>
      <c r="G274" s="427" t="s">
        <v>1162</v>
      </c>
      <c r="H274" s="427" t="s">
        <v>1183</v>
      </c>
      <c r="I274" s="427" t="s">
        <v>1180</v>
      </c>
      <c r="J274" s="427"/>
      <c r="K274" s="427" t="s">
        <v>1184</v>
      </c>
    </row>
    <row r="275" spans="1:11" ht="52.8">
      <c r="A275" s="427">
        <v>274</v>
      </c>
      <c r="B275" s="427" t="s">
        <v>1185</v>
      </c>
      <c r="C275" s="427" t="s">
        <v>108</v>
      </c>
      <c r="D275" s="427" t="s">
        <v>15</v>
      </c>
      <c r="E275" s="427" t="s">
        <v>1186</v>
      </c>
      <c r="F275" s="427" t="s">
        <v>99</v>
      </c>
      <c r="G275" s="427" t="s">
        <v>1162</v>
      </c>
      <c r="H275" s="427" t="s">
        <v>1187</v>
      </c>
      <c r="I275" s="427" t="s">
        <v>1000</v>
      </c>
      <c r="J275" s="427"/>
      <c r="K275" s="427" t="s">
        <v>1188</v>
      </c>
    </row>
    <row r="276" spans="1:11" ht="39.6">
      <c r="A276" s="427">
        <v>275</v>
      </c>
      <c r="B276" s="427" t="s">
        <v>1189</v>
      </c>
      <c r="C276" s="427" t="s">
        <v>164</v>
      </c>
      <c r="D276" s="427" t="s">
        <v>15</v>
      </c>
      <c r="E276" s="427" t="s">
        <v>1190</v>
      </c>
      <c r="F276" s="427" t="s">
        <v>99</v>
      </c>
      <c r="G276" s="427" t="s">
        <v>1162</v>
      </c>
      <c r="H276" s="427" t="s">
        <v>1191</v>
      </c>
      <c r="I276" s="427"/>
      <c r="J276" s="427"/>
      <c r="K276" s="427"/>
    </row>
    <row r="277" spans="1:11" ht="52.8">
      <c r="A277" s="427">
        <v>276</v>
      </c>
      <c r="B277" s="427" t="s">
        <v>1189</v>
      </c>
      <c r="C277" s="427" t="s">
        <v>164</v>
      </c>
      <c r="D277" s="427" t="s">
        <v>15</v>
      </c>
      <c r="E277" s="427" t="s">
        <v>1192</v>
      </c>
      <c r="F277" s="427" t="s">
        <v>230</v>
      </c>
      <c r="G277" s="427" t="s">
        <v>1162</v>
      </c>
      <c r="H277" s="427" t="s">
        <v>1193</v>
      </c>
      <c r="I277" s="427"/>
      <c r="J277" s="427"/>
      <c r="K277" s="427"/>
    </row>
    <row r="278" spans="1:11" ht="52.8">
      <c r="A278" s="427">
        <v>277</v>
      </c>
      <c r="B278" s="427" t="s">
        <v>1194</v>
      </c>
      <c r="C278" s="427" t="s">
        <v>164</v>
      </c>
      <c r="D278" s="427" t="s">
        <v>15</v>
      </c>
      <c r="E278" s="427" t="s">
        <v>1042</v>
      </c>
      <c r="F278" s="427" t="s">
        <v>100</v>
      </c>
      <c r="G278" s="427" t="s">
        <v>1195</v>
      </c>
      <c r="H278" s="427" t="s">
        <v>1196</v>
      </c>
      <c r="I278" s="427" t="s">
        <v>1000</v>
      </c>
      <c r="J278" s="427"/>
      <c r="K278" s="427"/>
    </row>
    <row r="279" spans="1:11" ht="39.6">
      <c r="A279" s="427">
        <v>278</v>
      </c>
      <c r="B279" s="427" t="s">
        <v>321</v>
      </c>
      <c r="C279" s="427" t="s">
        <v>164</v>
      </c>
      <c r="D279" s="427" t="s">
        <v>15</v>
      </c>
      <c r="E279" s="427" t="s">
        <v>1197</v>
      </c>
      <c r="F279" s="427" t="s">
        <v>100</v>
      </c>
      <c r="G279" s="427" t="s">
        <v>124</v>
      </c>
      <c r="H279" s="427" t="s">
        <v>1198</v>
      </c>
      <c r="I279" s="427" t="s">
        <v>1000</v>
      </c>
      <c r="J279" s="427"/>
      <c r="K279" s="427" t="s">
        <v>1199</v>
      </c>
    </row>
    <row r="280" spans="1:11" ht="66">
      <c r="A280" s="427">
        <v>279</v>
      </c>
      <c r="B280" s="427" t="s">
        <v>570</v>
      </c>
      <c r="C280" s="427" t="s">
        <v>164</v>
      </c>
      <c r="D280" s="427" t="s">
        <v>15</v>
      </c>
      <c r="E280" s="427" t="s">
        <v>278</v>
      </c>
      <c r="F280" s="427" t="s">
        <v>100</v>
      </c>
      <c r="G280" s="427" t="s">
        <v>441</v>
      </c>
      <c r="H280" s="427" t="s">
        <v>1200</v>
      </c>
      <c r="I280" s="427" t="s">
        <v>1201</v>
      </c>
      <c r="J280" s="427" t="s">
        <v>1202</v>
      </c>
      <c r="K280" s="427" t="s">
        <v>1203</v>
      </c>
    </row>
    <row r="281" spans="1:11" ht="52.8">
      <c r="A281" s="427">
        <v>280</v>
      </c>
      <c r="B281" s="427" t="s">
        <v>1204</v>
      </c>
      <c r="C281" s="427" t="s">
        <v>164</v>
      </c>
      <c r="D281" s="427" t="s">
        <v>15</v>
      </c>
      <c r="E281" s="427" t="s">
        <v>1205</v>
      </c>
      <c r="F281" s="427" t="s">
        <v>100</v>
      </c>
      <c r="G281" s="427" t="s">
        <v>164</v>
      </c>
      <c r="H281" s="427" t="s">
        <v>1206</v>
      </c>
      <c r="I281" s="427">
        <v>45778</v>
      </c>
      <c r="J281" s="427" t="s">
        <v>1207</v>
      </c>
      <c r="K281" s="427" t="s">
        <v>1207</v>
      </c>
    </row>
    <row r="282" spans="1:11" ht="52.8">
      <c r="A282" s="427">
        <v>281</v>
      </c>
      <c r="B282" s="427" t="s">
        <v>1208</v>
      </c>
      <c r="C282" s="427" t="s">
        <v>164</v>
      </c>
      <c r="D282" s="427" t="s">
        <v>15</v>
      </c>
      <c r="E282" s="427" t="s">
        <v>1209</v>
      </c>
      <c r="F282" s="427" t="s">
        <v>100</v>
      </c>
      <c r="G282" s="427" t="s">
        <v>164</v>
      </c>
      <c r="H282" s="427" t="s">
        <v>1210</v>
      </c>
      <c r="I282" s="427">
        <v>45748</v>
      </c>
      <c r="J282" s="427" t="s">
        <v>1211</v>
      </c>
      <c r="K282" s="427" t="s">
        <v>1212</v>
      </c>
    </row>
    <row r="283" spans="1:11" ht="52.8">
      <c r="A283" s="427">
        <v>282</v>
      </c>
      <c r="B283" s="427" t="s">
        <v>1208</v>
      </c>
      <c r="C283" s="427" t="s">
        <v>164</v>
      </c>
      <c r="D283" s="427" t="s">
        <v>15</v>
      </c>
      <c r="E283" s="427" t="s">
        <v>1213</v>
      </c>
      <c r="F283" s="427" t="s">
        <v>100</v>
      </c>
      <c r="G283" s="427" t="s">
        <v>164</v>
      </c>
      <c r="H283" s="427" t="s">
        <v>1214</v>
      </c>
      <c r="I283" s="427" t="s">
        <v>1215</v>
      </c>
      <c r="J283" s="427"/>
      <c r="K283" s="427"/>
    </row>
    <row r="284" spans="1:11" ht="105.6">
      <c r="A284" s="427">
        <v>283</v>
      </c>
      <c r="B284" s="427" t="s">
        <v>1208</v>
      </c>
      <c r="C284" s="427" t="s">
        <v>164</v>
      </c>
      <c r="D284" s="427" t="s">
        <v>15</v>
      </c>
      <c r="E284" s="427" t="s">
        <v>1216</v>
      </c>
      <c r="F284" s="427" t="s">
        <v>100</v>
      </c>
      <c r="G284" s="427" t="s">
        <v>164</v>
      </c>
      <c r="H284" s="427" t="s">
        <v>1217</v>
      </c>
      <c r="I284" s="427" t="s">
        <v>1218</v>
      </c>
      <c r="J284" s="427"/>
      <c r="K284" s="427"/>
    </row>
    <row r="285" spans="1:11" ht="26.4">
      <c r="A285" s="427">
        <v>284</v>
      </c>
      <c r="B285" s="427" t="s">
        <v>1194</v>
      </c>
      <c r="C285" s="427" t="s">
        <v>164</v>
      </c>
      <c r="D285" s="427" t="s">
        <v>15</v>
      </c>
      <c r="E285" s="427" t="s">
        <v>1042</v>
      </c>
      <c r="F285" s="427" t="s">
        <v>100</v>
      </c>
      <c r="G285" s="427" t="s">
        <v>164</v>
      </c>
      <c r="H285" s="427" t="s">
        <v>1219</v>
      </c>
      <c r="I285" s="427" t="s">
        <v>875</v>
      </c>
      <c r="J285" s="427"/>
      <c r="K285" s="427"/>
    </row>
    <row r="286" spans="1:11" ht="26.4">
      <c r="A286" s="427">
        <v>285</v>
      </c>
      <c r="B286" s="427" t="s">
        <v>1220</v>
      </c>
      <c r="C286" s="427" t="s">
        <v>164</v>
      </c>
      <c r="D286" s="427" t="s">
        <v>15</v>
      </c>
      <c r="E286" s="427" t="s">
        <v>1221</v>
      </c>
      <c r="F286" s="427" t="s">
        <v>100</v>
      </c>
      <c r="G286" s="427" t="s">
        <v>164</v>
      </c>
      <c r="H286" s="427" t="s">
        <v>1222</v>
      </c>
      <c r="I286" s="427" t="s">
        <v>875</v>
      </c>
      <c r="J286" s="427"/>
      <c r="K286" s="427"/>
    </row>
    <row r="287" spans="1:11" ht="52.8">
      <c r="A287" s="427">
        <v>286</v>
      </c>
      <c r="B287" s="427" t="s">
        <v>1223</v>
      </c>
      <c r="C287" s="427" t="s">
        <v>1224</v>
      </c>
      <c r="D287" s="427" t="s">
        <v>15</v>
      </c>
      <c r="E287" s="427" t="s">
        <v>1225</v>
      </c>
      <c r="F287" s="427" t="s">
        <v>100</v>
      </c>
      <c r="G287" s="427" t="s">
        <v>164</v>
      </c>
      <c r="H287" s="427" t="s">
        <v>1226</v>
      </c>
      <c r="I287" s="427" t="s">
        <v>875</v>
      </c>
      <c r="J287" s="427"/>
      <c r="K287" s="427"/>
    </row>
    <row r="288" spans="1:11" ht="26.4">
      <c r="A288" s="427">
        <v>287</v>
      </c>
      <c r="B288" s="427" t="s">
        <v>1223</v>
      </c>
      <c r="C288" s="427" t="s">
        <v>164</v>
      </c>
      <c r="D288" s="427" t="s">
        <v>15</v>
      </c>
      <c r="E288" s="427" t="s">
        <v>1227</v>
      </c>
      <c r="F288" s="427" t="s">
        <v>100</v>
      </c>
      <c r="G288" s="427" t="s">
        <v>164</v>
      </c>
      <c r="H288" s="427" t="s">
        <v>1228</v>
      </c>
      <c r="I288" s="427" t="s">
        <v>875</v>
      </c>
      <c r="J288" s="427"/>
      <c r="K288" s="427"/>
    </row>
    <row r="289" spans="1:11" ht="26.4">
      <c r="A289" s="427">
        <v>288</v>
      </c>
      <c r="B289" s="427" t="s">
        <v>1229</v>
      </c>
      <c r="C289" s="427" t="s">
        <v>1230</v>
      </c>
      <c r="D289" s="427" t="s">
        <v>15</v>
      </c>
      <c r="E289" s="427" t="s">
        <v>1231</v>
      </c>
      <c r="F289" s="427"/>
      <c r="G289" s="427"/>
      <c r="H289" s="427" t="s">
        <v>1232</v>
      </c>
      <c r="I289" s="427" t="s">
        <v>1000</v>
      </c>
      <c r="J289" s="427"/>
      <c r="K289" s="427"/>
    </row>
    <row r="290" spans="1:11" ht="39.6">
      <c r="A290" s="427">
        <v>289</v>
      </c>
      <c r="B290" s="427" t="s">
        <v>1233</v>
      </c>
      <c r="C290" s="427" t="s">
        <v>156</v>
      </c>
      <c r="D290" s="427" t="s">
        <v>15</v>
      </c>
      <c r="E290" s="427" t="s">
        <v>1234</v>
      </c>
      <c r="F290" s="427" t="s">
        <v>100</v>
      </c>
      <c r="G290" s="427" t="s">
        <v>156</v>
      </c>
      <c r="H290" s="427" t="s">
        <v>1235</v>
      </c>
      <c r="I290" s="427" t="s">
        <v>1000</v>
      </c>
      <c r="J290" s="427"/>
      <c r="K290" s="427"/>
    </row>
    <row r="291" spans="1:11" ht="26.4">
      <c r="A291" s="427">
        <v>290</v>
      </c>
      <c r="B291" s="427" t="s">
        <v>1236</v>
      </c>
      <c r="C291" s="427" t="s">
        <v>156</v>
      </c>
      <c r="D291" s="427" t="s">
        <v>15</v>
      </c>
      <c r="E291" s="427" t="s">
        <v>1237</v>
      </c>
      <c r="F291" s="427" t="s">
        <v>100</v>
      </c>
      <c r="G291" s="427" t="s">
        <v>156</v>
      </c>
      <c r="H291" s="427" t="s">
        <v>1238</v>
      </c>
      <c r="I291" s="427" t="s">
        <v>621</v>
      </c>
      <c r="J291" s="427"/>
      <c r="K291" s="427"/>
    </row>
    <row r="292" spans="1:11" ht="39.6">
      <c r="A292" s="427">
        <v>291</v>
      </c>
      <c r="B292" s="427" t="s">
        <v>1239</v>
      </c>
      <c r="C292" s="427" t="s">
        <v>164</v>
      </c>
      <c r="D292" s="427" t="s">
        <v>15</v>
      </c>
      <c r="E292" s="427" t="s">
        <v>1240</v>
      </c>
      <c r="F292" s="427" t="s">
        <v>100</v>
      </c>
      <c r="G292" s="427" t="s">
        <v>164</v>
      </c>
      <c r="H292" s="427" t="s">
        <v>1241</v>
      </c>
      <c r="I292" s="427" t="s">
        <v>1180</v>
      </c>
      <c r="J292" s="427"/>
      <c r="K292" s="427"/>
    </row>
    <row r="293" spans="1:11" ht="39.6">
      <c r="A293" s="427">
        <v>292</v>
      </c>
      <c r="B293" s="427" t="s">
        <v>1242</v>
      </c>
      <c r="C293" s="427" t="s">
        <v>164</v>
      </c>
      <c r="D293" s="427" t="s">
        <v>15</v>
      </c>
      <c r="E293" s="427" t="s">
        <v>1243</v>
      </c>
      <c r="F293" s="427" t="s">
        <v>99</v>
      </c>
      <c r="G293" s="427" t="s">
        <v>124</v>
      </c>
      <c r="H293" s="427" t="s">
        <v>1244</v>
      </c>
      <c r="I293" s="427" t="s">
        <v>1245</v>
      </c>
      <c r="J293" s="427">
        <v>9781032665443</v>
      </c>
      <c r="K293" s="427" t="s">
        <v>1246</v>
      </c>
    </row>
    <row r="294" spans="1:11" ht="39.6">
      <c r="A294" s="427">
        <v>293</v>
      </c>
      <c r="B294" s="427" t="s">
        <v>1242</v>
      </c>
      <c r="C294" s="427" t="s">
        <v>124</v>
      </c>
      <c r="D294" s="427" t="s">
        <v>15</v>
      </c>
      <c r="E294" s="427" t="s">
        <v>768</v>
      </c>
      <c r="F294" s="427" t="s">
        <v>100</v>
      </c>
      <c r="G294" s="427" t="s">
        <v>100</v>
      </c>
      <c r="H294" s="427" t="s">
        <v>1247</v>
      </c>
      <c r="I294" s="427" t="s">
        <v>1180</v>
      </c>
      <c r="J294" s="427"/>
      <c r="K294" s="427"/>
    </row>
    <row r="295" spans="1:11" ht="39.6">
      <c r="A295" s="427">
        <v>294</v>
      </c>
      <c r="B295" s="427" t="s">
        <v>1248</v>
      </c>
      <c r="C295" s="427" t="s">
        <v>124</v>
      </c>
      <c r="D295" s="427" t="s">
        <v>15</v>
      </c>
      <c r="E295" s="427" t="s">
        <v>1249</v>
      </c>
      <c r="F295" s="427" t="s">
        <v>100</v>
      </c>
      <c r="G295" s="427" t="s">
        <v>100</v>
      </c>
      <c r="H295" s="427" t="s">
        <v>1250</v>
      </c>
      <c r="I295" s="427" t="s">
        <v>1000</v>
      </c>
      <c r="J295" s="427"/>
      <c r="K295" s="427"/>
    </row>
    <row r="296" spans="1:11" ht="39.6">
      <c r="A296" s="427">
        <v>295</v>
      </c>
      <c r="B296" s="427" t="s">
        <v>1248</v>
      </c>
      <c r="C296" s="427" t="s">
        <v>164</v>
      </c>
      <c r="D296" s="427" t="s">
        <v>15</v>
      </c>
      <c r="E296" s="427" t="s">
        <v>1251</v>
      </c>
      <c r="F296" s="427" t="s">
        <v>100</v>
      </c>
      <c r="G296" s="427" t="s">
        <v>100</v>
      </c>
      <c r="H296" s="427" t="s">
        <v>1252</v>
      </c>
      <c r="I296" s="427" t="s">
        <v>1000</v>
      </c>
      <c r="J296" s="427"/>
      <c r="K296" s="427"/>
    </row>
    <row r="297" spans="1:11" ht="26.4">
      <c r="A297" s="427">
        <v>296</v>
      </c>
      <c r="B297" s="427" t="s">
        <v>1253</v>
      </c>
      <c r="C297" s="427" t="s">
        <v>164</v>
      </c>
      <c r="D297" s="427" t="s">
        <v>15</v>
      </c>
      <c r="E297" s="427" t="s">
        <v>1254</v>
      </c>
      <c r="F297" s="427" t="s">
        <v>100</v>
      </c>
      <c r="G297" s="427" t="s">
        <v>100</v>
      </c>
      <c r="H297" s="427" t="s">
        <v>1255</v>
      </c>
      <c r="I297" s="427" t="s">
        <v>1000</v>
      </c>
      <c r="J297" s="427"/>
      <c r="K297" s="427"/>
    </row>
    <row r="298" spans="1:11" ht="52.8">
      <c r="A298" s="427">
        <v>297</v>
      </c>
      <c r="B298" s="427" t="s">
        <v>1256</v>
      </c>
      <c r="C298" s="427" t="s">
        <v>164</v>
      </c>
      <c r="D298" s="427" t="s">
        <v>15</v>
      </c>
      <c r="E298" s="427" t="s">
        <v>1257</v>
      </c>
      <c r="F298" s="427" t="s">
        <v>100</v>
      </c>
      <c r="G298" s="427" t="s">
        <v>100</v>
      </c>
      <c r="H298" s="427" t="s">
        <v>1258</v>
      </c>
      <c r="I298" s="427" t="s">
        <v>1000</v>
      </c>
      <c r="J298" s="427"/>
      <c r="K298" s="427"/>
    </row>
    <row r="299" spans="1:11" ht="26.4">
      <c r="A299" s="427">
        <v>298</v>
      </c>
      <c r="B299" s="427" t="s">
        <v>1259</v>
      </c>
      <c r="C299" s="427" t="s">
        <v>164</v>
      </c>
      <c r="D299" s="427" t="s">
        <v>15</v>
      </c>
      <c r="E299" s="427" t="s">
        <v>1260</v>
      </c>
      <c r="F299" s="427" t="s">
        <v>100</v>
      </c>
      <c r="G299" s="427" t="s">
        <v>100</v>
      </c>
      <c r="H299" s="427" t="s">
        <v>1261</v>
      </c>
      <c r="I299" s="427" t="s">
        <v>1180</v>
      </c>
      <c r="J299" s="427" t="s">
        <v>1262</v>
      </c>
      <c r="K299" s="427"/>
    </row>
    <row r="300" spans="1:11" ht="39.6">
      <c r="A300" s="427">
        <v>299</v>
      </c>
      <c r="B300" s="427" t="s">
        <v>1259</v>
      </c>
      <c r="C300" s="427" t="s">
        <v>164</v>
      </c>
      <c r="D300" s="427" t="s">
        <v>15</v>
      </c>
      <c r="E300" s="427" t="s">
        <v>1260</v>
      </c>
      <c r="F300" s="427" t="s">
        <v>100</v>
      </c>
      <c r="G300" s="427" t="s">
        <v>100</v>
      </c>
      <c r="H300" s="427" t="s">
        <v>1263</v>
      </c>
      <c r="I300" s="427" t="s">
        <v>1180</v>
      </c>
      <c r="J300" s="427" t="s">
        <v>1262</v>
      </c>
      <c r="K300" s="427"/>
    </row>
    <row r="301" spans="1:11" ht="66">
      <c r="A301" s="427">
        <v>300</v>
      </c>
      <c r="B301" s="427" t="s">
        <v>1259</v>
      </c>
      <c r="C301" s="427" t="s">
        <v>164</v>
      </c>
      <c r="D301" s="427" t="s">
        <v>15</v>
      </c>
      <c r="E301" s="427" t="s">
        <v>1264</v>
      </c>
      <c r="F301" s="427" t="s">
        <v>100</v>
      </c>
      <c r="G301" s="427" t="s">
        <v>100</v>
      </c>
      <c r="H301" s="427" t="s">
        <v>1265</v>
      </c>
      <c r="I301" s="427" t="s">
        <v>648</v>
      </c>
      <c r="J301" s="427" t="s">
        <v>1266</v>
      </c>
      <c r="K301" s="427" t="s">
        <v>1267</v>
      </c>
    </row>
    <row r="302" spans="1:11" ht="13.2">
      <c r="A302" s="427">
        <v>301</v>
      </c>
      <c r="B302" s="427" t="s">
        <v>1268</v>
      </c>
      <c r="C302" s="427" t="s">
        <v>164</v>
      </c>
      <c r="D302" s="427" t="s">
        <v>15</v>
      </c>
      <c r="E302" s="427" t="s">
        <v>1260</v>
      </c>
      <c r="F302" s="427" t="s">
        <v>100</v>
      </c>
      <c r="G302" s="427" t="s">
        <v>100</v>
      </c>
      <c r="H302" s="427" t="s">
        <v>1269</v>
      </c>
      <c r="I302" s="427" t="s">
        <v>1180</v>
      </c>
      <c r="J302" s="427" t="s">
        <v>1270</v>
      </c>
      <c r="K302" s="427"/>
    </row>
    <row r="303" spans="1:11" ht="52.8">
      <c r="A303" s="427">
        <v>302</v>
      </c>
      <c r="B303" s="427" t="s">
        <v>1268</v>
      </c>
      <c r="C303" s="427" t="s">
        <v>164</v>
      </c>
      <c r="D303" s="427" t="s">
        <v>15</v>
      </c>
      <c r="E303" s="427" t="s">
        <v>1271</v>
      </c>
      <c r="F303" s="427" t="s">
        <v>100</v>
      </c>
      <c r="G303" s="427" t="s">
        <v>100</v>
      </c>
      <c r="H303" s="427" t="s">
        <v>1272</v>
      </c>
      <c r="I303" s="427"/>
      <c r="J303" s="427"/>
      <c r="K303" s="427"/>
    </row>
    <row r="304" spans="1:11" ht="39.6">
      <c r="A304" s="427">
        <v>303</v>
      </c>
      <c r="B304" s="427" t="s">
        <v>1273</v>
      </c>
      <c r="C304" s="427" t="s">
        <v>164</v>
      </c>
      <c r="D304" s="427" t="s">
        <v>18</v>
      </c>
      <c r="E304" s="427" t="s">
        <v>1274</v>
      </c>
      <c r="F304" s="427" t="s">
        <v>100</v>
      </c>
      <c r="G304" s="427" t="s">
        <v>100</v>
      </c>
      <c r="H304" s="427" t="s">
        <v>1275</v>
      </c>
      <c r="I304" s="427" t="s">
        <v>1276</v>
      </c>
      <c r="J304" s="427" t="s">
        <v>100</v>
      </c>
      <c r="K304" s="427" t="s">
        <v>100</v>
      </c>
    </row>
    <row r="305" spans="1:11" ht="39.6">
      <c r="A305" s="427">
        <v>304</v>
      </c>
      <c r="B305" s="427" t="s">
        <v>1273</v>
      </c>
      <c r="C305" s="427" t="s">
        <v>164</v>
      </c>
      <c r="D305" s="427" t="s">
        <v>18</v>
      </c>
      <c r="E305" s="427" t="s">
        <v>1274</v>
      </c>
      <c r="F305" s="427" t="s">
        <v>100</v>
      </c>
      <c r="G305" s="427" t="s">
        <v>100</v>
      </c>
      <c r="H305" s="427" t="s">
        <v>1277</v>
      </c>
      <c r="I305" s="427" t="s">
        <v>1276</v>
      </c>
      <c r="J305" s="427" t="s">
        <v>100</v>
      </c>
      <c r="K305" s="427" t="s">
        <v>100</v>
      </c>
    </row>
    <row r="306" spans="1:11" ht="92.4">
      <c r="A306" s="427">
        <v>305</v>
      </c>
      <c r="B306" s="427" t="s">
        <v>1069</v>
      </c>
      <c r="C306" s="427" t="s">
        <v>164</v>
      </c>
      <c r="D306" s="427" t="s">
        <v>18</v>
      </c>
      <c r="E306" s="427" t="s">
        <v>1278</v>
      </c>
      <c r="F306" s="427" t="s">
        <v>1279</v>
      </c>
      <c r="G306" s="427" t="s">
        <v>100</v>
      </c>
      <c r="H306" s="427" t="s">
        <v>1280</v>
      </c>
      <c r="I306" s="427" t="s">
        <v>1281</v>
      </c>
      <c r="J306" s="427" t="s">
        <v>100</v>
      </c>
      <c r="K306" s="427" t="s">
        <v>100</v>
      </c>
    </row>
    <row r="307" spans="1:11" ht="52.8">
      <c r="A307" s="427">
        <v>306</v>
      </c>
      <c r="B307" s="427" t="s">
        <v>1133</v>
      </c>
      <c r="C307" s="427"/>
      <c r="D307" s="427"/>
      <c r="E307" s="427" t="s">
        <v>1126</v>
      </c>
      <c r="F307" s="427"/>
      <c r="G307" s="427" t="s">
        <v>639</v>
      </c>
      <c r="H307" s="427" t="s">
        <v>1282</v>
      </c>
      <c r="I307" s="427" t="s">
        <v>639</v>
      </c>
      <c r="J307" s="427"/>
      <c r="K307" s="427" t="s">
        <v>1283</v>
      </c>
    </row>
    <row r="308" spans="1:11" ht="250.8">
      <c r="A308" s="427">
        <v>307</v>
      </c>
      <c r="B308" s="427" t="s">
        <v>1284</v>
      </c>
      <c r="C308" s="427" t="s">
        <v>164</v>
      </c>
      <c r="D308" s="427" t="s">
        <v>16</v>
      </c>
      <c r="E308" s="427" t="s">
        <v>1285</v>
      </c>
      <c r="F308" s="427"/>
      <c r="G308" s="427"/>
      <c r="H308" s="427" t="s">
        <v>1286</v>
      </c>
      <c r="I308" s="427" t="s">
        <v>1287</v>
      </c>
      <c r="J308" s="427"/>
      <c r="K308" s="427"/>
    </row>
    <row r="309" spans="1:11" ht="66">
      <c r="A309" s="427">
        <v>308</v>
      </c>
      <c r="B309" s="427" t="s">
        <v>1288</v>
      </c>
      <c r="C309" s="427" t="s">
        <v>164</v>
      </c>
      <c r="D309" s="427" t="s">
        <v>1289</v>
      </c>
      <c r="E309" s="427" t="s">
        <v>1097</v>
      </c>
      <c r="F309" s="427"/>
      <c r="G309" s="427" t="s">
        <v>110</v>
      </c>
      <c r="H309" s="427" t="s">
        <v>1290</v>
      </c>
      <c r="I309" s="427" t="s">
        <v>194</v>
      </c>
      <c r="J309" s="427"/>
      <c r="K309" s="427" t="s">
        <v>1291</v>
      </c>
    </row>
    <row r="310" spans="1:11" ht="39.6">
      <c r="A310" s="427">
        <v>309</v>
      </c>
      <c r="B310" s="427" t="s">
        <v>1292</v>
      </c>
      <c r="C310" s="427" t="s">
        <v>322</v>
      </c>
      <c r="D310" s="427" t="s">
        <v>1293</v>
      </c>
      <c r="E310" s="427" t="s">
        <v>1294</v>
      </c>
      <c r="F310" s="427" t="s">
        <v>230</v>
      </c>
      <c r="G310" s="427" t="s">
        <v>124</v>
      </c>
      <c r="H310" s="427" t="s">
        <v>1295</v>
      </c>
      <c r="I310" s="427" t="s">
        <v>1296</v>
      </c>
      <c r="J310" s="427" t="s">
        <v>1297</v>
      </c>
      <c r="K310" s="427" t="s">
        <v>1298</v>
      </c>
    </row>
    <row r="311" spans="1:11" ht="46.8">
      <c r="A311" s="427">
        <v>310</v>
      </c>
      <c r="B311" s="427" t="s">
        <v>1292</v>
      </c>
      <c r="C311" s="427" t="s">
        <v>322</v>
      </c>
      <c r="D311" s="427" t="s">
        <v>1293</v>
      </c>
      <c r="E311" s="427" t="s">
        <v>1299</v>
      </c>
      <c r="F311" s="427" t="s">
        <v>110</v>
      </c>
      <c r="G311" s="427" t="s">
        <v>100</v>
      </c>
      <c r="H311" s="427" t="s">
        <v>1300</v>
      </c>
      <c r="I311" s="427" t="s">
        <v>1301</v>
      </c>
      <c r="J311" s="427" t="s">
        <v>1302</v>
      </c>
      <c r="K311" s="427" t="s">
        <v>1303</v>
      </c>
    </row>
    <row r="312" spans="1:11" ht="105.6">
      <c r="A312" s="427">
        <v>311</v>
      </c>
      <c r="B312" s="427" t="s">
        <v>1304</v>
      </c>
      <c r="C312" s="427" t="s">
        <v>322</v>
      </c>
      <c r="D312" s="427" t="s">
        <v>1293</v>
      </c>
      <c r="E312" s="427" t="s">
        <v>1305</v>
      </c>
      <c r="F312" s="427" t="s">
        <v>110</v>
      </c>
      <c r="G312" s="427" t="s">
        <v>164</v>
      </c>
      <c r="H312" s="427" t="s">
        <v>1306</v>
      </c>
      <c r="I312" s="427">
        <v>45566</v>
      </c>
      <c r="J312" s="427" t="s">
        <v>1307</v>
      </c>
      <c r="K312" s="427" t="s">
        <v>1308</v>
      </c>
    </row>
    <row r="313" spans="1:11" ht="52.8">
      <c r="A313" s="427">
        <v>312</v>
      </c>
      <c r="B313" s="427" t="s">
        <v>1309</v>
      </c>
      <c r="C313" s="427" t="s">
        <v>322</v>
      </c>
      <c r="D313" s="427" t="s">
        <v>1293</v>
      </c>
      <c r="E313" s="427" t="s">
        <v>1310</v>
      </c>
      <c r="F313" s="427" t="s">
        <v>62</v>
      </c>
      <c r="G313" s="427" t="s">
        <v>124</v>
      </c>
      <c r="H313" s="427" t="s">
        <v>1311</v>
      </c>
      <c r="I313" s="427" t="s">
        <v>1312</v>
      </c>
      <c r="J313" s="427" t="s">
        <v>1313</v>
      </c>
      <c r="K313" s="427" t="s">
        <v>1314</v>
      </c>
    </row>
    <row r="314" spans="1:11" ht="52.8">
      <c r="A314" s="427">
        <v>313</v>
      </c>
      <c r="B314" s="427" t="s">
        <v>1309</v>
      </c>
      <c r="C314" s="427" t="s">
        <v>322</v>
      </c>
      <c r="D314" s="427" t="s">
        <v>1293</v>
      </c>
      <c r="E314" s="427" t="s">
        <v>1315</v>
      </c>
      <c r="F314" s="427" t="s">
        <v>62</v>
      </c>
      <c r="G314" s="427" t="s">
        <v>124</v>
      </c>
      <c r="H314" s="427" t="s">
        <v>1316</v>
      </c>
      <c r="I314" s="427" t="s">
        <v>1317</v>
      </c>
      <c r="J314" s="427" t="s">
        <v>1318</v>
      </c>
      <c r="K314" s="427" t="s">
        <v>1319</v>
      </c>
    </row>
    <row r="315" spans="1:11" ht="53.4">
      <c r="A315" s="427">
        <v>314</v>
      </c>
      <c r="B315" s="427" t="s">
        <v>1292</v>
      </c>
      <c r="C315" s="427" t="s">
        <v>322</v>
      </c>
      <c r="D315" s="427" t="s">
        <v>1293</v>
      </c>
      <c r="E315" s="427" t="s">
        <v>1320</v>
      </c>
      <c r="F315" s="427" t="s">
        <v>62</v>
      </c>
      <c r="G315" s="427" t="s">
        <v>124</v>
      </c>
      <c r="H315" s="427" t="s">
        <v>1321</v>
      </c>
      <c r="I315" s="427" t="s">
        <v>1322</v>
      </c>
      <c r="J315" s="427" t="s">
        <v>1323</v>
      </c>
      <c r="K315" s="427" t="s">
        <v>1324</v>
      </c>
    </row>
    <row r="316" spans="1:11" ht="53.4">
      <c r="A316" s="427">
        <v>315</v>
      </c>
      <c r="B316" s="427" t="s">
        <v>1292</v>
      </c>
      <c r="C316" s="427" t="s">
        <v>322</v>
      </c>
      <c r="D316" s="427" t="s">
        <v>1293</v>
      </c>
      <c r="E316" s="427" t="s">
        <v>1325</v>
      </c>
      <c r="F316" s="427" t="s">
        <v>62</v>
      </c>
      <c r="G316" s="427" t="s">
        <v>124</v>
      </c>
      <c r="H316" s="427" t="s">
        <v>1326</v>
      </c>
      <c r="I316" s="427" t="s">
        <v>1327</v>
      </c>
      <c r="J316" s="427" t="s">
        <v>1328</v>
      </c>
      <c r="K316" s="427" t="s">
        <v>1329</v>
      </c>
    </row>
    <row r="317" spans="1:11" ht="52.8">
      <c r="A317" s="427">
        <v>316</v>
      </c>
      <c r="B317" s="427" t="s">
        <v>1330</v>
      </c>
      <c r="C317" s="427" t="s">
        <v>322</v>
      </c>
      <c r="D317" s="427" t="s">
        <v>1293</v>
      </c>
      <c r="E317" s="427" t="s">
        <v>1331</v>
      </c>
      <c r="F317" s="427" t="s">
        <v>62</v>
      </c>
      <c r="G317" s="427" t="s">
        <v>124</v>
      </c>
      <c r="H317" s="427" t="s">
        <v>1332</v>
      </c>
      <c r="I317" s="427" t="s">
        <v>1333</v>
      </c>
      <c r="J317" s="427" t="s">
        <v>1334</v>
      </c>
      <c r="K317" s="427" t="s">
        <v>1335</v>
      </c>
    </row>
    <row r="318" spans="1:11" ht="39.6">
      <c r="A318" s="427">
        <v>317</v>
      </c>
      <c r="B318" s="427" t="s">
        <v>1336</v>
      </c>
      <c r="C318" s="427" t="s">
        <v>164</v>
      </c>
      <c r="D318" s="427" t="s">
        <v>1293</v>
      </c>
      <c r="E318" s="427" t="s">
        <v>1337</v>
      </c>
      <c r="F318" s="427" t="s">
        <v>62</v>
      </c>
      <c r="G318" s="427" t="s">
        <v>124</v>
      </c>
      <c r="H318" s="427" t="s">
        <v>1338</v>
      </c>
      <c r="I318" s="427">
        <v>45778</v>
      </c>
      <c r="J318" s="427" t="s">
        <v>1339</v>
      </c>
      <c r="K318" s="427" t="s">
        <v>1340</v>
      </c>
    </row>
    <row r="319" spans="1:11" ht="39.6">
      <c r="A319" s="427">
        <v>318</v>
      </c>
      <c r="B319" s="427" t="s">
        <v>1341</v>
      </c>
      <c r="C319" s="427" t="s">
        <v>322</v>
      </c>
      <c r="D319" s="427" t="s">
        <v>1293</v>
      </c>
      <c r="E319" s="427" t="s">
        <v>1342</v>
      </c>
      <c r="F319" s="427" t="s">
        <v>1343</v>
      </c>
      <c r="G319" s="427" t="s">
        <v>124</v>
      </c>
      <c r="H319" s="427" t="s">
        <v>1344</v>
      </c>
      <c r="I319" s="427">
        <v>45778</v>
      </c>
      <c r="J319" s="427" t="s">
        <v>1345</v>
      </c>
      <c r="K319" s="427" t="s">
        <v>1346</v>
      </c>
    </row>
    <row r="320" spans="1:11" ht="93.6">
      <c r="A320" s="427">
        <v>319</v>
      </c>
      <c r="B320" s="427" t="s">
        <v>1292</v>
      </c>
      <c r="C320" s="427" t="s">
        <v>322</v>
      </c>
      <c r="D320" s="427" t="s">
        <v>1293</v>
      </c>
      <c r="E320" s="427" t="s">
        <v>1347</v>
      </c>
      <c r="F320" s="427" t="s">
        <v>110</v>
      </c>
      <c r="G320" s="427" t="s">
        <v>100</v>
      </c>
      <c r="H320" s="427" t="s">
        <v>1348</v>
      </c>
      <c r="I320" s="427">
        <v>45778</v>
      </c>
      <c r="J320" s="427">
        <v>9781394287697</v>
      </c>
      <c r="K320" s="427" t="s">
        <v>1349</v>
      </c>
    </row>
    <row r="321" spans="1:11" ht="52.8">
      <c r="A321" s="427">
        <v>320</v>
      </c>
      <c r="B321" s="427" t="s">
        <v>1350</v>
      </c>
      <c r="C321" s="427" t="s">
        <v>322</v>
      </c>
      <c r="D321" s="427" t="s">
        <v>20</v>
      </c>
      <c r="E321" s="427" t="s">
        <v>138</v>
      </c>
      <c r="F321" s="427" t="s">
        <v>65</v>
      </c>
      <c r="G321" s="427" t="s">
        <v>124</v>
      </c>
      <c r="H321" s="427" t="s">
        <v>1351</v>
      </c>
      <c r="I321" s="427" t="s">
        <v>1352</v>
      </c>
      <c r="J321" s="427" t="s">
        <v>141</v>
      </c>
      <c r="K321" s="427" t="s">
        <v>1353</v>
      </c>
    </row>
    <row r="322" spans="1:11" ht="39.6">
      <c r="A322" s="427">
        <v>321</v>
      </c>
      <c r="B322" s="427" t="s">
        <v>1354</v>
      </c>
      <c r="C322" s="427" t="s">
        <v>322</v>
      </c>
      <c r="D322" s="427" t="s">
        <v>20</v>
      </c>
      <c r="E322" s="427" t="s">
        <v>1355</v>
      </c>
      <c r="F322" s="427" t="s">
        <v>62</v>
      </c>
      <c r="G322" s="427" t="s">
        <v>124</v>
      </c>
      <c r="H322" s="427" t="s">
        <v>1356</v>
      </c>
      <c r="I322" s="427" t="s">
        <v>1357</v>
      </c>
      <c r="J322" s="427" t="s">
        <v>1358</v>
      </c>
      <c r="K322" s="427" t="s">
        <v>1359</v>
      </c>
    </row>
    <row r="323" spans="1:11" ht="52.8">
      <c r="A323" s="427">
        <v>322</v>
      </c>
      <c r="B323" s="427" t="s">
        <v>1360</v>
      </c>
      <c r="C323" s="427" t="s">
        <v>322</v>
      </c>
      <c r="D323" s="427" t="s">
        <v>20</v>
      </c>
      <c r="E323" s="427" t="s">
        <v>1361</v>
      </c>
      <c r="F323" s="427" t="s">
        <v>65</v>
      </c>
      <c r="G323" s="427" t="s">
        <v>124</v>
      </c>
      <c r="H323" s="427" t="s">
        <v>1362</v>
      </c>
      <c r="I323" s="427" t="s">
        <v>1363</v>
      </c>
      <c r="J323" s="427" t="s">
        <v>1364</v>
      </c>
      <c r="K323" s="427" t="s">
        <v>1365</v>
      </c>
    </row>
    <row r="324" spans="1:11" ht="39.6">
      <c r="A324" s="427">
        <v>323</v>
      </c>
      <c r="B324" s="427" t="s">
        <v>1366</v>
      </c>
      <c r="C324" s="427" t="s">
        <v>322</v>
      </c>
      <c r="D324" s="427" t="s">
        <v>20</v>
      </c>
      <c r="E324" s="427" t="s">
        <v>1367</v>
      </c>
      <c r="F324" s="427" t="s">
        <v>230</v>
      </c>
      <c r="G324" s="427" t="s">
        <v>124</v>
      </c>
      <c r="H324" s="427" t="s">
        <v>1368</v>
      </c>
      <c r="I324" s="427" t="s">
        <v>1369</v>
      </c>
      <c r="J324" s="427" t="s">
        <v>1370</v>
      </c>
      <c r="K324" s="427" t="s">
        <v>1371</v>
      </c>
    </row>
    <row r="325" spans="1:11" ht="105.6">
      <c r="A325" s="427">
        <v>324</v>
      </c>
      <c r="B325" s="427" t="s">
        <v>1372</v>
      </c>
      <c r="C325" s="427" t="s">
        <v>322</v>
      </c>
      <c r="D325" s="427" t="s">
        <v>20</v>
      </c>
      <c r="E325" s="427" t="s">
        <v>1373</v>
      </c>
      <c r="F325" s="427"/>
      <c r="G325" s="427" t="s">
        <v>124</v>
      </c>
      <c r="H325" s="427" t="s">
        <v>1374</v>
      </c>
      <c r="I325" s="427">
        <v>45566</v>
      </c>
      <c r="J325" s="427" t="s">
        <v>1375</v>
      </c>
      <c r="K325" s="427" t="s">
        <v>1376</v>
      </c>
    </row>
    <row r="326" spans="1:11" ht="105.6">
      <c r="A326" s="427">
        <v>325</v>
      </c>
      <c r="B326" s="427" t="s">
        <v>1372</v>
      </c>
      <c r="C326" s="427" t="s">
        <v>322</v>
      </c>
      <c r="D326" s="427" t="s">
        <v>20</v>
      </c>
      <c r="E326" s="427" t="s">
        <v>1373</v>
      </c>
      <c r="F326" s="427"/>
      <c r="G326" s="427" t="s">
        <v>124</v>
      </c>
      <c r="H326" s="427" t="s">
        <v>1377</v>
      </c>
      <c r="I326" s="427">
        <v>45566</v>
      </c>
      <c r="J326" s="427" t="s">
        <v>1375</v>
      </c>
      <c r="K326" s="427" t="s">
        <v>1378</v>
      </c>
    </row>
    <row r="327" spans="1:11" ht="66">
      <c r="A327" s="427">
        <v>326</v>
      </c>
      <c r="B327" s="427" t="s">
        <v>1372</v>
      </c>
      <c r="C327" s="427" t="s">
        <v>322</v>
      </c>
      <c r="D327" s="427" t="s">
        <v>20</v>
      </c>
      <c r="E327" s="427" t="s">
        <v>1379</v>
      </c>
      <c r="F327" s="427"/>
      <c r="G327" s="427" t="s">
        <v>164</v>
      </c>
      <c r="H327" s="427" t="s">
        <v>1380</v>
      </c>
      <c r="I327" s="427">
        <v>45597</v>
      </c>
      <c r="J327" s="427" t="s">
        <v>1381</v>
      </c>
      <c r="K327" s="427" t="s">
        <v>1382</v>
      </c>
    </row>
    <row r="328" spans="1:11" ht="66">
      <c r="A328" s="427">
        <v>327</v>
      </c>
      <c r="B328" s="427" t="s">
        <v>1372</v>
      </c>
      <c r="C328" s="427" t="s">
        <v>322</v>
      </c>
      <c r="D328" s="427" t="s">
        <v>20</v>
      </c>
      <c r="E328" s="427" t="s">
        <v>1379</v>
      </c>
      <c r="F328" s="427"/>
      <c r="G328" s="427" t="s">
        <v>164</v>
      </c>
      <c r="H328" s="427" t="s">
        <v>1383</v>
      </c>
      <c r="I328" s="427">
        <v>45597</v>
      </c>
      <c r="J328" s="427" t="s">
        <v>1381</v>
      </c>
      <c r="K328" s="427" t="s">
        <v>1384</v>
      </c>
    </row>
    <row r="329" spans="1:11" ht="66">
      <c r="A329" s="427">
        <v>328</v>
      </c>
      <c r="B329" s="427" t="s">
        <v>1350</v>
      </c>
      <c r="C329" s="427" t="s">
        <v>322</v>
      </c>
      <c r="D329" s="427" t="s">
        <v>20</v>
      </c>
      <c r="E329" s="427" t="s">
        <v>1355</v>
      </c>
      <c r="F329" s="427" t="s">
        <v>62</v>
      </c>
      <c r="G329" s="427" t="s">
        <v>124</v>
      </c>
      <c r="H329" s="427" t="s">
        <v>1385</v>
      </c>
      <c r="I329" s="427" t="s">
        <v>1386</v>
      </c>
      <c r="J329" s="427" t="s">
        <v>1358</v>
      </c>
      <c r="K329" s="427" t="s">
        <v>1387</v>
      </c>
    </row>
    <row r="330" spans="1:11" ht="66">
      <c r="A330" s="427">
        <v>329</v>
      </c>
      <c r="B330" s="427" t="s">
        <v>1388</v>
      </c>
      <c r="C330" s="427" t="s">
        <v>322</v>
      </c>
      <c r="D330" s="427" t="s">
        <v>20</v>
      </c>
      <c r="E330" s="427" t="s">
        <v>1389</v>
      </c>
      <c r="F330" s="427"/>
      <c r="G330" s="427"/>
      <c r="H330" s="427" t="s">
        <v>1380</v>
      </c>
      <c r="I330" s="427">
        <v>45597</v>
      </c>
      <c r="J330" s="427" t="s">
        <v>1381</v>
      </c>
      <c r="K330" s="427" t="s">
        <v>1382</v>
      </c>
    </row>
    <row r="331" spans="1:11" ht="39.6">
      <c r="A331" s="427">
        <v>330</v>
      </c>
      <c r="B331" s="427" t="s">
        <v>1360</v>
      </c>
      <c r="C331" s="427" t="s">
        <v>322</v>
      </c>
      <c r="D331" s="427" t="s">
        <v>20</v>
      </c>
      <c r="E331" s="427" t="s">
        <v>1390</v>
      </c>
      <c r="F331" s="427" t="s">
        <v>230</v>
      </c>
      <c r="G331" s="427" t="s">
        <v>124</v>
      </c>
      <c r="H331" s="427" t="s">
        <v>1391</v>
      </c>
      <c r="I331" s="427">
        <v>41974</v>
      </c>
      <c r="J331" s="427" t="s">
        <v>1392</v>
      </c>
      <c r="K331" s="427" t="s">
        <v>1393</v>
      </c>
    </row>
    <row r="332" spans="1:11" ht="39.6">
      <c r="A332" s="427">
        <v>331</v>
      </c>
      <c r="B332" s="427" t="s">
        <v>1360</v>
      </c>
      <c r="C332" s="427" t="s">
        <v>322</v>
      </c>
      <c r="D332" s="427" t="s">
        <v>20</v>
      </c>
      <c r="E332" s="427" t="s">
        <v>1394</v>
      </c>
      <c r="F332" s="427" t="s">
        <v>65</v>
      </c>
      <c r="G332" s="427" t="s">
        <v>124</v>
      </c>
      <c r="H332" s="427" t="s">
        <v>1395</v>
      </c>
      <c r="I332" s="427" t="s">
        <v>1396</v>
      </c>
      <c r="J332" s="427" t="s">
        <v>1397</v>
      </c>
      <c r="K332" s="427" t="s">
        <v>1398</v>
      </c>
    </row>
    <row r="333" spans="1:11" ht="52.8">
      <c r="A333" s="427">
        <v>332</v>
      </c>
      <c r="B333" s="427" t="s">
        <v>1354</v>
      </c>
      <c r="C333" s="427"/>
      <c r="D333" s="427" t="s">
        <v>20</v>
      </c>
      <c r="E333" s="427" t="s">
        <v>1399</v>
      </c>
      <c r="F333" s="427" t="s">
        <v>62</v>
      </c>
      <c r="G333" s="427" t="s">
        <v>100</v>
      </c>
      <c r="H333" s="427" t="s">
        <v>1400</v>
      </c>
      <c r="I333" s="427" t="s">
        <v>134</v>
      </c>
      <c r="J333" s="427" t="s">
        <v>1401</v>
      </c>
      <c r="K333" s="427" t="s">
        <v>1402</v>
      </c>
    </row>
    <row r="334" spans="1:11" ht="52.8">
      <c r="A334" s="427">
        <v>333</v>
      </c>
      <c r="B334" s="427" t="s">
        <v>1372</v>
      </c>
      <c r="C334" s="427" t="s">
        <v>108</v>
      </c>
      <c r="D334" s="427" t="s">
        <v>20</v>
      </c>
      <c r="E334" s="427" t="s">
        <v>1403</v>
      </c>
      <c r="F334" s="427" t="s">
        <v>62</v>
      </c>
      <c r="G334" s="427" t="s">
        <v>164</v>
      </c>
      <c r="H334" s="427" t="s">
        <v>1404</v>
      </c>
      <c r="I334" s="427">
        <v>45689</v>
      </c>
      <c r="J334" s="427" t="s">
        <v>1405</v>
      </c>
      <c r="K334" s="427" t="s">
        <v>1406</v>
      </c>
    </row>
    <row r="335" spans="1:11" ht="39.6">
      <c r="A335" s="427">
        <v>334</v>
      </c>
      <c r="B335" s="427" t="s">
        <v>1304</v>
      </c>
      <c r="C335" s="427" t="s">
        <v>322</v>
      </c>
      <c r="D335" s="427" t="s">
        <v>1293</v>
      </c>
      <c r="E335" s="427" t="s">
        <v>1407</v>
      </c>
      <c r="F335" s="427"/>
      <c r="G335" s="427" t="s">
        <v>124</v>
      </c>
      <c r="H335" s="427" t="s">
        <v>1408</v>
      </c>
      <c r="I335" s="427">
        <v>45689</v>
      </c>
      <c r="J335" s="427" t="s">
        <v>1409</v>
      </c>
      <c r="K335" s="427" t="s">
        <v>1410</v>
      </c>
    </row>
    <row r="336" spans="1:11" ht="52.8">
      <c r="A336" s="427">
        <v>335</v>
      </c>
      <c r="B336" s="427" t="s">
        <v>1411</v>
      </c>
      <c r="C336" s="427" t="s">
        <v>1412</v>
      </c>
      <c r="D336" s="427" t="s">
        <v>20</v>
      </c>
      <c r="E336" s="427" t="s">
        <v>1413</v>
      </c>
      <c r="F336" s="427" t="s">
        <v>99</v>
      </c>
      <c r="G336" s="427" t="s">
        <v>124</v>
      </c>
      <c r="H336" s="427" t="s">
        <v>1414</v>
      </c>
      <c r="I336" s="427">
        <v>45809</v>
      </c>
      <c r="J336" s="427" t="s">
        <v>1415</v>
      </c>
      <c r="K336" s="427" t="s">
        <v>1416</v>
      </c>
    </row>
    <row r="337" spans="1:11" ht="52.8">
      <c r="A337" s="427">
        <v>336</v>
      </c>
      <c r="B337" s="427" t="s">
        <v>1372</v>
      </c>
      <c r="C337" s="427" t="s">
        <v>108</v>
      </c>
      <c r="D337" s="427" t="s">
        <v>20</v>
      </c>
      <c r="E337" s="427" t="s">
        <v>1417</v>
      </c>
      <c r="F337" s="427" t="s">
        <v>62</v>
      </c>
      <c r="G337" s="427" t="s">
        <v>124</v>
      </c>
      <c r="H337" s="427" t="s">
        <v>1418</v>
      </c>
      <c r="I337" s="427">
        <v>45809</v>
      </c>
      <c r="J337" s="427">
        <v>2540584</v>
      </c>
      <c r="K337" s="427" t="s">
        <v>1419</v>
      </c>
    </row>
    <row r="338" spans="1:11" ht="79.2">
      <c r="A338" s="427">
        <v>337</v>
      </c>
      <c r="B338" s="427" t="s">
        <v>1420</v>
      </c>
      <c r="C338" s="427" t="s">
        <v>322</v>
      </c>
      <c r="D338" s="427" t="s">
        <v>1293</v>
      </c>
      <c r="E338" s="427" t="s">
        <v>1421</v>
      </c>
      <c r="F338" s="427" t="s">
        <v>1343</v>
      </c>
      <c r="G338" s="427" t="s">
        <v>124</v>
      </c>
      <c r="H338" s="427" t="s">
        <v>1422</v>
      </c>
      <c r="I338" s="427" t="s">
        <v>1423</v>
      </c>
      <c r="J338" s="427" t="s">
        <v>1424</v>
      </c>
      <c r="K338" s="427" t="s">
        <v>1425</v>
      </c>
    </row>
    <row r="339" spans="1:11" ht="52.8">
      <c r="A339" s="427">
        <v>338</v>
      </c>
      <c r="B339" s="427" t="s">
        <v>1426</v>
      </c>
      <c r="C339" s="427" t="s">
        <v>164</v>
      </c>
      <c r="D339" s="427" t="s">
        <v>15</v>
      </c>
      <c r="E339" s="427" t="s">
        <v>304</v>
      </c>
      <c r="F339" s="427" t="s">
        <v>100</v>
      </c>
      <c r="G339" s="427" t="s">
        <v>100</v>
      </c>
      <c r="H339" s="427" t="s">
        <v>305</v>
      </c>
      <c r="I339" s="427" t="s">
        <v>1427</v>
      </c>
      <c r="J339" s="427" t="s">
        <v>306</v>
      </c>
      <c r="K339" s="427" t="s">
        <v>1428</v>
      </c>
    </row>
    <row r="340" spans="1:11" ht="26.4">
      <c r="A340" s="427">
        <v>339</v>
      </c>
      <c r="B340" s="427" t="s">
        <v>1429</v>
      </c>
      <c r="C340" s="427" t="s">
        <v>156</v>
      </c>
      <c r="D340" s="427" t="s">
        <v>15</v>
      </c>
      <c r="E340" s="427" t="s">
        <v>1237</v>
      </c>
      <c r="F340" s="427" t="s">
        <v>100</v>
      </c>
      <c r="G340" s="427" t="s">
        <v>156</v>
      </c>
      <c r="H340" s="427" t="s">
        <v>1238</v>
      </c>
      <c r="I340" s="427" t="s">
        <v>621</v>
      </c>
      <c r="J340" s="427"/>
      <c r="K340" s="427"/>
    </row>
    <row r="341" spans="1:11" ht="39.6">
      <c r="A341" s="427">
        <v>340</v>
      </c>
      <c r="B341" s="427" t="s">
        <v>1430</v>
      </c>
      <c r="C341" s="427" t="s">
        <v>164</v>
      </c>
      <c r="D341" s="427" t="s">
        <v>15</v>
      </c>
      <c r="E341" s="427" t="s">
        <v>1431</v>
      </c>
      <c r="F341" s="427" t="s">
        <v>100</v>
      </c>
      <c r="G341" s="427" t="s">
        <v>100</v>
      </c>
      <c r="H341" s="427" t="s">
        <v>1432</v>
      </c>
      <c r="I341" s="427" t="s">
        <v>1433</v>
      </c>
      <c r="J341" s="427"/>
      <c r="K341" s="427" t="s">
        <v>1434</v>
      </c>
    </row>
    <row r="342" spans="1:11" ht="66">
      <c r="A342" s="427">
        <v>341</v>
      </c>
      <c r="B342" s="427" t="s">
        <v>1061</v>
      </c>
      <c r="C342" s="427" t="s">
        <v>164</v>
      </c>
      <c r="D342" s="427" t="s">
        <v>22</v>
      </c>
      <c r="E342" s="427" t="s">
        <v>1097</v>
      </c>
      <c r="F342" s="427"/>
      <c r="G342" s="427"/>
      <c r="H342" s="427" t="s">
        <v>1435</v>
      </c>
      <c r="I342" s="427" t="s">
        <v>1099</v>
      </c>
      <c r="J342" s="427"/>
      <c r="K342" s="427" t="s">
        <v>1436</v>
      </c>
    </row>
    <row r="343" spans="1:11" ht="41.25" customHeight="1"/>
    <row r="344" spans="1:11" ht="41.25" customHeight="1"/>
    <row r="345" spans="1:11" ht="41.25" customHeight="1"/>
    <row r="346" spans="1:11" ht="41.25" customHeight="1"/>
    <row r="347" spans="1:11" ht="41.25" customHeight="1"/>
    <row r="348" spans="1:11" ht="41.25" customHeight="1"/>
    <row r="349" spans="1:11" ht="41.25" customHeight="1"/>
    <row r="350" spans="1:11" ht="41.25" customHeight="1"/>
    <row r="351" spans="1:11" ht="41.25" customHeight="1"/>
    <row r="352" spans="1:11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  <row r="1002" ht="13.2"/>
    <row r="1003" ht="13.2"/>
    <row r="1004" ht="13.2"/>
    <row r="1005" ht="13.2"/>
    <row r="1006" ht="13.2"/>
    <row r="1007" ht="13.2"/>
    <row r="1008" ht="13.2"/>
    <row r="1009" ht="13.2"/>
    <row r="1010" ht="13.2"/>
    <row r="1011" ht="13.2"/>
    <row r="1012" ht="13.2"/>
    <row r="1013" ht="13.2"/>
    <row r="1014" ht="13.2"/>
    <row r="1015" ht="13.2"/>
    <row r="1016" ht="13.2"/>
    <row r="1017" ht="13.2"/>
    <row r="1018" ht="13.2"/>
    <row r="1019" ht="13.2"/>
    <row r="1020" ht="13.2"/>
    <row r="1021" ht="13.2"/>
    <row r="1022" ht="13.2"/>
    <row r="1023" ht="13.2"/>
    <row r="1024" ht="13.2"/>
    <row r="1025" ht="13.2"/>
    <row r="1026" ht="13.2"/>
    <row r="1027" ht="13.2"/>
    <row r="1028" ht="13.2"/>
    <row r="1029" ht="13.2"/>
    <row r="1030" ht="13.2"/>
    <row r="1031" ht="13.2"/>
    <row r="1032" ht="13.2"/>
    <row r="1033" ht="13.2"/>
    <row r="1034" ht="13.2"/>
    <row r="1035" ht="13.2"/>
    <row r="1036" ht="13.2"/>
    <row r="1037" ht="13.2"/>
    <row r="1038" ht="13.2"/>
    <row r="1039" ht="13.2"/>
    <row r="1040" ht="13.2"/>
    <row r="1041" ht="13.2"/>
    <row r="1042" ht="13.2"/>
    <row r="1043" ht="13.2"/>
    <row r="1044" ht="13.2"/>
    <row r="1045" ht="13.2"/>
    <row r="1046" ht="13.2"/>
    <row r="1047" ht="13.2"/>
    <row r="1048" ht="13.2"/>
    <row r="1049" ht="13.2"/>
    <row r="1050" ht="13.2"/>
    <row r="1051" ht="13.2"/>
    <row r="1052" ht="13.2"/>
    <row r="1053" ht="13.2"/>
    <row r="1054" ht="13.2"/>
    <row r="1055" ht="13.2"/>
    <row r="1056" ht="13.2"/>
    <row r="1057" ht="13.2"/>
    <row r="1058" ht="13.2"/>
    <row r="1059" ht="13.2"/>
    <row r="1060" ht="13.2"/>
    <row r="1061" ht="13.2"/>
    <row r="1062" ht="13.2"/>
    <row r="1063" ht="13.2"/>
    <row r="1064" ht="13.2"/>
    <row r="1065" ht="13.2"/>
    <row r="1066" ht="13.2"/>
    <row r="1067" ht="13.2"/>
    <row r="1068" ht="13.2"/>
    <row r="1069" ht="13.2"/>
    <row r="1070" ht="13.2"/>
    <row r="1071" ht="13.2"/>
    <row r="1072" ht="13.2"/>
    <row r="1073" ht="13.2"/>
    <row r="1074" ht="13.2"/>
    <row r="1075" ht="13.2"/>
    <row r="1076" ht="13.2"/>
    <row r="1077" ht="13.2"/>
    <row r="1078" ht="13.2"/>
    <row r="1079" ht="13.2"/>
    <row r="1080" ht="13.2"/>
    <row r="1081" ht="13.2"/>
    <row r="1082" ht="13.2"/>
    <row r="1083" ht="13.2"/>
    <row r="1084" ht="13.2"/>
    <row r="1085" ht="13.2"/>
    <row r="1086" ht="13.2"/>
    <row r="1087" ht="13.2"/>
    <row r="1088" ht="13.2"/>
    <row r="1089" ht="13.2"/>
    <row r="1090" ht="13.2"/>
    <row r="1091" ht="13.2"/>
    <row r="1092" ht="13.2"/>
    <row r="1093" ht="13.2"/>
    <row r="1094" ht="13.2"/>
    <row r="1095" ht="13.2"/>
    <row r="1096" ht="13.2"/>
    <row r="1097" ht="13.2"/>
    <row r="1098" ht="13.2"/>
    <row r="1099" ht="13.2"/>
    <row r="1100" ht="13.2"/>
    <row r="1101" ht="13.2"/>
    <row r="1102" ht="13.2"/>
    <row r="1103" ht="13.2"/>
    <row r="1104" ht="13.2"/>
    <row r="1105" ht="13.2"/>
    <row r="1106" ht="13.2"/>
    <row r="1107" ht="13.2"/>
    <row r="1108" ht="13.2"/>
    <row r="1109" ht="13.2"/>
    <row r="1110" ht="13.2"/>
    <row r="1111" ht="13.2"/>
    <row r="1112" ht="13.2"/>
    <row r="1113" ht="13.2"/>
    <row r="1114" ht="13.2"/>
    <row r="1115" ht="13.2"/>
    <row r="1116" ht="13.2"/>
    <row r="1117" ht="13.2"/>
    <row r="1118" ht="13.2"/>
    <row r="1119" ht="13.2"/>
    <row r="1120" ht="13.2"/>
    <row r="1121" ht="13.2"/>
    <row r="1122" ht="13.2"/>
    <row r="1123" ht="13.2"/>
    <row r="1124" ht="13.2"/>
    <row r="1125" ht="13.2"/>
    <row r="1126" ht="13.2"/>
    <row r="1127" ht="13.2"/>
    <row r="1128" ht="13.2"/>
    <row r="1129" ht="13.2"/>
    <row r="1130" ht="13.2"/>
    <row r="1131" ht="13.2"/>
    <row r="1132" ht="13.2"/>
    <row r="1133" ht="13.2"/>
    <row r="1134" ht="13.2"/>
    <row r="1135" ht="13.2"/>
    <row r="1136" ht="13.2"/>
    <row r="1137" ht="13.2"/>
    <row r="1138" ht="13.2"/>
    <row r="1139" ht="13.2"/>
    <row r="1140" ht="13.2"/>
    <row r="1141" ht="13.2"/>
    <row r="1142" ht="13.2"/>
    <row r="1143" ht="13.2"/>
    <row r="1144" ht="13.2"/>
    <row r="1145" ht="13.2"/>
    <row r="1146" ht="13.2"/>
    <row r="1147" ht="13.2"/>
    <row r="1148" ht="13.2"/>
    <row r="1149" ht="13.2"/>
    <row r="1150" ht="13.2"/>
    <row r="1151" ht="13.2"/>
    <row r="1152" ht="13.2"/>
    <row r="1153" ht="13.2"/>
    <row r="1154" ht="13.2"/>
    <row r="1155" ht="13.2"/>
    <row r="1156" ht="13.2"/>
    <row r="1157" ht="13.2"/>
    <row r="1158" ht="13.2"/>
    <row r="1159" ht="13.2"/>
    <row r="1160" ht="13.2"/>
    <row r="1161" ht="13.2"/>
    <row r="1162" ht="13.2"/>
    <row r="1163" ht="13.2"/>
    <row r="1164" ht="13.2"/>
    <row r="1165" ht="13.2"/>
    <row r="1166" ht="13.2"/>
    <row r="1167" ht="13.2"/>
    <row r="1168" ht="13.2"/>
    <row r="1169" ht="13.2"/>
    <row r="1170" ht="13.2"/>
    <row r="1171" ht="13.2"/>
    <row r="1172" ht="13.2"/>
    <row r="1173" ht="13.2"/>
    <row r="1174" ht="13.2"/>
    <row r="1175" ht="13.2"/>
    <row r="1176" ht="13.2"/>
    <row r="1177" ht="13.2"/>
    <row r="1178" ht="13.2"/>
    <row r="1179" ht="13.2"/>
    <row r="1180" ht="13.2"/>
    <row r="1181" ht="13.2"/>
    <row r="1182" ht="13.2"/>
    <row r="1183" ht="13.2"/>
    <row r="1184" ht="13.2"/>
    <row r="1185" ht="13.2"/>
    <row r="1186" ht="13.2"/>
    <row r="1187" ht="13.2"/>
    <row r="1188" ht="13.2"/>
    <row r="1189" ht="13.2"/>
    <row r="1190" ht="13.2"/>
    <row r="1191" ht="13.2"/>
    <row r="1192" ht="13.2"/>
    <row r="1193" ht="13.2"/>
    <row r="1194" ht="13.2"/>
    <row r="1195" ht="13.2"/>
    <row r="1196" ht="13.2"/>
    <row r="1197" ht="13.2"/>
    <row r="1198" ht="13.2"/>
    <row r="1199" ht="13.2"/>
    <row r="1200" ht="13.2"/>
    <row r="1201" ht="13.2"/>
    <row r="1202" ht="13.2"/>
    <row r="1203" ht="13.2"/>
    <row r="1204" ht="13.2"/>
    <row r="1205" ht="13.2"/>
    <row r="1206" ht="13.2"/>
    <row r="1207" ht="13.2"/>
    <row r="1208" ht="13.2"/>
    <row r="1209" ht="13.2"/>
    <row r="1210" ht="13.2"/>
    <row r="1211" ht="13.2"/>
    <row r="1212" ht="13.2"/>
    <row r="1213" ht="13.2"/>
    <row r="1214" ht="13.2"/>
    <row r="1215" ht="13.2"/>
    <row r="1216" ht="13.2"/>
    <row r="1217" ht="13.2"/>
    <row r="1218" ht="13.2"/>
    <row r="1219" ht="13.2"/>
    <row r="1220" ht="13.2"/>
    <row r="1221" ht="13.2"/>
    <row r="1222" ht="13.2"/>
    <row r="1223" ht="13.2"/>
    <row r="1224" ht="13.2"/>
    <row r="1225" ht="13.2"/>
    <row r="1226" ht="13.2"/>
    <row r="1227" ht="13.2"/>
    <row r="1228" ht="13.2"/>
    <row r="1229" ht="13.2"/>
    <row r="1230" ht="13.2"/>
    <row r="1231" ht="13.2"/>
    <row r="1232" ht="13.2"/>
    <row r="1233" ht="13.2"/>
    <row r="1234" ht="13.2"/>
    <row r="1235" ht="13.2"/>
    <row r="1236" ht="13.2"/>
    <row r="1237" ht="13.2"/>
    <row r="1238" ht="13.2"/>
    <row r="1239" ht="13.2"/>
    <row r="1240" ht="13.2"/>
    <row r="1241" ht="13.2"/>
    <row r="1242" ht="13.2"/>
    <row r="1243" ht="13.2"/>
    <row r="1244" ht="13.2"/>
    <row r="1245" ht="13.2"/>
    <row r="1246" ht="13.2"/>
    <row r="1247" ht="13.2"/>
    <row r="1248" ht="13.2"/>
    <row r="1249" ht="13.2"/>
    <row r="1250" ht="13.2"/>
    <row r="1251" ht="13.2"/>
    <row r="1252" ht="13.2"/>
    <row r="1253" ht="13.2"/>
    <row r="1254" ht="13.2"/>
    <row r="1255" ht="13.2"/>
    <row r="1256" ht="13.2"/>
    <row r="1257" ht="13.2"/>
    <row r="1258" ht="13.2"/>
    <row r="1259" ht="13.2"/>
    <row r="1260" ht="13.2"/>
    <row r="1261" ht="13.2"/>
    <row r="1262" ht="13.2"/>
    <row r="1263" ht="13.2"/>
    <row r="1264" ht="13.2"/>
    <row r="1265" ht="13.2"/>
    <row r="1266" ht="13.2"/>
    <row r="1267" ht="13.2"/>
    <row r="1268" ht="13.2"/>
    <row r="1269" ht="13.2"/>
    <row r="1270" ht="13.2"/>
    <row r="1271" ht="13.2"/>
    <row r="1272" ht="13.2"/>
    <row r="1273" ht="13.2"/>
    <row r="1274" ht="13.2"/>
    <row r="1275" ht="13.2"/>
    <row r="1276" ht="13.2"/>
    <row r="1277" ht="13.2"/>
    <row r="1278" ht="13.2"/>
    <row r="1279" ht="13.2"/>
    <row r="1280" ht="13.2"/>
    <row r="1281" ht="13.2"/>
    <row r="1282" ht="13.2"/>
    <row r="1283" ht="13.2"/>
    <row r="1284" ht="13.2"/>
    <row r="1285" ht="13.2"/>
    <row r="1286" ht="13.2"/>
    <row r="1287" ht="13.2"/>
    <row r="1288" ht="13.2"/>
    <row r="1289" ht="13.2"/>
    <row r="1290" ht="13.2"/>
    <row r="1291" ht="13.2"/>
    <row r="1292" ht="13.2"/>
    <row r="1293" ht="13.2"/>
    <row r="1294" ht="13.2"/>
    <row r="1295" ht="13.2"/>
    <row r="1296" ht="13.2"/>
    <row r="1297" ht="13.2"/>
    <row r="1298" ht="13.2"/>
    <row r="1299" ht="13.2"/>
    <row r="1300" ht="13.2"/>
    <row r="1301" ht="13.2"/>
    <row r="1302" ht="13.2"/>
    <row r="1303" ht="13.2"/>
    <row r="1304" ht="13.2"/>
    <row r="1305" ht="13.2"/>
    <row r="1306" ht="13.2"/>
    <row r="1307" ht="13.2"/>
    <row r="1308" ht="13.2"/>
    <row r="1309" ht="13.2"/>
    <row r="1310" ht="13.2"/>
    <row r="1311" ht="13.2"/>
    <row r="1312" ht="13.2"/>
    <row r="1313" ht="13.2"/>
    <row r="1314" ht="13.2"/>
    <row r="1315" ht="13.2"/>
    <row r="1316" ht="13.2"/>
    <row r="1317" ht="13.2"/>
    <row r="1318" ht="13.2"/>
    <row r="1319" ht="13.2"/>
    <row r="1320" ht="13.2"/>
    <row r="1321" ht="13.2"/>
    <row r="1322" ht="13.2"/>
    <row r="1323" ht="13.2"/>
    <row r="1324" ht="13.2"/>
    <row r="1325" ht="13.2"/>
    <row r="1326" ht="13.2"/>
    <row r="1327" ht="13.2"/>
    <row r="1328" ht="13.2"/>
    <row r="1329" ht="13.2"/>
    <row r="1330" ht="13.2"/>
    <row r="1331" ht="13.2"/>
    <row r="1332" ht="13.2"/>
    <row r="1333" ht="13.2"/>
    <row r="1334" ht="13.2"/>
    <row r="1335" ht="13.2"/>
    <row r="1336" ht="13.2"/>
    <row r="1337" ht="13.2"/>
    <row r="1338" ht="13.2"/>
    <row r="1339" ht="13.2"/>
    <row r="1340" ht="13.2"/>
    <row r="1341" ht="13.2"/>
    <row r="1342" ht="13.2"/>
    <row r="1343" ht="13.2"/>
    <row r="1344" ht="13.2"/>
    <row r="1345" ht="13.2"/>
    <row r="1346" ht="13.2"/>
    <row r="1347" ht="13.2"/>
    <row r="1348" ht="13.2"/>
    <row r="1349" ht="13.2"/>
    <row r="1350" ht="13.2"/>
    <row r="1351" ht="13.2"/>
    <row r="1352" ht="13.2"/>
    <row r="1353" ht="13.2"/>
    <row r="1354" ht="13.2"/>
    <row r="1355" ht="13.2"/>
    <row r="1356" ht="13.2"/>
    <row r="1357" ht="13.2"/>
    <row r="1358" ht="13.2"/>
    <row r="1359" ht="13.2"/>
    <row r="1360" ht="13.2"/>
    <row r="1361" ht="13.2"/>
    <row r="1362" ht="13.2"/>
    <row r="1363" ht="13.2"/>
    <row r="1364" ht="13.2"/>
    <row r="1365" ht="13.2"/>
    <row r="1366" ht="13.2"/>
    <row r="1367" ht="13.2"/>
    <row r="1368" ht="13.2"/>
    <row r="1369" ht="13.2"/>
    <row r="1370" ht="13.2"/>
    <row r="1371" ht="13.2"/>
    <row r="1372" ht="13.2"/>
    <row r="1373" ht="13.2"/>
    <row r="1374" ht="13.2"/>
    <row r="1375" ht="13.2"/>
    <row r="1376" ht="13.2"/>
    <row r="1377" ht="13.2"/>
    <row r="1378" ht="13.2"/>
    <row r="1379" ht="13.2"/>
    <row r="1380" ht="13.2"/>
    <row r="1381" ht="13.2"/>
    <row r="1382" ht="13.2"/>
    <row r="1383" ht="13.2"/>
    <row r="1384" ht="13.2"/>
    <row r="1385" ht="13.2"/>
    <row r="1386" ht="13.2"/>
    <row r="1387" ht="13.2"/>
    <row r="1388" ht="13.2"/>
    <row r="1389" ht="13.2"/>
    <row r="1390" ht="13.2"/>
    <row r="1391" ht="13.2"/>
    <row r="1392" ht="13.2"/>
    <row r="1393" ht="13.2"/>
    <row r="1394" ht="13.2"/>
    <row r="1395" ht="13.2"/>
    <row r="1396" ht="13.2"/>
    <row r="1397" ht="13.2"/>
    <row r="1398" ht="13.2"/>
    <row r="1399" ht="13.2"/>
    <row r="1400" ht="13.2"/>
    <row r="1401" ht="13.2"/>
    <row r="1402" ht="13.2"/>
    <row r="1403" ht="13.2"/>
    <row r="1404" ht="13.2"/>
    <row r="1405" ht="13.2"/>
    <row r="1406" ht="13.2"/>
    <row r="1407" ht="13.2"/>
    <row r="1408" ht="13.2"/>
    <row r="1409" ht="13.2"/>
    <row r="1410" ht="13.2"/>
    <row r="1411" ht="13.2"/>
    <row r="1412" ht="13.2"/>
    <row r="1413" ht="13.2"/>
    <row r="1414" ht="13.2"/>
    <row r="1415" ht="13.2"/>
    <row r="1416" ht="13.2"/>
    <row r="1417" ht="13.2"/>
    <row r="1418" ht="13.2"/>
    <row r="1419" ht="13.2"/>
    <row r="1420" ht="13.2"/>
    <row r="1421" ht="13.2"/>
    <row r="1422" ht="13.2"/>
    <row r="1423" ht="13.2"/>
    <row r="1424" ht="13.2"/>
    <row r="1425" ht="13.2"/>
    <row r="1426" ht="13.2"/>
    <row r="1427" ht="13.2"/>
    <row r="1428" ht="13.2"/>
    <row r="1429" ht="13.2"/>
    <row r="1430" ht="13.2"/>
    <row r="1431" ht="13.2"/>
    <row r="1432" ht="13.2"/>
    <row r="1433" ht="13.2"/>
    <row r="1434" ht="13.2"/>
    <row r="1435" ht="13.2"/>
    <row r="1436" ht="13.2"/>
    <row r="1437" ht="13.2"/>
    <row r="1438" ht="13.2"/>
    <row r="1439" ht="13.2"/>
    <row r="1440" ht="13.2"/>
    <row r="1441" ht="13.2"/>
    <row r="1442" ht="13.2"/>
    <row r="1443" ht="13.2"/>
    <row r="1444" ht="13.2"/>
    <row r="1445" ht="13.2"/>
    <row r="1446" ht="13.2"/>
    <row r="1447" ht="13.2"/>
    <row r="1448" ht="13.2"/>
    <row r="1449" ht="13.2"/>
    <row r="1450" ht="13.2"/>
    <row r="1451" ht="13.2"/>
    <row r="1452" ht="13.2"/>
    <row r="1453" ht="13.2"/>
    <row r="1454" ht="13.2"/>
    <row r="1455" ht="13.2"/>
    <row r="1456" ht="13.2"/>
    <row r="1457" ht="13.2"/>
    <row r="1458" ht="13.2"/>
    <row r="1459" ht="13.2"/>
    <row r="1460" ht="13.2"/>
    <row r="1461" ht="13.2"/>
    <row r="1462" ht="13.2"/>
    <row r="1463" ht="13.2"/>
    <row r="1464" ht="13.2"/>
    <row r="1465" ht="13.2"/>
    <row r="1466" ht="13.2"/>
    <row r="1467" ht="13.2"/>
    <row r="1468" ht="13.2"/>
    <row r="1469" ht="13.2"/>
    <row r="1470" ht="13.2"/>
    <row r="1471" ht="13.2"/>
    <row r="1472" ht="13.2"/>
    <row r="1473" ht="13.2"/>
    <row r="1474" ht="13.2"/>
    <row r="1475" ht="13.2"/>
    <row r="1476" ht="13.2"/>
    <row r="1477" ht="13.2"/>
    <row r="1478" ht="13.2"/>
    <row r="1479" ht="13.2"/>
    <row r="1480" ht="13.2"/>
    <row r="1481" ht="13.2"/>
    <row r="1482" ht="13.2"/>
    <row r="1483" ht="13.2"/>
    <row r="1484" ht="13.2"/>
    <row r="1485" ht="13.2"/>
    <row r="1486" ht="13.2"/>
    <row r="1487" ht="13.2"/>
    <row r="1488" ht="13.2"/>
    <row r="1489" ht="13.2"/>
    <row r="1490" ht="13.2"/>
    <row r="1491" ht="13.2"/>
    <row r="1492" ht="13.2"/>
    <row r="1493" ht="13.2"/>
    <row r="1494" ht="13.2"/>
    <row r="1495" ht="13.2"/>
    <row r="1496" ht="13.2"/>
    <row r="1497" ht="13.2"/>
    <row r="1498" ht="13.2"/>
    <row r="1499" ht="13.2"/>
    <row r="1500" ht="13.2"/>
    <row r="1501" ht="13.2"/>
    <row r="1502" ht="13.2"/>
    <row r="1503" ht="13.2"/>
    <row r="1504" ht="13.2"/>
    <row r="1505" ht="13.2"/>
    <row r="1506" ht="13.2"/>
    <row r="1507" ht="13.2"/>
    <row r="1508" ht="13.2"/>
    <row r="1509" ht="13.2"/>
    <row r="1510" ht="13.2"/>
    <row r="1511" ht="13.2"/>
    <row r="1512" ht="13.2"/>
    <row r="1513" ht="13.2"/>
    <row r="1514" ht="13.2"/>
    <row r="1515" ht="13.2"/>
    <row r="1516" ht="13.2"/>
    <row r="1517" ht="13.2"/>
    <row r="1518" ht="13.2"/>
    <row r="1519" ht="13.2"/>
    <row r="1520" ht="13.2"/>
    <row r="1521" ht="13.2"/>
    <row r="1522" ht="13.2"/>
    <row r="1523" ht="13.2"/>
    <row r="1524" ht="13.2"/>
    <row r="1525" ht="13.2"/>
    <row r="1526" ht="13.2"/>
    <row r="1527" ht="13.2"/>
    <row r="1528" ht="13.2"/>
    <row r="1529" ht="13.2"/>
    <row r="1530" ht="13.2"/>
    <row r="1531" ht="13.2"/>
    <row r="1532" ht="13.2"/>
    <row r="1533" ht="13.2"/>
    <row r="1534" ht="13.2"/>
    <row r="1535" ht="13.2"/>
    <row r="1536" ht="13.2"/>
    <row r="1537" ht="13.2"/>
    <row r="1538" ht="13.2"/>
    <row r="1539" ht="13.2"/>
    <row r="1540" ht="13.2"/>
    <row r="1541" ht="13.2"/>
    <row r="1542" ht="13.2"/>
    <row r="1543" ht="13.2"/>
    <row r="1544" ht="13.2"/>
    <row r="1545" ht="13.2"/>
    <row r="1546" ht="13.2"/>
    <row r="1547" ht="13.2"/>
    <row r="1548" ht="13.2"/>
    <row r="1549" ht="13.2"/>
    <row r="1550" ht="13.2"/>
    <row r="1551" ht="13.2"/>
    <row r="1552" ht="13.2"/>
    <row r="1553" ht="13.2"/>
    <row r="1554" ht="13.2"/>
    <row r="1555" ht="13.2"/>
    <row r="1556" ht="13.2"/>
    <row r="1557" ht="13.2"/>
    <row r="1558" ht="13.2"/>
    <row r="1559" ht="13.2"/>
    <row r="1560" ht="13.2"/>
    <row r="1561" ht="13.2"/>
    <row r="1562" ht="13.2"/>
    <row r="1563" ht="13.2"/>
    <row r="1564" ht="13.2"/>
    <row r="1565" ht="13.2"/>
    <row r="1566" ht="13.2"/>
    <row r="1567" ht="13.2"/>
    <row r="1568" ht="13.2"/>
    <row r="1569" ht="13.2"/>
    <row r="1570" ht="13.2"/>
    <row r="1571" ht="13.2"/>
    <row r="1572" ht="13.2"/>
    <row r="1573" ht="13.2"/>
    <row r="1574" ht="13.2"/>
    <row r="1575" ht="13.2"/>
    <row r="1576" ht="13.2"/>
    <row r="1577" ht="13.2"/>
    <row r="1578" ht="13.2"/>
    <row r="1579" ht="13.2"/>
    <row r="1580" ht="13.2"/>
    <row r="1581" ht="13.2"/>
    <row r="1582" ht="13.2"/>
    <row r="1583" ht="13.2"/>
    <row r="1584" ht="13.2"/>
    <row r="1585" ht="13.2"/>
    <row r="1586" ht="13.2"/>
    <row r="1587" ht="13.2"/>
    <row r="1588" ht="13.2"/>
    <row r="1589" ht="13.2"/>
    <row r="1590" ht="13.2"/>
    <row r="1591" ht="13.2"/>
    <row r="1592" ht="13.2"/>
    <row r="1593" ht="13.2"/>
    <row r="1594" ht="13.2"/>
    <row r="1595" ht="13.2"/>
    <row r="1596" ht="13.2"/>
    <row r="1597" ht="13.2"/>
    <row r="1598" ht="13.2"/>
    <row r="1599" ht="13.2"/>
    <row r="1600" ht="13.2"/>
    <row r="1601" ht="13.2"/>
    <row r="1602" ht="13.2"/>
    <row r="1603" ht="13.2"/>
    <row r="1604" ht="13.2"/>
    <row r="1605" ht="13.2"/>
    <row r="1606" ht="13.2"/>
    <row r="1607" ht="13.2"/>
    <row r="1608" ht="13.2"/>
    <row r="1609" ht="13.2"/>
    <row r="1610" ht="13.2"/>
    <row r="1611" ht="13.2"/>
    <row r="1612" ht="13.2"/>
    <row r="1613" ht="13.2"/>
    <row r="1614" ht="13.2"/>
    <row r="1615" ht="13.2"/>
    <row r="1616" ht="13.2"/>
    <row r="1617" ht="13.2"/>
    <row r="1618" ht="13.2"/>
    <row r="1619" ht="13.2"/>
    <row r="1620" ht="13.2"/>
    <row r="1621" ht="13.2"/>
    <row r="1622" ht="13.2"/>
    <row r="1623" ht="13.2"/>
    <row r="1624" ht="13.2"/>
    <row r="1625" ht="13.2"/>
    <row r="1626" ht="13.2"/>
    <row r="1627" ht="13.2"/>
    <row r="1628" ht="13.2"/>
    <row r="1629" ht="13.2"/>
    <row r="1630" ht="13.2"/>
    <row r="1631" ht="13.2"/>
    <row r="1632" ht="13.2"/>
    <row r="1633" ht="13.2"/>
    <row r="1634" ht="13.2"/>
    <row r="1635" ht="13.2"/>
    <row r="1636" ht="13.2"/>
    <row r="1637" ht="13.2"/>
    <row r="1638" ht="13.2"/>
    <row r="1639" ht="13.2"/>
    <row r="1640" ht="13.2"/>
    <row r="1641" ht="13.2"/>
    <row r="1642" ht="13.2"/>
    <row r="1643" ht="13.2"/>
    <row r="1644" ht="13.2"/>
    <row r="1645" ht="13.2"/>
    <row r="1646" ht="13.2"/>
    <row r="1647" ht="13.2"/>
    <row r="1648" ht="13.2"/>
    <row r="1649" ht="13.2"/>
    <row r="1650" ht="13.2"/>
    <row r="1651" ht="13.2"/>
    <row r="1652" ht="13.2"/>
    <row r="1653" ht="13.2"/>
    <row r="1654" ht="13.2"/>
    <row r="1655" ht="13.2"/>
    <row r="1656" ht="13.2"/>
    <row r="1657" ht="13.2"/>
    <row r="1658" ht="13.2"/>
    <row r="1659" ht="13.2"/>
    <row r="1660" ht="13.2"/>
    <row r="1661" ht="13.2"/>
    <row r="1662" ht="13.2"/>
    <row r="1663" ht="13.2"/>
    <row r="1664" ht="13.2"/>
    <row r="1665" ht="13.2"/>
    <row r="1666" ht="13.2"/>
    <row r="1667" ht="13.2"/>
    <row r="1668" ht="13.2"/>
    <row r="1669" ht="13.2"/>
    <row r="1670" ht="13.2"/>
    <row r="1671" ht="13.2"/>
    <row r="1672" ht="13.2"/>
    <row r="1673" ht="13.2"/>
    <row r="1674" ht="13.2"/>
    <row r="1675" ht="13.2"/>
    <row r="1676" ht="13.2"/>
    <row r="1677" ht="13.2"/>
    <row r="1678" ht="13.2"/>
    <row r="1679" ht="13.2"/>
    <row r="1680" ht="13.2"/>
    <row r="1681" ht="13.2"/>
    <row r="1682" ht="13.2"/>
    <row r="1683" ht="13.2"/>
    <row r="1684" ht="13.2"/>
    <row r="1685" ht="13.2"/>
    <row r="1686" ht="13.2"/>
    <row r="1687" ht="13.2"/>
    <row r="1688" ht="13.2"/>
    <row r="1689" ht="13.2"/>
    <row r="1690" ht="13.2"/>
    <row r="1691" ht="13.2"/>
    <row r="1692" ht="13.2"/>
    <row r="1693" ht="13.2"/>
    <row r="1694" ht="13.2"/>
    <row r="1695" ht="13.2"/>
    <row r="1696" ht="13.2"/>
    <row r="1697" ht="13.2"/>
    <row r="1698" ht="13.2"/>
    <row r="1699" ht="13.2"/>
    <row r="1700" ht="13.2"/>
    <row r="1701" ht="13.2"/>
    <row r="1702" ht="13.2"/>
    <row r="1703" ht="13.2"/>
    <row r="1704" ht="13.2"/>
    <row r="1705" ht="13.2"/>
    <row r="1706" ht="13.2"/>
    <row r="1707" ht="13.2"/>
    <row r="1708" ht="13.2"/>
    <row r="1709" ht="13.2"/>
    <row r="1710" ht="13.2"/>
    <row r="1711" ht="13.2"/>
    <row r="1712" ht="13.2"/>
    <row r="1713" ht="13.2"/>
    <row r="1714" ht="13.2"/>
    <row r="1715" ht="13.2"/>
    <row r="1716" ht="13.2"/>
    <row r="1717" ht="13.2"/>
    <row r="1718" ht="13.2"/>
    <row r="1719" ht="13.2"/>
    <row r="1720" ht="13.2"/>
    <row r="1721" ht="13.2"/>
    <row r="1722" ht="13.2"/>
    <row r="1723" ht="13.2"/>
    <row r="1724" ht="13.2"/>
    <row r="1725" ht="13.2"/>
    <row r="1726" ht="13.2"/>
    <row r="1727" ht="13.2"/>
    <row r="1728" ht="13.2"/>
    <row r="1729" ht="13.2"/>
    <row r="1730" ht="13.2"/>
    <row r="1731" ht="13.2"/>
    <row r="1732" ht="13.2"/>
    <row r="1733" ht="13.2"/>
    <row r="1734" ht="13.2"/>
    <row r="1735" ht="13.2"/>
    <row r="1736" ht="13.2"/>
    <row r="1737" ht="13.2"/>
    <row r="1738" ht="13.2"/>
    <row r="1739" ht="13.2"/>
    <row r="1740" ht="13.2"/>
    <row r="1741" ht="13.2"/>
    <row r="1742" ht="13.2"/>
    <row r="1743" ht="13.2"/>
    <row r="1744" ht="13.2"/>
    <row r="1745" ht="13.2"/>
    <row r="1746" ht="13.2"/>
    <row r="1747" ht="13.2"/>
    <row r="1748" ht="13.2"/>
    <row r="1749" ht="13.2"/>
    <row r="1750" ht="13.2"/>
    <row r="1751" ht="13.2"/>
    <row r="1752" ht="13.2"/>
    <row r="1753" ht="13.2"/>
    <row r="1754" ht="13.2"/>
    <row r="1755" ht="13.2"/>
    <row r="1756" ht="13.2"/>
    <row r="1757" ht="13.2"/>
    <row r="1758" ht="13.2"/>
    <row r="1759" ht="13.2"/>
    <row r="1760" ht="13.2"/>
    <row r="1761" ht="13.2"/>
    <row r="1762" ht="13.2"/>
    <row r="1763" ht="13.2"/>
    <row r="1764" ht="13.2"/>
    <row r="1765" ht="13.2"/>
    <row r="1766" ht="13.2"/>
    <row r="1767" ht="13.2"/>
    <row r="1768" ht="13.2"/>
    <row r="1769" ht="13.2"/>
    <row r="1770" ht="13.2"/>
    <row r="1771" ht="13.2"/>
    <row r="1772" ht="13.2"/>
    <row r="1773" ht="13.2"/>
    <row r="1774" ht="13.2"/>
    <row r="1775" ht="13.2"/>
    <row r="1776" ht="13.2"/>
    <row r="1777" ht="13.2"/>
    <row r="1778" ht="13.2"/>
    <row r="1779" ht="13.2"/>
    <row r="1780" ht="13.2"/>
    <row r="1781" ht="13.2"/>
    <row r="1782" ht="13.2"/>
    <row r="1783" ht="13.2"/>
    <row r="1784" ht="13.2"/>
    <row r="1785" ht="13.2"/>
    <row r="1786" ht="13.2"/>
    <row r="1787" ht="13.2"/>
    <row r="1788" ht="13.2"/>
    <row r="1789" ht="13.2"/>
    <row r="1790" ht="13.2"/>
    <row r="1791" ht="13.2"/>
    <row r="1792" ht="13.2"/>
    <row r="1793" ht="13.2"/>
    <row r="1794" ht="13.2"/>
    <row r="1795" ht="13.2"/>
    <row r="1796" ht="13.2"/>
    <row r="1797" ht="13.2"/>
    <row r="1798" ht="13.2"/>
    <row r="1799" ht="13.2"/>
    <row r="1800" ht="13.2"/>
    <row r="1801" ht="13.2"/>
    <row r="1802" ht="13.2"/>
    <row r="1803" ht="13.2"/>
    <row r="1804" ht="13.2"/>
    <row r="1805" ht="13.2"/>
    <row r="1806" ht="13.2"/>
    <row r="1807" ht="13.2"/>
    <row r="1808" ht="13.2"/>
    <row r="1809" ht="13.2"/>
    <row r="1810" ht="13.2"/>
    <row r="1811" ht="13.2"/>
    <row r="1812" ht="13.2"/>
    <row r="1813" ht="13.2"/>
    <row r="1814" ht="13.2"/>
    <row r="1815" ht="13.2"/>
    <row r="1816" ht="13.2"/>
    <row r="1817" ht="13.2"/>
    <row r="1818" ht="13.2"/>
    <row r="1819" ht="13.2"/>
    <row r="1820" ht="13.2"/>
    <row r="1821" ht="13.2"/>
    <row r="1822" ht="13.2"/>
    <row r="1823" ht="13.2"/>
    <row r="1824" ht="13.2"/>
    <row r="1825" ht="13.2"/>
    <row r="1826" ht="13.2"/>
    <row r="1827" ht="13.2"/>
    <row r="1828" ht="13.2"/>
    <row r="1829" ht="13.2"/>
    <row r="1830" ht="13.2"/>
    <row r="1831" ht="13.2"/>
    <row r="1832" ht="13.2"/>
    <row r="1833" ht="13.2"/>
    <row r="1834" ht="13.2"/>
    <row r="1835" ht="13.2"/>
    <row r="1836" ht="13.2"/>
    <row r="1837" ht="13.2"/>
    <row r="1838" ht="13.2"/>
    <row r="1839" ht="13.2"/>
    <row r="1840" ht="13.2"/>
    <row r="1841" ht="13.2"/>
    <row r="1842" ht="13.2"/>
    <row r="1843" ht="13.2"/>
    <row r="1844" ht="13.2"/>
    <row r="1845" ht="13.2"/>
    <row r="1846" ht="13.2"/>
    <row r="1847" ht="13.2"/>
    <row r="1848" ht="13.2"/>
    <row r="1849" ht="13.2"/>
    <row r="1850" ht="13.2"/>
    <row r="1851" ht="13.2"/>
    <row r="1852" ht="13.2"/>
    <row r="1853" ht="13.2"/>
    <row r="1854" ht="13.2"/>
    <row r="1855" ht="13.2"/>
    <row r="1856" ht="13.2"/>
    <row r="1857" ht="13.2"/>
    <row r="1858" ht="13.2"/>
    <row r="1859" ht="13.2"/>
    <row r="1860" ht="13.2"/>
    <row r="1861" ht="13.2"/>
    <row r="1862" ht="13.2"/>
    <row r="1863" ht="13.2"/>
    <row r="1864" ht="13.2"/>
    <row r="1865" ht="13.2"/>
    <row r="1866" ht="13.2"/>
    <row r="1867" ht="13.2"/>
    <row r="1868" ht="13.2"/>
    <row r="1869" ht="13.2"/>
    <row r="1870" ht="13.2"/>
    <row r="1871" ht="13.2"/>
    <row r="1872" ht="13.2"/>
    <row r="1873" ht="13.2"/>
    <row r="1874" ht="13.2"/>
    <row r="1875" ht="13.2"/>
    <row r="1876" ht="13.2"/>
    <row r="1877" ht="13.2"/>
    <row r="1878" ht="13.2"/>
    <row r="1879" ht="13.2"/>
    <row r="1880" ht="13.2"/>
    <row r="1881" ht="13.2"/>
    <row r="1882" ht="13.2"/>
    <row r="1883" ht="13.2"/>
    <row r="1884" ht="13.2"/>
    <row r="1885" ht="13.2"/>
    <row r="1886" ht="13.2"/>
    <row r="1887" ht="13.2"/>
    <row r="1888" ht="13.2"/>
    <row r="1889" ht="13.2"/>
    <row r="1890" ht="13.2"/>
    <row r="1891" ht="13.2"/>
    <row r="1892" ht="13.2"/>
    <row r="1893" ht="13.2"/>
    <row r="1894" ht="13.2"/>
    <row r="1895" ht="13.2"/>
    <row r="1896" ht="13.2"/>
    <row r="1897" ht="13.2"/>
    <row r="1898" ht="13.2"/>
    <row r="1899" ht="13.2"/>
    <row r="1900" ht="13.2"/>
    <row r="1901" ht="13.2"/>
    <row r="1902" ht="13.2"/>
    <row r="1903" ht="13.2"/>
    <row r="1904" ht="13.2"/>
    <row r="1905" ht="13.2"/>
    <row r="1906" ht="13.2"/>
    <row r="1907" ht="13.2"/>
    <row r="1908" ht="13.2"/>
    <row r="1909" ht="13.2"/>
    <row r="1910" ht="13.2"/>
    <row r="1911" ht="13.2"/>
    <row r="1912" ht="13.2"/>
    <row r="1913" ht="13.2"/>
    <row r="1914" ht="13.2"/>
    <row r="1915" ht="13.2"/>
    <row r="1916" ht="13.2"/>
    <row r="1917" ht="13.2"/>
    <row r="1918" ht="13.2"/>
    <row r="1919" ht="13.2"/>
    <row r="1920" ht="13.2"/>
    <row r="1921" ht="13.2"/>
    <row r="1922" ht="13.2"/>
    <row r="1923" ht="13.2"/>
    <row r="1924" ht="13.2"/>
    <row r="1925" ht="13.2"/>
    <row r="1926" ht="13.2"/>
    <row r="1927" ht="13.2"/>
    <row r="1928" ht="13.2"/>
    <row r="1929" ht="13.2"/>
    <row r="1930" ht="13.2"/>
    <row r="1931" ht="13.2"/>
    <row r="1932" ht="13.2"/>
    <row r="1933" ht="13.2"/>
    <row r="1934" ht="13.2"/>
    <row r="1935" ht="13.2"/>
    <row r="1936" ht="13.2"/>
    <row r="1937" ht="13.2"/>
    <row r="1938" ht="13.2"/>
    <row r="1939" ht="13.2"/>
    <row r="1940" ht="13.2"/>
    <row r="1941" ht="13.2"/>
    <row r="1942" ht="13.2"/>
    <row r="1943" ht="13.2"/>
    <row r="1944" ht="13.2"/>
    <row r="1945" ht="13.2"/>
    <row r="1946" ht="13.2"/>
    <row r="1947" ht="13.2"/>
    <row r="1948" ht="13.2"/>
    <row r="1949" ht="13.2"/>
    <row r="1950" ht="13.2"/>
    <row r="1951" ht="13.2"/>
    <row r="1952" ht="13.2"/>
    <row r="1953" ht="13.2"/>
    <row r="1954" ht="13.2"/>
    <row r="1955" ht="13.2"/>
    <row r="1956" ht="13.2"/>
    <row r="1957" ht="13.2"/>
    <row r="1958" ht="13.2"/>
    <row r="1959" ht="13.2"/>
    <row r="1960" ht="13.2"/>
    <row r="1961" ht="13.2"/>
    <row r="1962" ht="13.2"/>
    <row r="1963" ht="13.2"/>
    <row r="1964" ht="13.2"/>
    <row r="1965" ht="13.2"/>
    <row r="1966" ht="13.2"/>
    <row r="1967" ht="13.2"/>
    <row r="1968" ht="13.2"/>
    <row r="1969" ht="13.2"/>
    <row r="1970" ht="13.2"/>
    <row r="1971" ht="13.2"/>
    <row r="1972" ht="13.2"/>
    <row r="1973" ht="13.2"/>
    <row r="1974" ht="13.2"/>
    <row r="1975" ht="13.2"/>
    <row r="1976" ht="13.2"/>
    <row r="1977" ht="13.2"/>
    <row r="1978" ht="13.2"/>
    <row r="1979" ht="13.2"/>
    <row r="1980" ht="13.2"/>
    <row r="1981" ht="13.2"/>
    <row r="1982" ht="13.2"/>
    <row r="1983" ht="13.2"/>
    <row r="1984" ht="13.2"/>
    <row r="1985" ht="13.2"/>
    <row r="1986" ht="13.2"/>
    <row r="1987" ht="13.2"/>
    <row r="1988" ht="13.2"/>
    <row r="1989" ht="13.2"/>
    <row r="1990" ht="13.2"/>
    <row r="1991" ht="13.2"/>
    <row r="1992" ht="13.2"/>
    <row r="1993" ht="13.2"/>
    <row r="1994" ht="13.2"/>
    <row r="1995" ht="13.2"/>
    <row r="1996" ht="13.2"/>
    <row r="1997" ht="13.2"/>
    <row r="1998" ht="13.2"/>
    <row r="1999" ht="13.2"/>
    <row r="2000" ht="13.2"/>
    <row r="2001" ht="13.2"/>
    <row r="2002" ht="13.2"/>
    <row r="2003" ht="13.2"/>
    <row r="2004" ht="13.2"/>
    <row r="2005" ht="13.2"/>
    <row r="2006" ht="13.2"/>
    <row r="2007" ht="13.2"/>
    <row r="2008" ht="13.2"/>
    <row r="2009" ht="13.2"/>
    <row r="2010" ht="13.2"/>
    <row r="2011" ht="13.2"/>
    <row r="2012" ht="13.2"/>
    <row r="2013" ht="13.2"/>
    <row r="2014" ht="13.2"/>
    <row r="2015" ht="13.2"/>
    <row r="2016" ht="13.2"/>
    <row r="2017" ht="13.2"/>
    <row r="2018" ht="13.2"/>
    <row r="2019" ht="13.2"/>
    <row r="2020" ht="13.2"/>
    <row r="2021" ht="13.2"/>
    <row r="2022" ht="13.2"/>
    <row r="2023" ht="13.2"/>
    <row r="2024" ht="13.2"/>
    <row r="2025" ht="13.2"/>
    <row r="2026" ht="13.2"/>
    <row r="2027" ht="13.2"/>
    <row r="2028" ht="13.2"/>
    <row r="2029" ht="13.2"/>
    <row r="2030" ht="13.2"/>
    <row r="2031" ht="13.2"/>
    <row r="2032" ht="13.2"/>
    <row r="2033" ht="13.2"/>
    <row r="2034" ht="13.2"/>
    <row r="2035" ht="13.2"/>
    <row r="2036" ht="13.2"/>
    <row r="2037" ht="13.2"/>
    <row r="2038" ht="13.2"/>
    <row r="2039" ht="13.2"/>
    <row r="2040" ht="13.2"/>
    <row r="2041" ht="13.2"/>
    <row r="2042" ht="13.2"/>
    <row r="2043" ht="13.2"/>
    <row r="2044" ht="13.2"/>
    <row r="2045" ht="13.2"/>
    <row r="2046" ht="13.2"/>
    <row r="2047" ht="13.2"/>
    <row r="2048" ht="13.2"/>
    <row r="2049" ht="13.2"/>
    <row r="2050" ht="13.2"/>
    <row r="2051" ht="13.2"/>
    <row r="2052" ht="13.2"/>
    <row r="2053" ht="13.2"/>
    <row r="2054" ht="13.2"/>
    <row r="2055" ht="13.2"/>
    <row r="2056" ht="13.2"/>
    <row r="2057" ht="13.2"/>
    <row r="2058" ht="13.2"/>
    <row r="2059" ht="13.2"/>
    <row r="2060" ht="13.2"/>
    <row r="2061" ht="13.2"/>
    <row r="2062" ht="13.2"/>
    <row r="2063" ht="13.2"/>
    <row r="2064" ht="13.2"/>
    <row r="2065" ht="13.2"/>
    <row r="2066" ht="13.2"/>
    <row r="2067" ht="13.2"/>
    <row r="2068" ht="13.2"/>
    <row r="2069" ht="13.2"/>
    <row r="2070" ht="13.2"/>
    <row r="2071" ht="13.2"/>
    <row r="2072" ht="13.2"/>
    <row r="2073" ht="13.2"/>
    <row r="2074" ht="13.2"/>
    <row r="2075" ht="13.2"/>
    <row r="2076" ht="13.2"/>
    <row r="2077" ht="13.2"/>
    <row r="2078" ht="13.2"/>
    <row r="2079" ht="13.2"/>
    <row r="2080" ht="13.2"/>
    <row r="2081" ht="13.2"/>
    <row r="2082" ht="13.2"/>
    <row r="2083" ht="13.2"/>
    <row r="2084" ht="13.2"/>
    <row r="2085" ht="13.2"/>
    <row r="2086" ht="13.2"/>
    <row r="2087" ht="13.2"/>
    <row r="2088" ht="13.2"/>
    <row r="2089" ht="13.2"/>
    <row r="2090" ht="13.2"/>
    <row r="2091" ht="13.2"/>
    <row r="2092" ht="13.2"/>
    <row r="2093" ht="13.2"/>
    <row r="2094" ht="13.2"/>
    <row r="2095" ht="13.2"/>
    <row r="2096" ht="13.2"/>
    <row r="2097" ht="13.2"/>
    <row r="2098" ht="13.2"/>
    <row r="2099" ht="13.2"/>
    <row r="2100" ht="13.2"/>
    <row r="2101" ht="13.2"/>
    <row r="2102" ht="13.2"/>
    <row r="2103" ht="13.2"/>
    <row r="2104" ht="13.2"/>
    <row r="2105" ht="13.2"/>
    <row r="2106" ht="13.2"/>
    <row r="2107" ht="13.2"/>
    <row r="2108" ht="13.2"/>
    <row r="2109" ht="13.2"/>
    <row r="2110" ht="13.2"/>
    <row r="2111" ht="13.2"/>
    <row r="2112" ht="13.2"/>
    <row r="2113" ht="13.2"/>
    <row r="2114" ht="13.2"/>
    <row r="2115" ht="13.2"/>
    <row r="2116" ht="13.2"/>
    <row r="2117" ht="13.2"/>
    <row r="2118" ht="13.2"/>
    <row r="2119" ht="13.2"/>
    <row r="2120" ht="13.2"/>
    <row r="2121" ht="13.2"/>
    <row r="2122" ht="13.2"/>
    <row r="2123" ht="13.2"/>
    <row r="2124" ht="13.2"/>
    <row r="2125" ht="13.2"/>
    <row r="2126" ht="13.2"/>
    <row r="2127" ht="13.2"/>
    <row r="2128" ht="13.2"/>
    <row r="2129" ht="13.2"/>
    <row r="2130" ht="13.2"/>
    <row r="2131" ht="13.2"/>
    <row r="2132" ht="13.2"/>
    <row r="2133" ht="13.2"/>
    <row r="2134" ht="13.2"/>
    <row r="2135" ht="13.2"/>
    <row r="2136" ht="13.2"/>
    <row r="2137" ht="13.2"/>
    <row r="2138" ht="13.2"/>
    <row r="2139" ht="13.2"/>
    <row r="2140" ht="13.2"/>
    <row r="2141" ht="13.2"/>
    <row r="2142" ht="13.2"/>
    <row r="2143" ht="13.2"/>
    <row r="2144" ht="13.2"/>
    <row r="2145" ht="13.2"/>
    <row r="2146" ht="13.2"/>
    <row r="2147" ht="13.2"/>
    <row r="2148" ht="13.2"/>
    <row r="2149" ht="13.2"/>
    <row r="2150" ht="13.2"/>
    <row r="2151" ht="13.2"/>
    <row r="2152" ht="13.2"/>
    <row r="2153" ht="13.2"/>
    <row r="2154" ht="13.2"/>
    <row r="2155" ht="13.2"/>
    <row r="2156" ht="13.2"/>
    <row r="2157" ht="13.2"/>
    <row r="2158" ht="13.2"/>
    <row r="2159" ht="13.2"/>
    <row r="2160" ht="13.2"/>
    <row r="2161" ht="13.2"/>
    <row r="2162" ht="13.2"/>
    <row r="2163" ht="13.2"/>
    <row r="2164" ht="13.2"/>
    <row r="2165" ht="13.2"/>
    <row r="2166" ht="13.2"/>
    <row r="2167" ht="13.2"/>
    <row r="2168" ht="13.2"/>
    <row r="2169" ht="13.2"/>
    <row r="2170" ht="13.2"/>
    <row r="2171" ht="13.2"/>
    <row r="2172" ht="13.2"/>
    <row r="2173" ht="13.2"/>
    <row r="2174" ht="13.2"/>
    <row r="2175" ht="13.2"/>
    <row r="2176" ht="13.2"/>
    <row r="2177" ht="13.2"/>
    <row r="2178" ht="13.2"/>
    <row r="2179" ht="13.2"/>
    <row r="2180" ht="13.2"/>
    <row r="2181" ht="13.2"/>
    <row r="2182" ht="13.2"/>
    <row r="2183" ht="13.2"/>
    <row r="2184" ht="13.2"/>
    <row r="2185" ht="13.2"/>
    <row r="2186" ht="13.2"/>
    <row r="2187" ht="13.2"/>
    <row r="2188" ht="13.2"/>
    <row r="2189" ht="13.2"/>
    <row r="2190" ht="13.2"/>
    <row r="2191" ht="13.2"/>
    <row r="2192" ht="13.2"/>
    <row r="2193" ht="13.2"/>
    <row r="2194" ht="13.2"/>
    <row r="2195" ht="13.2"/>
    <row r="2196" ht="13.2"/>
    <row r="2197" ht="13.2"/>
    <row r="2198" ht="13.2"/>
    <row r="2199" ht="13.2"/>
    <row r="2200" ht="13.2"/>
    <row r="2201" ht="13.2"/>
    <row r="2202" ht="13.2"/>
    <row r="2203" ht="13.2"/>
    <row r="2204" ht="13.2"/>
    <row r="2205" ht="13.2"/>
    <row r="2206" ht="13.2"/>
    <row r="2207" ht="13.2"/>
    <row r="2208" ht="13.2"/>
    <row r="2209" ht="13.2"/>
    <row r="2210" ht="13.2"/>
    <row r="2211" ht="13.2"/>
    <row r="2212" ht="13.2"/>
    <row r="2213" ht="13.2"/>
    <row r="2214" ht="13.2"/>
    <row r="2215" ht="13.2"/>
    <row r="2216" ht="13.2"/>
    <row r="2217" ht="13.2"/>
    <row r="2218" ht="13.2"/>
    <row r="2219" ht="13.2"/>
    <row r="2220" ht="13.2"/>
    <row r="2221" ht="13.2"/>
    <row r="2222" ht="13.2"/>
    <row r="2223" ht="13.2"/>
  </sheetData>
  <customSheetViews>
    <customSheetView guid="{722831EC-C62E-4917-B486-B5A8E8CA3DA9}" filter="1" showAutoFilter="1">
      <pageMargins left="0.7" right="0.7" top="0.75" bottom="0.75" header="0.3" footer="0.3"/>
      <autoFilter ref="A2:J260" xr:uid="{5100D46C-7C7E-41FD-9301-4E82CE637676}"/>
    </customSheetView>
    <customSheetView guid="{E2779A39-C475-40AD-A216-2FF2A28806FF}" filter="1" showAutoFilter="1">
      <pageMargins left="0.7" right="0.7" top="0.75" bottom="0.75" header="0.3" footer="0.3"/>
      <autoFilter ref="A2:J260" xr:uid="{582EF2FC-0F87-4923-B3E0-051D6DB539CC}"/>
    </customSheetView>
  </customSheetViews>
  <hyperlinks>
    <hyperlink ref="A1" r:id="rId1" xr:uid="{00000000-0004-0000-0200-000000000000}"/>
    <hyperlink ref="K2" r:id="rId2" xr:uid="{00000000-0004-0000-0200-000001000000}"/>
    <hyperlink ref="K8" r:id="rId3" xr:uid="{00000000-0004-0000-0200-000002000000}"/>
    <hyperlink ref="K9" r:id="rId4" xr:uid="{00000000-0004-0000-0200-000003000000}"/>
    <hyperlink ref="K10" r:id="rId5" xr:uid="{00000000-0004-0000-0200-000004000000}"/>
    <hyperlink ref="K11" r:id="rId6" xr:uid="{00000000-0004-0000-0200-000005000000}"/>
    <hyperlink ref="K12" r:id="rId7" location="citeas" xr:uid="{00000000-0004-0000-0200-000006000000}"/>
    <hyperlink ref="K15" r:id="rId8" xr:uid="{00000000-0004-0000-0200-000007000000}"/>
    <hyperlink ref="K16" r:id="rId9" xr:uid="{00000000-0004-0000-0200-000008000000}"/>
    <hyperlink ref="J17" r:id="rId10" xr:uid="{00000000-0004-0000-0200-000009000000}"/>
    <hyperlink ref="K17" r:id="rId11" xr:uid="{00000000-0004-0000-0200-00000A000000}"/>
    <hyperlink ref="K18" r:id="rId12" xr:uid="{00000000-0004-0000-0200-00000B000000}"/>
    <hyperlink ref="K21" r:id="rId13" xr:uid="{00000000-0004-0000-0200-00000C000000}"/>
    <hyperlink ref="K22" r:id="rId14" xr:uid="{00000000-0004-0000-0200-00000D000000}"/>
    <hyperlink ref="K23" r:id="rId15" xr:uid="{00000000-0004-0000-0200-00000E000000}"/>
    <hyperlink ref="K24" r:id="rId16" xr:uid="{00000000-0004-0000-0200-00000F000000}"/>
    <hyperlink ref="K25" r:id="rId17" xr:uid="{00000000-0004-0000-0200-000010000000}"/>
    <hyperlink ref="K26" r:id="rId18" xr:uid="{00000000-0004-0000-0200-000011000000}"/>
    <hyperlink ref="K29" r:id="rId19" xr:uid="{00000000-0004-0000-0200-000012000000}"/>
    <hyperlink ref="K30" r:id="rId20" xr:uid="{00000000-0004-0000-0200-000013000000}"/>
    <hyperlink ref="K32" r:id="rId21" xr:uid="{00000000-0004-0000-0200-000014000000}"/>
    <hyperlink ref="K40" r:id="rId22" xr:uid="{00000000-0004-0000-0200-000015000000}"/>
    <hyperlink ref="K41" r:id="rId23" xr:uid="{00000000-0004-0000-0200-000016000000}"/>
    <hyperlink ref="K42" r:id="rId24" xr:uid="{00000000-0004-0000-0200-000017000000}"/>
    <hyperlink ref="K43" r:id="rId25" xr:uid="{00000000-0004-0000-0200-000018000000}"/>
    <hyperlink ref="K44" r:id="rId26" xr:uid="{00000000-0004-0000-0200-000019000000}"/>
    <hyperlink ref="K45" r:id="rId27" xr:uid="{00000000-0004-0000-0200-00001A000000}"/>
    <hyperlink ref="K46" r:id="rId28" xr:uid="{00000000-0004-0000-0200-00001B000000}"/>
    <hyperlink ref="K47" r:id="rId29" xr:uid="{00000000-0004-0000-0200-00001C000000}"/>
    <hyperlink ref="K48" r:id="rId30" xr:uid="{00000000-0004-0000-0200-00001D000000}"/>
    <hyperlink ref="K50" r:id="rId31" xr:uid="{00000000-0004-0000-0200-00001E000000}"/>
    <hyperlink ref="K51" r:id="rId32" xr:uid="{00000000-0004-0000-0200-00001F000000}"/>
    <hyperlink ref="K52" r:id="rId33" xr:uid="{00000000-0004-0000-0200-000020000000}"/>
    <hyperlink ref="K54" r:id="rId34" xr:uid="{00000000-0004-0000-0200-000021000000}"/>
    <hyperlink ref="K55" r:id="rId35" xr:uid="{00000000-0004-0000-0200-000022000000}"/>
    <hyperlink ref="K56" r:id="rId36" xr:uid="{00000000-0004-0000-0200-000023000000}"/>
    <hyperlink ref="K66" r:id="rId37" xr:uid="{00000000-0004-0000-0200-000024000000}"/>
    <hyperlink ref="K67" r:id="rId38" xr:uid="{00000000-0004-0000-0200-000025000000}"/>
    <hyperlink ref="K68" r:id="rId39" xr:uid="{00000000-0004-0000-0200-000026000000}"/>
    <hyperlink ref="K69" r:id="rId40" xr:uid="{00000000-0004-0000-0200-000027000000}"/>
    <hyperlink ref="K70" r:id="rId41" xr:uid="{00000000-0004-0000-0200-000028000000}"/>
    <hyperlink ref="K71" r:id="rId42" xr:uid="{00000000-0004-0000-0200-000029000000}"/>
    <hyperlink ref="K73" r:id="rId43" xr:uid="{00000000-0004-0000-0200-00002A000000}"/>
    <hyperlink ref="K74" r:id="rId44" xr:uid="{00000000-0004-0000-0200-00002B000000}"/>
    <hyperlink ref="K75" r:id="rId45" xr:uid="{00000000-0004-0000-0200-00002C000000}"/>
    <hyperlink ref="K77" r:id="rId46" xr:uid="{00000000-0004-0000-0200-00002D000000}"/>
    <hyperlink ref="K82" r:id="rId47" xr:uid="{00000000-0004-0000-0200-00002E000000}"/>
    <hyperlink ref="K83" r:id="rId48" xr:uid="{00000000-0004-0000-0200-00002F000000}"/>
    <hyperlink ref="K84" r:id="rId49" location="citeas" xr:uid="{00000000-0004-0000-0200-000030000000}"/>
    <hyperlink ref="K85" r:id="rId50" xr:uid="{00000000-0004-0000-0200-000031000000}"/>
    <hyperlink ref="K86" r:id="rId51" xr:uid="{00000000-0004-0000-0200-000032000000}"/>
    <hyperlink ref="K87" r:id="rId52" xr:uid="{00000000-0004-0000-0200-000033000000}"/>
    <hyperlink ref="J88" r:id="rId53" xr:uid="{00000000-0004-0000-0200-000034000000}"/>
    <hyperlink ref="K88" r:id="rId54" xr:uid="{00000000-0004-0000-0200-000035000000}"/>
    <hyperlink ref="J89" r:id="rId55" xr:uid="{00000000-0004-0000-0200-000036000000}"/>
    <hyperlink ref="K89" r:id="rId56" xr:uid="{00000000-0004-0000-0200-000037000000}"/>
    <hyperlink ref="K91" r:id="rId57" xr:uid="{00000000-0004-0000-0200-000038000000}"/>
    <hyperlink ref="K94" r:id="rId58" xr:uid="{00000000-0004-0000-0200-000039000000}"/>
    <hyperlink ref="K96" r:id="rId59" xr:uid="{00000000-0004-0000-0200-00003A000000}"/>
    <hyperlink ref="J97" r:id="rId60" xr:uid="{00000000-0004-0000-0200-00003B000000}"/>
    <hyperlink ref="K97" r:id="rId61" xr:uid="{00000000-0004-0000-0200-00003C000000}"/>
    <hyperlink ref="K98" r:id="rId62" xr:uid="{00000000-0004-0000-0200-00003D000000}"/>
    <hyperlink ref="K99" r:id="rId63" xr:uid="{00000000-0004-0000-0200-00003E000000}"/>
    <hyperlink ref="K100" r:id="rId64" xr:uid="{00000000-0004-0000-0200-00003F000000}"/>
    <hyperlink ref="K101" r:id="rId65" xr:uid="{00000000-0004-0000-0200-000040000000}"/>
    <hyperlink ref="K102" r:id="rId66" xr:uid="{00000000-0004-0000-0200-000041000000}"/>
    <hyperlink ref="J106" r:id="rId67" xr:uid="{00000000-0004-0000-0200-000042000000}"/>
    <hyperlink ref="K106" r:id="rId68" xr:uid="{00000000-0004-0000-0200-000043000000}"/>
    <hyperlink ref="K107" r:id="rId69" xr:uid="{00000000-0004-0000-0200-000044000000}"/>
    <hyperlink ref="K109" r:id="rId70" xr:uid="{00000000-0004-0000-0200-000045000000}"/>
    <hyperlink ref="J110" r:id="rId71" xr:uid="{00000000-0004-0000-0200-000046000000}"/>
    <hyperlink ref="K110" r:id="rId72" xr:uid="{00000000-0004-0000-0200-000047000000}"/>
    <hyperlink ref="K111" r:id="rId73" location="authors" xr:uid="{00000000-0004-0000-0200-000048000000}"/>
    <hyperlink ref="K112" r:id="rId74" xr:uid="{00000000-0004-0000-0200-000049000000}"/>
    <hyperlink ref="K113" r:id="rId75" xr:uid="{00000000-0004-0000-0200-00004A000000}"/>
    <hyperlink ref="K114" r:id="rId76" xr:uid="{00000000-0004-0000-0200-00004B000000}"/>
    <hyperlink ref="K115" r:id="rId77" xr:uid="{00000000-0004-0000-0200-00004C000000}"/>
    <hyperlink ref="K116" r:id="rId78" xr:uid="{00000000-0004-0000-0200-00004D000000}"/>
    <hyperlink ref="K118" r:id="rId79" xr:uid="{00000000-0004-0000-0200-00004E000000}"/>
    <hyperlink ref="K119" r:id="rId80" xr:uid="{00000000-0004-0000-0200-00004F000000}"/>
    <hyperlink ref="K120" r:id="rId81" xr:uid="{00000000-0004-0000-0200-000050000000}"/>
    <hyperlink ref="K121" r:id="rId82" xr:uid="{00000000-0004-0000-0200-000051000000}"/>
    <hyperlink ref="K122" r:id="rId83" xr:uid="{00000000-0004-0000-0200-000052000000}"/>
    <hyperlink ref="K123" r:id="rId84" xr:uid="{00000000-0004-0000-0200-000053000000}"/>
    <hyperlink ref="K124" r:id="rId85" xr:uid="{00000000-0004-0000-0200-000054000000}"/>
    <hyperlink ref="K125" r:id="rId86" xr:uid="{00000000-0004-0000-0200-000055000000}"/>
    <hyperlink ref="K126" r:id="rId87" xr:uid="{00000000-0004-0000-0200-000056000000}"/>
    <hyperlink ref="K127" r:id="rId88" xr:uid="{00000000-0004-0000-0200-000057000000}"/>
    <hyperlink ref="K128" r:id="rId89" xr:uid="{00000000-0004-0000-0200-000058000000}"/>
    <hyperlink ref="K129" r:id="rId90" xr:uid="{00000000-0004-0000-0200-000059000000}"/>
    <hyperlink ref="K130" r:id="rId91" xr:uid="{00000000-0004-0000-0200-00005A000000}"/>
    <hyperlink ref="K131" r:id="rId92" xr:uid="{00000000-0004-0000-0200-00005B000000}"/>
    <hyperlink ref="K132" r:id="rId93" xr:uid="{00000000-0004-0000-0200-00005C000000}"/>
    <hyperlink ref="K134" r:id="rId94" location="citeas" xr:uid="{00000000-0004-0000-0200-00005D000000}"/>
    <hyperlink ref="K135" r:id="rId95" xr:uid="{00000000-0004-0000-0200-00005E000000}"/>
    <hyperlink ref="K136" r:id="rId96" xr:uid="{00000000-0004-0000-0200-00005F000000}"/>
    <hyperlink ref="K140" r:id="rId97" xr:uid="{00000000-0004-0000-0200-000060000000}"/>
    <hyperlink ref="K142" r:id="rId98" xr:uid="{00000000-0004-0000-0200-000061000000}"/>
    <hyperlink ref="K143" r:id="rId99" xr:uid="{00000000-0004-0000-0200-000062000000}"/>
    <hyperlink ref="K144" r:id="rId100" xr:uid="{00000000-0004-0000-0200-000063000000}"/>
    <hyperlink ref="K145" r:id="rId101" xr:uid="{00000000-0004-0000-0200-000064000000}"/>
    <hyperlink ref="K146" r:id="rId102" xr:uid="{00000000-0004-0000-0200-000065000000}"/>
    <hyperlink ref="K151" r:id="rId103" xr:uid="{00000000-0004-0000-0200-000066000000}"/>
    <hyperlink ref="K152" r:id="rId104" xr:uid="{00000000-0004-0000-0200-000067000000}"/>
    <hyperlink ref="K153" r:id="rId105" xr:uid="{00000000-0004-0000-0200-000068000000}"/>
    <hyperlink ref="K154" r:id="rId106" xr:uid="{00000000-0004-0000-0200-000069000000}"/>
    <hyperlink ref="K155" r:id="rId107" xr:uid="{00000000-0004-0000-0200-00006A000000}"/>
    <hyperlink ref="K157" r:id="rId108" xr:uid="{00000000-0004-0000-0200-00006B000000}"/>
    <hyperlink ref="K158" r:id="rId109" xr:uid="{00000000-0004-0000-0200-00006C000000}"/>
    <hyperlink ref="E161" r:id="rId110" xr:uid="{00000000-0004-0000-0200-00006D000000}"/>
    <hyperlink ref="K161" r:id="rId111" xr:uid="{00000000-0004-0000-0200-00006E000000}"/>
    <hyperlink ref="K162" r:id="rId112" xr:uid="{00000000-0004-0000-0200-00006F000000}"/>
    <hyperlink ref="K163" r:id="rId113" xr:uid="{00000000-0004-0000-0200-000070000000}"/>
    <hyperlink ref="K164" r:id="rId114" xr:uid="{00000000-0004-0000-0200-000071000000}"/>
    <hyperlink ref="H168" r:id="rId115" xr:uid="{00000000-0004-0000-0200-000072000000}"/>
    <hyperlink ref="K168" r:id="rId116" xr:uid="{00000000-0004-0000-0200-000073000000}"/>
    <hyperlink ref="K169" r:id="rId117" xr:uid="{00000000-0004-0000-0200-000074000000}"/>
    <hyperlink ref="K170" r:id="rId118" xr:uid="{00000000-0004-0000-0200-000075000000}"/>
    <hyperlink ref="K174" r:id="rId119" xr:uid="{00000000-0004-0000-0200-000076000000}"/>
    <hyperlink ref="K176" r:id="rId120" xr:uid="{00000000-0004-0000-0200-000077000000}"/>
    <hyperlink ref="K187" r:id="rId121" xr:uid="{00000000-0004-0000-0200-000078000000}"/>
    <hyperlink ref="K189" r:id="rId122" xr:uid="{00000000-0004-0000-0200-000079000000}"/>
    <hyperlink ref="K190" r:id="rId123" xr:uid="{00000000-0004-0000-0200-00007A000000}"/>
    <hyperlink ref="K198" r:id="rId124" xr:uid="{00000000-0004-0000-0200-00007B000000}"/>
    <hyperlink ref="K199" r:id="rId125" xr:uid="{00000000-0004-0000-0200-00007C000000}"/>
    <hyperlink ref="K200" r:id="rId126" xr:uid="{00000000-0004-0000-0200-00007D000000}"/>
    <hyperlink ref="K201" r:id="rId127" xr:uid="{00000000-0004-0000-0200-00007E000000}"/>
    <hyperlink ref="K202" r:id="rId128" xr:uid="{00000000-0004-0000-0200-00007F000000}"/>
    <hyperlink ref="K203" r:id="rId129" xr:uid="{00000000-0004-0000-0200-000080000000}"/>
    <hyperlink ref="K204" r:id="rId130" xr:uid="{00000000-0004-0000-0200-000081000000}"/>
    <hyperlink ref="K205" r:id="rId131" xr:uid="{00000000-0004-0000-0200-000082000000}"/>
    <hyperlink ref="K206" r:id="rId132" xr:uid="{00000000-0004-0000-0200-000083000000}"/>
    <hyperlink ref="K207" r:id="rId133" xr:uid="{00000000-0004-0000-0200-000084000000}"/>
    <hyperlink ref="K208" r:id="rId134" xr:uid="{00000000-0004-0000-0200-000085000000}"/>
    <hyperlink ref="K209" r:id="rId135" xr:uid="{00000000-0004-0000-0200-000086000000}"/>
    <hyperlink ref="K210" r:id="rId136" xr:uid="{00000000-0004-0000-0200-000087000000}"/>
    <hyperlink ref="K211" r:id="rId137" xr:uid="{00000000-0004-0000-0200-000088000000}"/>
    <hyperlink ref="K212" r:id="rId138" xr:uid="{00000000-0004-0000-0200-000089000000}"/>
    <hyperlink ref="I213" r:id="rId139" xr:uid="{00000000-0004-0000-0200-00008A000000}"/>
    <hyperlink ref="K214" r:id="rId140" xr:uid="{00000000-0004-0000-0200-00008B000000}"/>
    <hyperlink ref="N216" r:id="rId141" xr:uid="{00000000-0004-0000-0200-00008C000000}"/>
    <hyperlink ref="K233" r:id="rId142" xr:uid="{00000000-0004-0000-0200-00008D000000}"/>
    <hyperlink ref="K239" r:id="rId143" xr:uid="{00000000-0004-0000-0200-00008E000000}"/>
    <hyperlink ref="K242" r:id="rId144" xr:uid="{00000000-0004-0000-0200-00008F000000}"/>
    <hyperlink ref="K244" r:id="rId145" xr:uid="{00000000-0004-0000-0200-000090000000}"/>
    <hyperlink ref="K246" r:id="rId146" xr:uid="{00000000-0004-0000-0200-000091000000}"/>
    <hyperlink ref="K247" r:id="rId147" xr:uid="{00000000-0004-0000-0200-000092000000}"/>
    <hyperlink ref="K251" r:id="rId148" xr:uid="{00000000-0004-0000-0200-000093000000}"/>
    <hyperlink ref="K252" r:id="rId149" xr:uid="{00000000-0004-0000-0200-000094000000}"/>
    <hyperlink ref="K253" r:id="rId150" xr:uid="{00000000-0004-0000-0200-000095000000}"/>
    <hyperlink ref="K254" r:id="rId151" xr:uid="{00000000-0004-0000-0200-000096000000}"/>
    <hyperlink ref="K255" r:id="rId152" xr:uid="{00000000-0004-0000-0200-000097000000}"/>
    <hyperlink ref="J256" r:id="rId153" xr:uid="{00000000-0004-0000-0200-000098000000}"/>
    <hyperlink ref="K256" r:id="rId154" xr:uid="{00000000-0004-0000-0200-000099000000}"/>
    <hyperlink ref="K257" r:id="rId155" xr:uid="{00000000-0004-0000-0200-00009A000000}"/>
    <hyperlink ref="K258" r:id="rId156" xr:uid="{00000000-0004-0000-0200-00009B000000}"/>
    <hyperlink ref="K259" r:id="rId157" xr:uid="{00000000-0004-0000-0200-00009C000000}"/>
    <hyperlink ref="K260" r:id="rId158" xr:uid="{00000000-0004-0000-0200-00009D000000}"/>
    <hyperlink ref="K261" r:id="rId159" xr:uid="{00000000-0004-0000-0200-00009E000000}"/>
    <hyperlink ref="K262" r:id="rId160" xr:uid="{00000000-0004-0000-0200-00009F000000}"/>
    <hyperlink ref="K263" r:id="rId161" xr:uid="{00000000-0004-0000-0200-0000A0000000}"/>
    <hyperlink ref="K264" r:id="rId162" xr:uid="{00000000-0004-0000-0200-0000A1000000}"/>
    <hyperlink ref="K268" r:id="rId163" xr:uid="{00000000-0004-0000-0200-0000A2000000}"/>
    <hyperlink ref="K273" r:id="rId164" xr:uid="{00000000-0004-0000-0200-0000A3000000}"/>
    <hyperlink ref="K274" r:id="rId165" xr:uid="{00000000-0004-0000-0200-0000A4000000}"/>
    <hyperlink ref="K275" r:id="rId166" xr:uid="{00000000-0004-0000-0200-0000A5000000}"/>
    <hyperlink ref="K279" r:id="rId167" xr:uid="{00000000-0004-0000-0200-0000A6000000}"/>
    <hyperlink ref="K280" r:id="rId168" xr:uid="{00000000-0004-0000-0200-0000A7000000}"/>
    <hyperlink ref="J282" r:id="rId169" xr:uid="{00000000-0004-0000-0200-0000A8000000}"/>
    <hyperlink ref="K282" r:id="rId170" xr:uid="{00000000-0004-0000-0200-0000A9000000}"/>
    <hyperlink ref="K293" r:id="rId171" xr:uid="{00000000-0004-0000-0200-0000AA000000}"/>
    <hyperlink ref="K301" r:id="rId172" xr:uid="{00000000-0004-0000-0200-0000AB000000}"/>
    <hyperlink ref="K307" r:id="rId173" xr:uid="{00000000-0004-0000-0200-0000AC000000}"/>
    <hyperlink ref="K309" r:id="rId174" xr:uid="{00000000-0004-0000-0200-0000AD000000}"/>
    <hyperlink ref="K310" r:id="rId175" xr:uid="{00000000-0004-0000-0200-0000AE000000}"/>
    <hyperlink ref="E311" r:id="rId176" xr:uid="{00000000-0004-0000-0200-0000AF000000}"/>
    <hyperlink ref="I311" r:id="rId177" xr:uid="{00000000-0004-0000-0200-0000B0000000}"/>
    <hyperlink ref="K311" r:id="rId178" xr:uid="{00000000-0004-0000-0200-0000B1000000}"/>
    <hyperlink ref="K312" r:id="rId179" xr:uid="{00000000-0004-0000-0200-0000B2000000}"/>
    <hyperlink ref="K313" r:id="rId180" xr:uid="{00000000-0004-0000-0200-0000B3000000}"/>
    <hyperlink ref="K314" r:id="rId181" xr:uid="{00000000-0004-0000-0200-0000B4000000}"/>
    <hyperlink ref="I315" r:id="rId182" xr:uid="{00000000-0004-0000-0200-0000B5000000}"/>
    <hyperlink ref="K315" r:id="rId183" xr:uid="{00000000-0004-0000-0200-0000B6000000}"/>
    <hyperlink ref="I316" r:id="rId184" xr:uid="{00000000-0004-0000-0200-0000B7000000}"/>
    <hyperlink ref="K316" r:id="rId185" xr:uid="{00000000-0004-0000-0200-0000B8000000}"/>
    <hyperlink ref="K317" r:id="rId186" xr:uid="{00000000-0004-0000-0200-0000B9000000}"/>
    <hyperlink ref="K318" r:id="rId187" xr:uid="{00000000-0004-0000-0200-0000BA000000}"/>
    <hyperlink ref="K319" r:id="rId188" xr:uid="{00000000-0004-0000-0200-0000BB000000}"/>
    <hyperlink ref="E320" r:id="rId189" xr:uid="{00000000-0004-0000-0200-0000BC000000}"/>
    <hyperlink ref="K320" r:id="rId190" xr:uid="{00000000-0004-0000-0200-0000BD000000}"/>
    <hyperlink ref="K321" r:id="rId191" xr:uid="{00000000-0004-0000-0200-0000BE000000}"/>
    <hyperlink ref="K322" r:id="rId192" xr:uid="{00000000-0004-0000-0200-0000BF000000}"/>
    <hyperlink ref="K323" r:id="rId193" xr:uid="{00000000-0004-0000-0200-0000C0000000}"/>
    <hyperlink ref="K324" r:id="rId194" xr:uid="{00000000-0004-0000-0200-0000C1000000}"/>
    <hyperlink ref="K325" r:id="rId195" xr:uid="{00000000-0004-0000-0200-0000C2000000}"/>
    <hyperlink ref="K326" r:id="rId196" xr:uid="{00000000-0004-0000-0200-0000C3000000}"/>
    <hyperlink ref="K327" r:id="rId197" xr:uid="{00000000-0004-0000-0200-0000C4000000}"/>
    <hyperlink ref="K328" r:id="rId198" xr:uid="{00000000-0004-0000-0200-0000C5000000}"/>
    <hyperlink ref="K329" r:id="rId199" xr:uid="{00000000-0004-0000-0200-0000C6000000}"/>
    <hyperlink ref="K330" r:id="rId200" xr:uid="{00000000-0004-0000-0200-0000C7000000}"/>
    <hyperlink ref="K331" r:id="rId201" xr:uid="{00000000-0004-0000-0200-0000C8000000}"/>
    <hyperlink ref="K332" r:id="rId202" xr:uid="{00000000-0004-0000-0200-0000C9000000}"/>
    <hyperlink ref="K333" r:id="rId203" xr:uid="{00000000-0004-0000-0200-0000CA000000}"/>
    <hyperlink ref="K334" r:id="rId204" xr:uid="{00000000-0004-0000-0200-0000CB000000}"/>
    <hyperlink ref="K335" r:id="rId205" xr:uid="{00000000-0004-0000-0200-0000CC000000}"/>
    <hyperlink ref="K336" r:id="rId206" xr:uid="{00000000-0004-0000-0200-0000CD000000}"/>
    <hyperlink ref="E337" r:id="rId207" xr:uid="{00000000-0004-0000-0200-0000CE000000}"/>
    <hyperlink ref="K337" r:id="rId208" xr:uid="{00000000-0004-0000-0200-0000CF000000}"/>
    <hyperlink ref="K338" r:id="rId209" xr:uid="{00000000-0004-0000-0200-0000D0000000}"/>
    <hyperlink ref="K339" r:id="rId210" xr:uid="{00000000-0004-0000-0200-0000D1000000}"/>
    <hyperlink ref="K341" r:id="rId211" xr:uid="{00000000-0004-0000-0200-0000D2000000}"/>
    <hyperlink ref="K342" r:id="rId212" xr:uid="{00000000-0004-0000-0200-0000D3000000}"/>
  </hyperlinks>
  <pageMargins left="0.7" right="0.7" top="0.75" bottom="0.75" header="0" footer="0"/>
  <pageSetup orientation="landscape"/>
  <tableParts count="1">
    <tablePart r:id="rId2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835"/>
  <sheetViews>
    <sheetView workbookViewId="0">
      <pane ySplit="2" topLeftCell="A3" activePane="bottomLeft" state="frozen"/>
      <selection pane="bottomLeft" activeCell="A3" sqref="A3:J186"/>
    </sheetView>
  </sheetViews>
  <sheetFormatPr defaultColWidth="12.6640625" defaultRowHeight="15" customHeight="1"/>
  <cols>
    <col min="1" max="1" width="4.77734375" customWidth="1"/>
    <col min="2" max="2" width="15.33203125" customWidth="1"/>
    <col min="3" max="3" width="10.33203125" customWidth="1"/>
    <col min="4" max="4" width="22.109375" customWidth="1"/>
    <col min="5" max="5" width="10.6640625" customWidth="1"/>
    <col min="6" max="6" width="31.77734375" customWidth="1"/>
    <col min="7" max="7" width="22.77734375" customWidth="1"/>
    <col min="8" max="8" width="17.21875" customWidth="1"/>
    <col min="9" max="9" width="17.88671875" customWidth="1"/>
    <col min="10" max="10" width="31.21875" customWidth="1"/>
    <col min="11" max="11" width="25.77734375" customWidth="1"/>
  </cols>
  <sheetData>
    <row r="1" spans="1:30" ht="30" customHeight="1">
      <c r="A1" s="398" t="s">
        <v>1437</v>
      </c>
      <c r="B1" s="396"/>
      <c r="C1" s="396"/>
      <c r="D1" s="396"/>
      <c r="E1" s="396"/>
      <c r="F1" s="396"/>
      <c r="G1" s="396"/>
      <c r="H1" s="396"/>
      <c r="I1" s="396"/>
      <c r="J1" s="397"/>
      <c r="K1" s="32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58.5" customHeight="1">
      <c r="A2" s="64" t="s">
        <v>1438</v>
      </c>
      <c r="B2" s="65" t="s">
        <v>1439</v>
      </c>
      <c r="C2" s="65" t="s">
        <v>1440</v>
      </c>
      <c r="D2" s="65" t="s">
        <v>1441</v>
      </c>
      <c r="E2" s="65" t="s">
        <v>79</v>
      </c>
      <c r="F2" s="65" t="s">
        <v>1442</v>
      </c>
      <c r="G2" s="65" t="s">
        <v>1443</v>
      </c>
      <c r="H2" s="66" t="s">
        <v>1444</v>
      </c>
      <c r="I2" s="67" t="s">
        <v>1445</v>
      </c>
      <c r="J2" s="68" t="s">
        <v>1446</v>
      </c>
      <c r="K2" s="3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</row>
    <row r="3" spans="1:30" ht="25.5" customHeight="1">
      <c r="A3" s="410">
        <v>1</v>
      </c>
      <c r="B3" s="410" t="s">
        <v>1447</v>
      </c>
      <c r="C3" s="410" t="s">
        <v>1448</v>
      </c>
      <c r="D3" s="410" t="s">
        <v>1449</v>
      </c>
      <c r="E3" s="410" t="s">
        <v>1450</v>
      </c>
      <c r="F3" s="410" t="s">
        <v>1451</v>
      </c>
      <c r="G3" s="410" t="s">
        <v>1452</v>
      </c>
      <c r="H3" s="410">
        <v>45358</v>
      </c>
      <c r="I3" s="410">
        <v>45605</v>
      </c>
      <c r="J3" s="410" t="s">
        <v>1453</v>
      </c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spans="1:30" ht="25.5" customHeight="1">
      <c r="A4" s="410">
        <v>2</v>
      </c>
      <c r="B4" s="410">
        <v>202441071878</v>
      </c>
      <c r="C4" s="410" t="s">
        <v>194</v>
      </c>
      <c r="D4" s="410" t="s">
        <v>122</v>
      </c>
      <c r="E4" s="410" t="s">
        <v>23</v>
      </c>
      <c r="F4" s="410" t="s">
        <v>1454</v>
      </c>
      <c r="G4" s="410" t="s">
        <v>1455</v>
      </c>
      <c r="H4" s="410" t="s">
        <v>1456</v>
      </c>
      <c r="I4" s="410">
        <v>45392</v>
      </c>
      <c r="J4" s="410" t="s">
        <v>1457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spans="1:30" ht="25.5" customHeight="1">
      <c r="A5" s="410">
        <v>3</v>
      </c>
      <c r="B5" s="410">
        <v>202441071057</v>
      </c>
      <c r="C5" s="410" t="s">
        <v>1458</v>
      </c>
      <c r="D5" s="410" t="s">
        <v>1459</v>
      </c>
      <c r="E5" s="410" t="s">
        <v>15</v>
      </c>
      <c r="F5" s="410" t="s">
        <v>1460</v>
      </c>
      <c r="G5" s="410" t="s">
        <v>1461</v>
      </c>
      <c r="H5" s="410" t="s">
        <v>1462</v>
      </c>
      <c r="I5" s="410" t="s">
        <v>100</v>
      </c>
      <c r="J5" s="410" t="s">
        <v>100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25.5" customHeight="1">
      <c r="A6" s="410">
        <v>4</v>
      </c>
      <c r="B6" s="410">
        <v>202441071164</v>
      </c>
      <c r="C6" s="410" t="s">
        <v>1458</v>
      </c>
      <c r="D6" s="410" t="s">
        <v>1463</v>
      </c>
      <c r="E6" s="410" t="s">
        <v>15</v>
      </c>
      <c r="F6" s="410" t="s">
        <v>1464</v>
      </c>
      <c r="G6" s="410" t="s">
        <v>1465</v>
      </c>
      <c r="H6" s="410" t="s">
        <v>1462</v>
      </c>
      <c r="I6" s="410" t="s">
        <v>100</v>
      </c>
      <c r="J6" s="410" t="s">
        <v>100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25.5" customHeight="1">
      <c r="A7" s="410">
        <v>5</v>
      </c>
      <c r="B7" s="410">
        <v>202441049674</v>
      </c>
      <c r="C7" s="410" t="s">
        <v>1458</v>
      </c>
      <c r="D7" s="410" t="s">
        <v>1466</v>
      </c>
      <c r="E7" s="410" t="s">
        <v>18</v>
      </c>
      <c r="F7" s="410" t="s">
        <v>1467</v>
      </c>
      <c r="G7" s="410" t="s">
        <v>1466</v>
      </c>
      <c r="H7" s="410" t="s">
        <v>1468</v>
      </c>
      <c r="I7" s="410" t="s">
        <v>100</v>
      </c>
      <c r="J7" s="410" t="s">
        <v>100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0" ht="25.5" customHeight="1">
      <c r="A8" s="410">
        <v>6</v>
      </c>
      <c r="B8" s="410">
        <v>202441065133</v>
      </c>
      <c r="C8" s="410" t="s">
        <v>1469</v>
      </c>
      <c r="D8" s="410" t="s">
        <v>1470</v>
      </c>
      <c r="E8" s="410" t="s">
        <v>17</v>
      </c>
      <c r="F8" s="410" t="s">
        <v>1471</v>
      </c>
      <c r="G8" s="410" t="s">
        <v>1470</v>
      </c>
      <c r="H8" s="410" t="s">
        <v>1472</v>
      </c>
      <c r="I8" s="410">
        <v>45452</v>
      </c>
      <c r="J8" s="410" t="s">
        <v>1473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spans="1:30" ht="43.5" customHeight="1">
      <c r="A9" s="410">
        <v>7</v>
      </c>
      <c r="B9" s="410">
        <v>202441073045</v>
      </c>
      <c r="C9" s="410" t="s">
        <v>1474</v>
      </c>
      <c r="D9" s="410" t="s">
        <v>1475</v>
      </c>
      <c r="E9" s="410" t="s">
        <v>17</v>
      </c>
      <c r="F9" s="410" t="s">
        <v>1476</v>
      </c>
      <c r="G9" s="410" t="s">
        <v>1477</v>
      </c>
      <c r="H9" s="410" t="s">
        <v>1478</v>
      </c>
      <c r="I9" s="410" t="s">
        <v>100</v>
      </c>
      <c r="J9" s="410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0" ht="25.5" customHeight="1">
      <c r="A10" s="410">
        <v>8</v>
      </c>
      <c r="B10" s="410">
        <v>202441085362</v>
      </c>
      <c r="C10" s="410" t="s">
        <v>194</v>
      </c>
      <c r="D10" s="410" t="s">
        <v>271</v>
      </c>
      <c r="E10" s="410" t="s">
        <v>17</v>
      </c>
      <c r="F10" s="410" t="s">
        <v>1479</v>
      </c>
      <c r="G10" s="410" t="s">
        <v>271</v>
      </c>
      <c r="H10" s="410">
        <v>45484</v>
      </c>
      <c r="I10" s="410" t="s">
        <v>100</v>
      </c>
      <c r="J10" s="410" t="s">
        <v>9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1:30" ht="25.5" customHeight="1">
      <c r="A11" s="410">
        <v>9</v>
      </c>
      <c r="B11" s="410">
        <v>202441085368</v>
      </c>
      <c r="C11" s="410" t="s">
        <v>1458</v>
      </c>
      <c r="D11" s="410" t="s">
        <v>271</v>
      </c>
      <c r="E11" s="410" t="s">
        <v>17</v>
      </c>
      <c r="F11" s="410" t="s">
        <v>1480</v>
      </c>
      <c r="G11" s="410" t="s">
        <v>271</v>
      </c>
      <c r="H11" s="410">
        <v>45484</v>
      </c>
      <c r="I11" s="410" t="s">
        <v>100</v>
      </c>
      <c r="J11" s="410" t="s">
        <v>1481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0" ht="48" customHeight="1">
      <c r="A12" s="410">
        <v>10</v>
      </c>
      <c r="B12" s="410">
        <v>202441084592</v>
      </c>
      <c r="C12" s="410" t="s">
        <v>1458</v>
      </c>
      <c r="D12" s="410" t="s">
        <v>951</v>
      </c>
      <c r="E12" s="410" t="s">
        <v>17</v>
      </c>
      <c r="F12" s="410" t="s">
        <v>1482</v>
      </c>
      <c r="G12" s="410" t="s">
        <v>951</v>
      </c>
      <c r="H12" s="410">
        <v>45423</v>
      </c>
      <c r="I12" s="410" t="s">
        <v>100</v>
      </c>
      <c r="J12" s="410" t="s">
        <v>1483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0" ht="25.5" customHeight="1">
      <c r="A13" s="410">
        <v>11</v>
      </c>
      <c r="B13" s="410">
        <v>202441084804</v>
      </c>
      <c r="C13" s="410" t="s">
        <v>1458</v>
      </c>
      <c r="D13" s="410" t="s">
        <v>1484</v>
      </c>
      <c r="E13" s="410" t="s">
        <v>17</v>
      </c>
      <c r="F13" s="410" t="s">
        <v>1485</v>
      </c>
      <c r="G13" s="410" t="s">
        <v>298</v>
      </c>
      <c r="H13" s="410">
        <v>45454</v>
      </c>
      <c r="I13" s="410" t="s">
        <v>100</v>
      </c>
      <c r="J13" s="410" t="s">
        <v>1486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0" ht="25.5" customHeight="1">
      <c r="A14" s="410">
        <v>12</v>
      </c>
      <c r="B14" s="410">
        <v>202441084582</v>
      </c>
      <c r="C14" s="410" t="s">
        <v>1458</v>
      </c>
      <c r="D14" s="410" t="s">
        <v>277</v>
      </c>
      <c r="E14" s="410" t="s">
        <v>17</v>
      </c>
      <c r="F14" s="410" t="s">
        <v>1487</v>
      </c>
      <c r="G14" s="410" t="s">
        <v>277</v>
      </c>
      <c r="H14" s="410">
        <v>45423</v>
      </c>
      <c r="I14" s="410" t="s">
        <v>100</v>
      </c>
      <c r="J14" s="410" t="s">
        <v>1488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 ht="55.5" customHeight="1">
      <c r="A15" s="410">
        <v>13</v>
      </c>
      <c r="B15" s="410">
        <v>202441097049</v>
      </c>
      <c r="C15" s="410" t="s">
        <v>1458</v>
      </c>
      <c r="D15" s="410" t="s">
        <v>1489</v>
      </c>
      <c r="E15" s="410" t="s">
        <v>18</v>
      </c>
      <c r="F15" s="410" t="s">
        <v>1490</v>
      </c>
      <c r="G15" s="410" t="s">
        <v>1489</v>
      </c>
      <c r="H15" s="410" t="s">
        <v>1491</v>
      </c>
      <c r="I15" s="410" t="s">
        <v>100</v>
      </c>
      <c r="J15" s="410" t="s">
        <v>1492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0" ht="25.5" customHeight="1">
      <c r="A16" s="410">
        <v>14</v>
      </c>
      <c r="B16" s="410">
        <v>202441098549</v>
      </c>
      <c r="C16" s="410" t="s">
        <v>1458</v>
      </c>
      <c r="D16" s="410" t="s">
        <v>1493</v>
      </c>
      <c r="E16" s="410" t="s">
        <v>17</v>
      </c>
      <c r="F16" s="410" t="s">
        <v>1494</v>
      </c>
      <c r="G16" s="410" t="s">
        <v>1493</v>
      </c>
      <c r="H16" s="410" t="s">
        <v>1495</v>
      </c>
      <c r="I16" s="410" t="s">
        <v>100</v>
      </c>
      <c r="J16" s="410" t="s">
        <v>1496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spans="1:30" ht="31.5" customHeight="1">
      <c r="A17" s="410">
        <v>15</v>
      </c>
      <c r="B17" s="410">
        <v>202441098181</v>
      </c>
      <c r="C17" s="410" t="s">
        <v>1458</v>
      </c>
      <c r="D17" s="410" t="s">
        <v>1497</v>
      </c>
      <c r="E17" s="410" t="s">
        <v>24</v>
      </c>
      <c r="F17" s="410" t="s">
        <v>1498</v>
      </c>
      <c r="G17" s="410" t="s">
        <v>1497</v>
      </c>
      <c r="H17" s="410">
        <v>45638</v>
      </c>
      <c r="I17" s="410" t="s">
        <v>100</v>
      </c>
      <c r="J17" s="410" t="s">
        <v>1499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ht="25.5" customHeight="1">
      <c r="A18" s="410">
        <v>16</v>
      </c>
      <c r="B18" s="410">
        <v>202441090955</v>
      </c>
      <c r="C18" s="410" t="s">
        <v>1458</v>
      </c>
      <c r="D18" s="410" t="s">
        <v>316</v>
      </c>
      <c r="E18" s="410" t="s">
        <v>15</v>
      </c>
      <c r="F18" s="410" t="s">
        <v>1500</v>
      </c>
      <c r="G18" s="410" t="s">
        <v>1501</v>
      </c>
      <c r="H18" s="410" t="s">
        <v>1502</v>
      </c>
      <c r="I18" s="410"/>
      <c r="J18" s="410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1:30" ht="25.5" customHeight="1">
      <c r="A19" s="410">
        <v>17</v>
      </c>
      <c r="B19" s="410">
        <v>20241098664</v>
      </c>
      <c r="C19" s="410" t="s">
        <v>1458</v>
      </c>
      <c r="D19" s="410" t="s">
        <v>1503</v>
      </c>
      <c r="E19" s="410" t="s">
        <v>15</v>
      </c>
      <c r="F19" s="410" t="s">
        <v>1504</v>
      </c>
      <c r="G19" s="410" t="s">
        <v>1505</v>
      </c>
      <c r="H19" s="410" t="s">
        <v>1495</v>
      </c>
      <c r="I19" s="410"/>
      <c r="J19" s="410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 ht="25.5" customHeight="1">
      <c r="A20" s="410">
        <v>18</v>
      </c>
      <c r="B20" s="410">
        <v>202441099788</v>
      </c>
      <c r="C20" s="410" t="s">
        <v>1458</v>
      </c>
      <c r="D20" s="410" t="s">
        <v>1506</v>
      </c>
      <c r="E20" s="410" t="s">
        <v>17</v>
      </c>
      <c r="F20" s="410" t="s">
        <v>1507</v>
      </c>
      <c r="G20" s="410" t="s">
        <v>1506</v>
      </c>
      <c r="H20" s="410" t="s">
        <v>1508</v>
      </c>
      <c r="I20" s="410" t="s">
        <v>100</v>
      </c>
      <c r="J20" s="410" t="s">
        <v>1509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ht="25.5" customHeight="1">
      <c r="A21" s="410">
        <v>19</v>
      </c>
      <c r="B21" s="410">
        <v>202441051961</v>
      </c>
      <c r="C21" s="410" t="s">
        <v>1510</v>
      </c>
      <c r="D21" s="410" t="s">
        <v>1511</v>
      </c>
      <c r="E21" s="410" t="s">
        <v>596</v>
      </c>
      <c r="F21" s="410" t="s">
        <v>1512</v>
      </c>
      <c r="G21" s="410" t="s">
        <v>1511</v>
      </c>
      <c r="H21" s="410">
        <v>45511</v>
      </c>
      <c r="I21" s="410" t="s">
        <v>1083</v>
      </c>
      <c r="J21" s="410" t="s">
        <v>1513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 ht="25.5" customHeight="1">
      <c r="A22" s="410">
        <v>20</v>
      </c>
      <c r="B22" s="410">
        <v>202441103930</v>
      </c>
      <c r="C22" s="410" t="s">
        <v>194</v>
      </c>
      <c r="D22" s="410" t="s">
        <v>1514</v>
      </c>
      <c r="E22" s="410" t="s">
        <v>17</v>
      </c>
      <c r="F22" s="410" t="s">
        <v>1515</v>
      </c>
      <c r="G22" s="410" t="s">
        <v>1514</v>
      </c>
      <c r="H22" s="410" t="s">
        <v>1516</v>
      </c>
      <c r="I22" s="410" t="s">
        <v>1517</v>
      </c>
      <c r="J22" s="410" t="s">
        <v>1518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 ht="13.2">
      <c r="A23" s="410">
        <v>21</v>
      </c>
      <c r="B23" s="410">
        <v>202441099853</v>
      </c>
      <c r="C23" s="410" t="s">
        <v>1510</v>
      </c>
      <c r="D23" s="410" t="s">
        <v>1519</v>
      </c>
      <c r="E23" s="410" t="s">
        <v>16</v>
      </c>
      <c r="F23" s="410" t="s">
        <v>1520</v>
      </c>
      <c r="G23" s="410" t="s">
        <v>1519</v>
      </c>
      <c r="H23" s="410" t="s">
        <v>1521</v>
      </c>
      <c r="I23" s="410" t="s">
        <v>100</v>
      </c>
      <c r="J23" s="410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 spans="1:30" ht="13.2">
      <c r="A24" s="410">
        <v>22</v>
      </c>
      <c r="B24" s="410">
        <v>202441079114</v>
      </c>
      <c r="C24" s="410" t="s">
        <v>1510</v>
      </c>
      <c r="D24" s="410" t="s">
        <v>1522</v>
      </c>
      <c r="E24" s="410" t="s">
        <v>21</v>
      </c>
      <c r="F24" s="410" t="s">
        <v>1523</v>
      </c>
      <c r="G24" s="410" t="s">
        <v>1522</v>
      </c>
      <c r="H24" s="410" t="s">
        <v>1524</v>
      </c>
      <c r="I24" s="410" t="s">
        <v>100</v>
      </c>
      <c r="J24" s="410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 spans="1:30" ht="13.2">
      <c r="A25" s="410">
        <v>23</v>
      </c>
      <c r="B25" s="410">
        <v>202441085354</v>
      </c>
      <c r="C25" s="410" t="s">
        <v>1510</v>
      </c>
      <c r="D25" s="410" t="s">
        <v>1525</v>
      </c>
      <c r="E25" s="410" t="s">
        <v>21</v>
      </c>
      <c r="F25" s="410" t="s">
        <v>1526</v>
      </c>
      <c r="G25" s="410" t="s">
        <v>1525</v>
      </c>
      <c r="H25" s="410" t="s">
        <v>1527</v>
      </c>
      <c r="I25" s="410" t="s">
        <v>100</v>
      </c>
      <c r="J25" s="410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 spans="1:30" ht="13.2">
      <c r="A26" s="410">
        <v>24</v>
      </c>
      <c r="B26" s="410">
        <v>202441094713</v>
      </c>
      <c r="C26" s="410" t="s">
        <v>1510</v>
      </c>
      <c r="D26" s="410" t="s">
        <v>1525</v>
      </c>
      <c r="E26" s="410" t="s">
        <v>21</v>
      </c>
      <c r="F26" s="410" t="s">
        <v>1528</v>
      </c>
      <c r="G26" s="410" t="s">
        <v>1525</v>
      </c>
      <c r="H26" s="410" t="s">
        <v>1529</v>
      </c>
      <c r="I26" s="410" t="s">
        <v>100</v>
      </c>
      <c r="J26" s="410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 spans="1:30" ht="13.2">
      <c r="A27" s="410">
        <v>25</v>
      </c>
      <c r="B27" s="410">
        <v>202024107613.29999</v>
      </c>
      <c r="C27" s="410" t="s">
        <v>1458</v>
      </c>
      <c r="D27" s="410" t="s">
        <v>1530</v>
      </c>
      <c r="E27" s="410" t="s">
        <v>15</v>
      </c>
      <c r="F27" s="410" t="s">
        <v>1531</v>
      </c>
      <c r="G27" s="410" t="s">
        <v>1530</v>
      </c>
      <c r="H27" s="410" t="s">
        <v>1532</v>
      </c>
      <c r="I27" s="410" t="s">
        <v>100</v>
      </c>
      <c r="J27" s="410" t="s">
        <v>100</v>
      </c>
      <c r="K27" s="5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13.2">
      <c r="A28" s="410">
        <v>26</v>
      </c>
      <c r="B28" s="410">
        <v>202441099767</v>
      </c>
      <c r="C28" s="410" t="s">
        <v>1458</v>
      </c>
      <c r="D28" s="410" t="s">
        <v>1533</v>
      </c>
      <c r="E28" s="410" t="s">
        <v>15</v>
      </c>
      <c r="F28" s="410" t="s">
        <v>1534</v>
      </c>
      <c r="G28" s="410" t="s">
        <v>1535</v>
      </c>
      <c r="H28" s="410" t="s">
        <v>1536</v>
      </c>
      <c r="I28" s="410" t="s">
        <v>100</v>
      </c>
      <c r="J28" s="410" t="s">
        <v>100</v>
      </c>
      <c r="K28" s="58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13.2">
      <c r="A29" s="410">
        <v>27</v>
      </c>
      <c r="B29" s="410">
        <v>202541004342</v>
      </c>
      <c r="C29" s="410" t="s">
        <v>1458</v>
      </c>
      <c r="D29" s="410" t="s">
        <v>1537</v>
      </c>
      <c r="E29" s="410" t="s">
        <v>15</v>
      </c>
      <c r="F29" s="410" t="s">
        <v>1538</v>
      </c>
      <c r="G29" s="410" t="s">
        <v>1537</v>
      </c>
      <c r="H29" s="410" t="s">
        <v>1539</v>
      </c>
      <c r="I29" s="410" t="s">
        <v>100</v>
      </c>
      <c r="J29" s="410" t="s">
        <v>100</v>
      </c>
      <c r="K29" s="58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13.2">
      <c r="A30" s="410">
        <v>28</v>
      </c>
      <c r="B30" s="410">
        <v>202441101812</v>
      </c>
      <c r="C30" s="410" t="s">
        <v>1458</v>
      </c>
      <c r="D30" s="410" t="s">
        <v>1540</v>
      </c>
      <c r="E30" s="410" t="s">
        <v>24</v>
      </c>
      <c r="F30" s="410" t="s">
        <v>1541</v>
      </c>
      <c r="G30" s="410" t="s">
        <v>1540</v>
      </c>
      <c r="H30" s="410" t="s">
        <v>1542</v>
      </c>
      <c r="I30" s="410"/>
      <c r="J30" s="410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 spans="1:30" ht="13.2">
      <c r="A31" s="410">
        <v>29</v>
      </c>
      <c r="B31" s="410">
        <v>202441102644</v>
      </c>
      <c r="C31" s="410" t="s">
        <v>1458</v>
      </c>
      <c r="D31" s="410" t="s">
        <v>1543</v>
      </c>
      <c r="E31" s="410" t="s">
        <v>24</v>
      </c>
      <c r="F31" s="410" t="s">
        <v>1544</v>
      </c>
      <c r="G31" s="410" t="s">
        <v>1545</v>
      </c>
      <c r="H31" s="410">
        <v>45627</v>
      </c>
      <c r="I31" s="410"/>
      <c r="J31" s="410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 spans="1:30" ht="13.2">
      <c r="A32" s="410">
        <v>30</v>
      </c>
      <c r="B32" s="410">
        <v>202441104295</v>
      </c>
      <c r="C32" s="410" t="s">
        <v>1458</v>
      </c>
      <c r="D32" s="410" t="s">
        <v>719</v>
      </c>
      <c r="E32" s="410" t="s">
        <v>24</v>
      </c>
      <c r="F32" s="410" t="s">
        <v>1546</v>
      </c>
      <c r="G32" s="410" t="s">
        <v>1547</v>
      </c>
      <c r="H32" s="410" t="s">
        <v>1548</v>
      </c>
      <c r="I32" s="410"/>
      <c r="J32" s="410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 spans="1:30" ht="25.5" customHeight="1">
      <c r="A33" s="410">
        <v>31</v>
      </c>
      <c r="B33" s="410">
        <v>202541001326</v>
      </c>
      <c r="C33" s="410" t="s">
        <v>1458</v>
      </c>
      <c r="D33" s="410" t="s">
        <v>1549</v>
      </c>
      <c r="E33" s="410" t="s">
        <v>17</v>
      </c>
      <c r="F33" s="410" t="s">
        <v>1550</v>
      </c>
      <c r="G33" s="410" t="s">
        <v>1549</v>
      </c>
      <c r="H33" s="410">
        <v>45839</v>
      </c>
      <c r="I33" s="410"/>
      <c r="J33" s="410" t="s">
        <v>1551</v>
      </c>
      <c r="K33" s="75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25.5" customHeight="1">
      <c r="A34" s="410">
        <v>32</v>
      </c>
      <c r="B34" s="410">
        <v>202541012160</v>
      </c>
      <c r="C34" s="410" t="s">
        <v>1458</v>
      </c>
      <c r="D34" s="410" t="s">
        <v>1552</v>
      </c>
      <c r="E34" s="410" t="s">
        <v>17</v>
      </c>
      <c r="F34" s="410" t="s">
        <v>1553</v>
      </c>
      <c r="G34" s="410" t="s">
        <v>1552</v>
      </c>
      <c r="H34" s="410" t="s">
        <v>1554</v>
      </c>
      <c r="I34" s="410" t="s">
        <v>100</v>
      </c>
      <c r="J34" s="410" t="s">
        <v>1555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ht="25.5" customHeight="1">
      <c r="A35" s="410">
        <v>33</v>
      </c>
      <c r="B35" s="410">
        <v>202441103101</v>
      </c>
      <c r="C35" s="410" t="s">
        <v>1458</v>
      </c>
      <c r="D35" s="410" t="s">
        <v>1556</v>
      </c>
      <c r="E35" s="410" t="s">
        <v>16</v>
      </c>
      <c r="F35" s="410" t="s">
        <v>1557</v>
      </c>
      <c r="G35" s="410" t="s">
        <v>1556</v>
      </c>
      <c r="H35" s="410" t="s">
        <v>1558</v>
      </c>
      <c r="I35" s="410" t="s">
        <v>100</v>
      </c>
      <c r="J35" s="410" t="s">
        <v>100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 spans="1:30" ht="25.5" customHeight="1">
      <c r="A36" s="410">
        <v>34</v>
      </c>
      <c r="B36" s="410">
        <v>202541010267</v>
      </c>
      <c r="C36" s="410" t="s">
        <v>1458</v>
      </c>
      <c r="D36" s="410" t="s">
        <v>406</v>
      </c>
      <c r="E36" s="410" t="s">
        <v>16</v>
      </c>
      <c r="F36" s="410" t="s">
        <v>1559</v>
      </c>
      <c r="G36" s="410" t="s">
        <v>406</v>
      </c>
      <c r="H36" s="410">
        <v>45840</v>
      </c>
      <c r="I36" s="410" t="s">
        <v>100</v>
      </c>
      <c r="J36" s="410" t="s">
        <v>100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 spans="1:30" ht="25.5" customHeight="1">
      <c r="A37" s="410">
        <v>35</v>
      </c>
      <c r="B37" s="410">
        <v>202541004630</v>
      </c>
      <c r="C37" s="410" t="s">
        <v>1458</v>
      </c>
      <c r="D37" s="410" t="s">
        <v>1560</v>
      </c>
      <c r="E37" s="410" t="s">
        <v>21</v>
      </c>
      <c r="F37" s="410" t="s">
        <v>1561</v>
      </c>
      <c r="G37" s="410" t="s">
        <v>1560</v>
      </c>
      <c r="H37" s="410" t="s">
        <v>1562</v>
      </c>
      <c r="I37" s="410" t="s">
        <v>100</v>
      </c>
      <c r="J37" s="410" t="s">
        <v>100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 spans="1:30" ht="25.5" customHeight="1">
      <c r="A38" s="410">
        <v>36</v>
      </c>
      <c r="B38" s="410">
        <v>202541013376</v>
      </c>
      <c r="C38" s="410" t="s">
        <v>1563</v>
      </c>
      <c r="D38" s="410" t="s">
        <v>1514</v>
      </c>
      <c r="E38" s="410" t="s">
        <v>17</v>
      </c>
      <c r="F38" s="410" t="s">
        <v>1564</v>
      </c>
      <c r="G38" s="410" t="s">
        <v>1514</v>
      </c>
      <c r="H38" s="410">
        <v>45705</v>
      </c>
      <c r="I38" s="410" t="s">
        <v>100</v>
      </c>
      <c r="J38" s="410" t="s">
        <v>1565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 spans="1:30" ht="25.5" customHeight="1">
      <c r="A39" s="410">
        <v>37</v>
      </c>
      <c r="B39" s="410">
        <v>202541006247</v>
      </c>
      <c r="C39" s="410" t="s">
        <v>1458</v>
      </c>
      <c r="D39" s="410" t="s">
        <v>1566</v>
      </c>
      <c r="E39" s="410" t="s">
        <v>15</v>
      </c>
      <c r="F39" s="410" t="s">
        <v>1567</v>
      </c>
      <c r="G39" s="410" t="s">
        <v>1566</v>
      </c>
      <c r="H39" s="410" t="s">
        <v>1568</v>
      </c>
      <c r="I39" s="410" t="s">
        <v>100</v>
      </c>
      <c r="J39" s="410"/>
      <c r="K39" s="58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ht="25.5" customHeight="1">
      <c r="A40" s="410">
        <v>38</v>
      </c>
      <c r="B40" s="410">
        <v>202541008661</v>
      </c>
      <c r="C40" s="410" t="s">
        <v>1458</v>
      </c>
      <c r="D40" s="410" t="s">
        <v>1229</v>
      </c>
      <c r="E40" s="410" t="s">
        <v>15</v>
      </c>
      <c r="F40" s="410" t="s">
        <v>1569</v>
      </c>
      <c r="G40" s="410" t="s">
        <v>1570</v>
      </c>
      <c r="H40" s="410">
        <v>45718</v>
      </c>
      <c r="I40" s="410" t="s">
        <v>100</v>
      </c>
      <c r="J40" s="410"/>
      <c r="K40" s="58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25.5" customHeight="1">
      <c r="A41" s="410">
        <v>39</v>
      </c>
      <c r="B41" s="410">
        <v>202541004273</v>
      </c>
      <c r="C41" s="410" t="s">
        <v>1458</v>
      </c>
      <c r="D41" s="410" t="s">
        <v>1571</v>
      </c>
      <c r="E41" s="410" t="s">
        <v>15</v>
      </c>
      <c r="F41" s="410" t="s">
        <v>1572</v>
      </c>
      <c r="G41" s="410" t="s">
        <v>1571</v>
      </c>
      <c r="H41" s="410" t="s">
        <v>1573</v>
      </c>
      <c r="I41" s="410" t="s">
        <v>100</v>
      </c>
      <c r="J41" s="410"/>
      <c r="K41" s="58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25.5" customHeight="1">
      <c r="A42" s="410">
        <v>40</v>
      </c>
      <c r="B42" s="410">
        <v>202531001922</v>
      </c>
      <c r="C42" s="410" t="s">
        <v>1458</v>
      </c>
      <c r="D42" s="410" t="s">
        <v>149</v>
      </c>
      <c r="E42" s="410" t="s">
        <v>15</v>
      </c>
      <c r="F42" s="410" t="s">
        <v>1574</v>
      </c>
      <c r="G42" s="410" t="s">
        <v>149</v>
      </c>
      <c r="H42" s="410" t="s">
        <v>1575</v>
      </c>
      <c r="I42" s="410" t="s">
        <v>100</v>
      </c>
      <c r="J42" s="410" t="s">
        <v>100</v>
      </c>
      <c r="K42" s="58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ht="25.5" customHeight="1">
      <c r="A43" s="410">
        <v>41</v>
      </c>
      <c r="B43" s="410">
        <v>202541010266</v>
      </c>
      <c r="C43" s="410" t="s">
        <v>1458</v>
      </c>
      <c r="D43" s="410" t="s">
        <v>1576</v>
      </c>
      <c r="E43" s="410" t="s">
        <v>16</v>
      </c>
      <c r="F43" s="410" t="s">
        <v>1577</v>
      </c>
      <c r="G43" s="410" t="s">
        <v>1576</v>
      </c>
      <c r="H43" s="410">
        <v>45840</v>
      </c>
      <c r="I43" s="410" t="s">
        <v>100</v>
      </c>
      <c r="J43" s="410" t="s">
        <v>100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 spans="1:30" ht="25.5" customHeight="1">
      <c r="A44" s="410">
        <v>42</v>
      </c>
      <c r="B44" s="410">
        <v>202541012529</v>
      </c>
      <c r="C44" s="410" t="s">
        <v>1458</v>
      </c>
      <c r="D44" s="410" t="s">
        <v>1004</v>
      </c>
      <c r="E44" s="410" t="s">
        <v>16</v>
      </c>
      <c r="F44" s="410" t="s">
        <v>1578</v>
      </c>
      <c r="G44" s="410" t="s">
        <v>1004</v>
      </c>
      <c r="H44" s="410" t="s">
        <v>1579</v>
      </c>
      <c r="I44" s="410" t="s">
        <v>100</v>
      </c>
      <c r="J44" s="410" t="s">
        <v>100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 spans="1:30" ht="25.5" customHeight="1">
      <c r="A45" s="410">
        <v>43</v>
      </c>
      <c r="B45" s="410" t="s">
        <v>1580</v>
      </c>
      <c r="C45" s="410" t="s">
        <v>1458</v>
      </c>
      <c r="D45" s="410" t="s">
        <v>560</v>
      </c>
      <c r="E45" s="410" t="s">
        <v>15</v>
      </c>
      <c r="F45" s="410" t="s">
        <v>1581</v>
      </c>
      <c r="G45" s="410" t="s">
        <v>1582</v>
      </c>
      <c r="H45" s="410" t="s">
        <v>1462</v>
      </c>
      <c r="I45" s="410">
        <v>45392</v>
      </c>
      <c r="J45" s="410" t="s">
        <v>100</v>
      </c>
      <c r="K45" s="7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ht="25.5" customHeight="1">
      <c r="A46" s="410">
        <v>44</v>
      </c>
      <c r="B46" s="410">
        <v>202441104722</v>
      </c>
      <c r="C46" s="410" t="s">
        <v>1458</v>
      </c>
      <c r="D46" s="410" t="s">
        <v>1583</v>
      </c>
      <c r="E46" s="410" t="s">
        <v>17</v>
      </c>
      <c r="F46" s="410" t="s">
        <v>1584</v>
      </c>
      <c r="G46" s="410" t="s">
        <v>1585</v>
      </c>
      <c r="H46" s="410" t="s">
        <v>1586</v>
      </c>
      <c r="I46" s="410" t="s">
        <v>100</v>
      </c>
      <c r="J46" s="410" t="s">
        <v>1555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 spans="1:30" ht="25.5" customHeight="1">
      <c r="A47" s="410">
        <v>45</v>
      </c>
      <c r="B47" s="410">
        <v>202541022950</v>
      </c>
      <c r="C47" s="410" t="s">
        <v>1458</v>
      </c>
      <c r="D47" s="410" t="s">
        <v>1587</v>
      </c>
      <c r="E47" s="410" t="s">
        <v>17</v>
      </c>
      <c r="F47" s="410" t="s">
        <v>1588</v>
      </c>
      <c r="G47" s="410" t="s">
        <v>190</v>
      </c>
      <c r="H47" s="410" t="s">
        <v>1589</v>
      </c>
      <c r="I47" s="410" t="s">
        <v>1590</v>
      </c>
      <c r="J47" s="410" t="s">
        <v>1591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 spans="1:30" ht="25.5" customHeight="1">
      <c r="A48" s="410">
        <v>46</v>
      </c>
      <c r="B48" s="410">
        <v>202541018546</v>
      </c>
      <c r="C48" s="410" t="s">
        <v>1458</v>
      </c>
      <c r="D48" s="410" t="s">
        <v>852</v>
      </c>
      <c r="E48" s="410" t="s">
        <v>16</v>
      </c>
      <c r="F48" s="410" t="s">
        <v>1592</v>
      </c>
      <c r="G48" s="410" t="s">
        <v>852</v>
      </c>
      <c r="H48" s="410">
        <v>45719</v>
      </c>
      <c r="I48" s="410" t="s">
        <v>100</v>
      </c>
      <c r="J48" s="410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 spans="1:30" ht="57.75" customHeight="1">
      <c r="A49" s="410">
        <v>47</v>
      </c>
      <c r="B49" s="410" t="s">
        <v>1593</v>
      </c>
      <c r="C49" s="410" t="s">
        <v>1458</v>
      </c>
      <c r="D49" s="410" t="s">
        <v>1594</v>
      </c>
      <c r="E49" s="410" t="s">
        <v>24</v>
      </c>
      <c r="F49" s="410" t="s">
        <v>1595</v>
      </c>
      <c r="G49" s="410" t="s">
        <v>1596</v>
      </c>
      <c r="H49" s="410" t="s">
        <v>1589</v>
      </c>
      <c r="I49" s="410" t="s">
        <v>100</v>
      </c>
      <c r="J49" s="410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 spans="1:30" ht="25.5" customHeight="1">
      <c r="A50" s="410">
        <v>48</v>
      </c>
      <c r="B50" s="410">
        <v>202541019603</v>
      </c>
      <c r="C50" s="410" t="s">
        <v>1458</v>
      </c>
      <c r="D50" s="410" t="s">
        <v>1597</v>
      </c>
      <c r="E50" s="410" t="s">
        <v>15</v>
      </c>
      <c r="F50" s="410" t="s">
        <v>1598</v>
      </c>
      <c r="G50" s="410" t="s">
        <v>1599</v>
      </c>
      <c r="H50" s="410">
        <v>45780</v>
      </c>
      <c r="I50" s="410" t="s">
        <v>47</v>
      </c>
      <c r="J50" s="410" t="s">
        <v>100</v>
      </c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</row>
    <row r="51" spans="1:30" ht="25.5" customHeight="1">
      <c r="A51" s="410">
        <v>49</v>
      </c>
      <c r="B51" s="410">
        <v>202541019094</v>
      </c>
      <c r="C51" s="410" t="s">
        <v>1510</v>
      </c>
      <c r="D51" s="410" t="s">
        <v>1233</v>
      </c>
      <c r="E51" s="410" t="s">
        <v>15</v>
      </c>
      <c r="F51" s="410" t="s">
        <v>1600</v>
      </c>
      <c r="G51" s="410" t="s">
        <v>1601</v>
      </c>
      <c r="H51" s="410">
        <v>45750</v>
      </c>
      <c r="I51" s="410" t="s">
        <v>47</v>
      </c>
      <c r="J51" s="410" t="s">
        <v>100</v>
      </c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 spans="1:30" ht="25.5" customHeight="1">
      <c r="A52" s="410">
        <v>50</v>
      </c>
      <c r="B52" s="410">
        <v>202541009095</v>
      </c>
      <c r="C52" s="410" t="s">
        <v>1510</v>
      </c>
      <c r="D52" s="410" t="s">
        <v>185</v>
      </c>
      <c r="E52" s="410" t="s">
        <v>17</v>
      </c>
      <c r="F52" s="410" t="s">
        <v>1602</v>
      </c>
      <c r="G52" s="410" t="s">
        <v>185</v>
      </c>
      <c r="H52" s="410">
        <v>45749</v>
      </c>
      <c r="I52" s="410" t="s">
        <v>100</v>
      </c>
      <c r="J52" s="410" t="s">
        <v>1603</v>
      </c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 spans="1:30" ht="25.5" customHeight="1">
      <c r="A53" s="410">
        <v>51</v>
      </c>
      <c r="B53" s="410">
        <v>202411062261</v>
      </c>
      <c r="C53" s="410" t="s">
        <v>194</v>
      </c>
      <c r="D53" s="410" t="s">
        <v>1604</v>
      </c>
      <c r="E53" s="410" t="s">
        <v>17</v>
      </c>
      <c r="F53" s="410" t="s">
        <v>1605</v>
      </c>
      <c r="G53" s="410" t="s">
        <v>1604</v>
      </c>
      <c r="H53" s="410" t="s">
        <v>1606</v>
      </c>
      <c r="I53" s="410" t="s">
        <v>1607</v>
      </c>
      <c r="J53" s="410" t="s">
        <v>1608</v>
      </c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 spans="1:30" ht="37.5" customHeight="1">
      <c r="A54" s="410">
        <v>52</v>
      </c>
      <c r="B54" s="410">
        <v>202541033658</v>
      </c>
      <c r="C54" s="410" t="s">
        <v>1458</v>
      </c>
      <c r="D54" s="410" t="s">
        <v>1609</v>
      </c>
      <c r="E54" s="410" t="s">
        <v>17</v>
      </c>
      <c r="F54" s="410" t="s">
        <v>1610</v>
      </c>
      <c r="G54" s="410" t="s">
        <v>1609</v>
      </c>
      <c r="H54" s="410">
        <v>45842</v>
      </c>
      <c r="I54" s="410" t="s">
        <v>100</v>
      </c>
      <c r="J54" s="410" t="s">
        <v>1611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 spans="1:30" ht="25.5" customHeight="1">
      <c r="A55" s="410">
        <v>53</v>
      </c>
      <c r="B55" s="410">
        <v>202541020683</v>
      </c>
      <c r="C55" s="410" t="s">
        <v>1458</v>
      </c>
      <c r="D55" s="410" t="s">
        <v>797</v>
      </c>
      <c r="E55" s="410" t="s">
        <v>18</v>
      </c>
      <c r="F55" s="410" t="s">
        <v>1612</v>
      </c>
      <c r="G55" s="410" t="s">
        <v>797</v>
      </c>
      <c r="H55" s="410">
        <v>45723</v>
      </c>
      <c r="I55" s="410" t="s">
        <v>100</v>
      </c>
      <c r="J55" s="410" t="s">
        <v>1613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ht="25.5" customHeight="1">
      <c r="A56" s="410">
        <v>54</v>
      </c>
      <c r="B56" s="410">
        <v>202541022963</v>
      </c>
      <c r="C56" s="410" t="s">
        <v>1458</v>
      </c>
      <c r="D56" s="410" t="s">
        <v>217</v>
      </c>
      <c r="E56" s="410" t="s">
        <v>18</v>
      </c>
      <c r="F56" s="410" t="s">
        <v>1614</v>
      </c>
      <c r="G56" s="410" t="s">
        <v>217</v>
      </c>
      <c r="H56" s="410" t="s">
        <v>1615</v>
      </c>
      <c r="I56" s="410" t="s">
        <v>100</v>
      </c>
      <c r="J56" s="410" t="s">
        <v>1616</v>
      </c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 spans="1:30" ht="25.5" customHeight="1">
      <c r="A57" s="410">
        <v>55</v>
      </c>
      <c r="B57" s="410">
        <v>202541032505</v>
      </c>
      <c r="C57" s="410" t="s">
        <v>1458</v>
      </c>
      <c r="D57" s="410" t="s">
        <v>357</v>
      </c>
      <c r="E57" s="410" t="s">
        <v>16</v>
      </c>
      <c r="F57" s="410" t="s">
        <v>1617</v>
      </c>
      <c r="G57" s="410" t="s">
        <v>357</v>
      </c>
      <c r="H57" s="410">
        <v>45692</v>
      </c>
      <c r="I57" s="410" t="s">
        <v>100</v>
      </c>
      <c r="J57" s="410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 spans="1:30" ht="25.5" customHeight="1">
      <c r="A58" s="410">
        <v>56</v>
      </c>
      <c r="B58" s="410">
        <v>202541023596</v>
      </c>
      <c r="C58" s="410" t="s">
        <v>1469</v>
      </c>
      <c r="D58" s="410" t="s">
        <v>251</v>
      </c>
      <c r="E58" s="410" t="s">
        <v>21</v>
      </c>
      <c r="F58" s="410" t="s">
        <v>1618</v>
      </c>
      <c r="G58" s="410" t="s">
        <v>251</v>
      </c>
      <c r="H58" s="410" t="s">
        <v>1619</v>
      </c>
      <c r="I58" s="410" t="s">
        <v>1590</v>
      </c>
      <c r="J58" s="410" t="s">
        <v>1620</v>
      </c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 spans="1:30" ht="25.5" customHeight="1">
      <c r="A59" s="410">
        <v>57</v>
      </c>
      <c r="B59" s="410">
        <v>202541022951</v>
      </c>
      <c r="C59" s="410" t="s">
        <v>1469</v>
      </c>
      <c r="D59" s="410" t="s">
        <v>1621</v>
      </c>
      <c r="E59" s="410" t="s">
        <v>22</v>
      </c>
      <c r="F59" s="410" t="s">
        <v>1622</v>
      </c>
      <c r="G59" s="410" t="s">
        <v>1623</v>
      </c>
      <c r="H59" s="410" t="s">
        <v>1615</v>
      </c>
      <c r="I59" s="410" t="s">
        <v>1624</v>
      </c>
      <c r="J59" s="410" t="s">
        <v>1625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 ht="31.5" customHeight="1">
      <c r="A60" s="410">
        <v>58</v>
      </c>
      <c r="B60" s="410">
        <v>202441103553</v>
      </c>
      <c r="C60" s="410" t="s">
        <v>1458</v>
      </c>
      <c r="D60" s="410" t="s">
        <v>1626</v>
      </c>
      <c r="E60" s="410" t="s">
        <v>22</v>
      </c>
      <c r="F60" s="410" t="s">
        <v>1627</v>
      </c>
      <c r="G60" s="410" t="s">
        <v>1626</v>
      </c>
      <c r="H60" s="410" t="s">
        <v>1516</v>
      </c>
      <c r="I60" s="410"/>
      <c r="J60" s="410" t="s">
        <v>1628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ht="25.5" customHeight="1">
      <c r="A61" s="410">
        <v>59</v>
      </c>
      <c r="B61" s="410">
        <v>202541023297</v>
      </c>
      <c r="C61" s="410" t="s">
        <v>1458</v>
      </c>
      <c r="D61" s="410" t="s">
        <v>1629</v>
      </c>
      <c r="E61" s="410" t="s">
        <v>22</v>
      </c>
      <c r="F61" s="410" t="s">
        <v>1630</v>
      </c>
      <c r="G61" s="410" t="s">
        <v>1626</v>
      </c>
      <c r="H61" s="410" t="s">
        <v>1631</v>
      </c>
      <c r="I61" s="410"/>
      <c r="J61" s="410" t="s">
        <v>1632</v>
      </c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 ht="31.5" customHeight="1">
      <c r="A62" s="410">
        <v>60</v>
      </c>
      <c r="B62" s="410">
        <v>202541060927</v>
      </c>
      <c r="C62" s="410" t="s">
        <v>1458</v>
      </c>
      <c r="D62" s="410" t="s">
        <v>238</v>
      </c>
      <c r="E62" s="410" t="s">
        <v>22</v>
      </c>
      <c r="F62" s="410" t="s">
        <v>1633</v>
      </c>
      <c r="G62" s="410" t="s">
        <v>1634</v>
      </c>
      <c r="H62" s="410" t="s">
        <v>1635</v>
      </c>
      <c r="I62" s="410"/>
      <c r="J62" s="410" t="s">
        <v>1636</v>
      </c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 ht="44.25" customHeight="1">
      <c r="A63" s="410">
        <v>61</v>
      </c>
      <c r="B63" s="410">
        <v>202541057957</v>
      </c>
      <c r="C63" s="410" t="s">
        <v>1458</v>
      </c>
      <c r="D63" s="410" t="s">
        <v>1637</v>
      </c>
      <c r="E63" s="410" t="s">
        <v>22</v>
      </c>
      <c r="F63" s="410" t="s">
        <v>1638</v>
      </c>
      <c r="G63" s="410" t="s">
        <v>1637</v>
      </c>
      <c r="H63" s="410" t="s">
        <v>1639</v>
      </c>
      <c r="I63" s="410"/>
      <c r="J63" s="410" t="s">
        <v>1640</v>
      </c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ht="44.25" customHeight="1">
      <c r="A64" s="410">
        <v>62</v>
      </c>
      <c r="B64" s="410">
        <v>202541062108</v>
      </c>
      <c r="C64" s="410" t="s">
        <v>1458</v>
      </c>
      <c r="D64" s="410" t="s">
        <v>1641</v>
      </c>
      <c r="E64" s="410" t="s">
        <v>22</v>
      </c>
      <c r="F64" s="410" t="s">
        <v>1642</v>
      </c>
      <c r="G64" s="410" t="s">
        <v>1641</v>
      </c>
      <c r="H64" s="410">
        <v>45838</v>
      </c>
      <c r="I64" s="410"/>
      <c r="J64" s="410" t="s">
        <v>1643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ht="44.25" customHeight="1">
      <c r="A65" s="410">
        <v>63</v>
      </c>
      <c r="B65" s="410">
        <v>202541062205</v>
      </c>
      <c r="C65" s="410" t="s">
        <v>1458</v>
      </c>
      <c r="D65" s="410" t="s">
        <v>1644</v>
      </c>
      <c r="E65" s="410" t="s">
        <v>22</v>
      </c>
      <c r="F65" s="410" t="s">
        <v>1645</v>
      </c>
      <c r="G65" s="410" t="s">
        <v>1644</v>
      </c>
      <c r="H65" s="410">
        <v>45838</v>
      </c>
      <c r="I65" s="410"/>
      <c r="J65" s="410" t="s">
        <v>1646</v>
      </c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 ht="44.25" customHeight="1">
      <c r="A66" s="410">
        <v>64</v>
      </c>
      <c r="B66" s="410" t="s">
        <v>1647</v>
      </c>
      <c r="C66" s="410" t="s">
        <v>194</v>
      </c>
      <c r="D66" s="410" t="s">
        <v>1648</v>
      </c>
      <c r="E66" s="410" t="s">
        <v>22</v>
      </c>
      <c r="F66" s="410" t="s">
        <v>1649</v>
      </c>
      <c r="G66" s="410" t="s">
        <v>1650</v>
      </c>
      <c r="H66" s="410">
        <v>45475</v>
      </c>
      <c r="I66" s="410">
        <v>45478</v>
      </c>
      <c r="J66" s="410" t="s">
        <v>1651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44.25" customHeight="1">
      <c r="A67" s="410">
        <v>65</v>
      </c>
      <c r="B67" s="410">
        <v>6410165</v>
      </c>
      <c r="C67" s="410" t="s">
        <v>194</v>
      </c>
      <c r="D67" s="410" t="s">
        <v>1652</v>
      </c>
      <c r="E67" s="410" t="s">
        <v>22</v>
      </c>
      <c r="F67" s="410" t="s">
        <v>1653</v>
      </c>
      <c r="G67" s="410" t="s">
        <v>1654</v>
      </c>
      <c r="H67" s="410">
        <v>45636</v>
      </c>
      <c r="I67" s="410">
        <v>45646</v>
      </c>
      <c r="J67" s="410" t="s">
        <v>1655</v>
      </c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 ht="25.5" customHeight="1">
      <c r="A68" s="410">
        <v>66</v>
      </c>
      <c r="B68" s="410" t="s">
        <v>1656</v>
      </c>
      <c r="C68" s="410" t="s">
        <v>1458</v>
      </c>
      <c r="D68" s="410" t="s">
        <v>1657</v>
      </c>
      <c r="E68" s="410" t="s">
        <v>23</v>
      </c>
      <c r="F68" s="410" t="s">
        <v>1658</v>
      </c>
      <c r="G68" s="410" t="s">
        <v>1659</v>
      </c>
      <c r="H68" s="410" t="s">
        <v>1660</v>
      </c>
      <c r="I68" s="410"/>
      <c r="J68" s="410" t="s">
        <v>1661</v>
      </c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 ht="25.5" customHeight="1">
      <c r="A69" s="410">
        <v>67</v>
      </c>
      <c r="B69" s="410" t="s">
        <v>1662</v>
      </c>
      <c r="C69" s="410" t="s">
        <v>1458</v>
      </c>
      <c r="D69" s="410" t="s">
        <v>1663</v>
      </c>
      <c r="E69" s="410" t="s">
        <v>23</v>
      </c>
      <c r="F69" s="410" t="s">
        <v>1664</v>
      </c>
      <c r="G69" s="410" t="s">
        <v>1663</v>
      </c>
      <c r="H69" s="410">
        <v>45843</v>
      </c>
      <c r="I69" s="410"/>
      <c r="J69" s="410" t="s">
        <v>1665</v>
      </c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 ht="25.5" customHeight="1">
      <c r="A70" s="410">
        <v>68</v>
      </c>
      <c r="B70" s="410">
        <v>202541036282</v>
      </c>
      <c r="C70" s="410" t="s">
        <v>1458</v>
      </c>
      <c r="D70" s="410" t="s">
        <v>666</v>
      </c>
      <c r="E70" s="410" t="s">
        <v>17</v>
      </c>
      <c r="F70" s="410" t="s">
        <v>1666</v>
      </c>
      <c r="G70" s="410" t="s">
        <v>1667</v>
      </c>
      <c r="H70" s="410" t="s">
        <v>1668</v>
      </c>
      <c r="I70" s="410"/>
      <c r="J70" s="410" t="s">
        <v>1669</v>
      </c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 ht="25.5" customHeight="1">
      <c r="A71" s="410">
        <v>69</v>
      </c>
      <c r="B71" s="410">
        <v>202541042469</v>
      </c>
      <c r="C71" s="410" t="s">
        <v>1458</v>
      </c>
      <c r="D71" s="410" t="s">
        <v>1670</v>
      </c>
      <c r="E71" s="410" t="s">
        <v>24</v>
      </c>
      <c r="F71" s="410" t="s">
        <v>1671</v>
      </c>
      <c r="G71" s="410" t="s">
        <v>1670</v>
      </c>
      <c r="H71" s="410">
        <v>45662</v>
      </c>
      <c r="I71" s="410"/>
      <c r="J71" s="410" t="s">
        <v>1672</v>
      </c>
      <c r="K71" s="84"/>
      <c r="L71" s="84" t="s">
        <v>1673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 ht="25.5" customHeight="1">
      <c r="A72" s="410">
        <v>70</v>
      </c>
      <c r="B72" s="410">
        <v>202541042431</v>
      </c>
      <c r="C72" s="410" t="s">
        <v>1458</v>
      </c>
      <c r="D72" s="410" t="s">
        <v>1670</v>
      </c>
      <c r="E72" s="410" t="s">
        <v>24</v>
      </c>
      <c r="F72" s="410" t="s">
        <v>1674</v>
      </c>
      <c r="G72" s="410" t="s">
        <v>1670</v>
      </c>
      <c r="H72" s="410">
        <v>45662</v>
      </c>
      <c r="I72" s="410"/>
      <c r="J72" s="410" t="s">
        <v>1675</v>
      </c>
      <c r="K72" s="86"/>
      <c r="L72" s="86" t="s">
        <v>1676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 ht="25.5" customHeight="1">
      <c r="A73" s="410">
        <v>71</v>
      </c>
      <c r="B73" s="410">
        <v>202541045476</v>
      </c>
      <c r="C73" s="410" t="s">
        <v>1458</v>
      </c>
      <c r="D73" s="410" t="s">
        <v>1677</v>
      </c>
      <c r="E73" s="410" t="s">
        <v>24</v>
      </c>
      <c r="F73" s="410" t="s">
        <v>1678</v>
      </c>
      <c r="G73" s="410" t="s">
        <v>1677</v>
      </c>
      <c r="H73" s="410">
        <v>45996</v>
      </c>
      <c r="I73" s="410"/>
      <c r="J73" s="410" t="s">
        <v>1679</v>
      </c>
      <c r="K73" s="87"/>
      <c r="L73" s="86" t="s">
        <v>1673</v>
      </c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 ht="25.5" customHeight="1">
      <c r="A74" s="410">
        <v>72</v>
      </c>
      <c r="B74" s="410">
        <v>202541046177</v>
      </c>
      <c r="C74" s="410" t="s">
        <v>1458</v>
      </c>
      <c r="D74" s="410" t="s">
        <v>1677</v>
      </c>
      <c r="E74" s="410" t="s">
        <v>24</v>
      </c>
      <c r="F74" s="410" t="s">
        <v>1680</v>
      </c>
      <c r="G74" s="410" t="s">
        <v>1677</v>
      </c>
      <c r="H74" s="410" t="s">
        <v>1681</v>
      </c>
      <c r="I74" s="410"/>
      <c r="J74" s="410" t="s">
        <v>1682</v>
      </c>
      <c r="K74" s="88"/>
      <c r="L74" s="89" t="s">
        <v>1676</v>
      </c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 ht="25.5" customHeight="1">
      <c r="A75" s="410">
        <v>73</v>
      </c>
      <c r="B75" s="410">
        <v>202541037267</v>
      </c>
      <c r="C75" s="410" t="s">
        <v>1458</v>
      </c>
      <c r="D75" s="410" t="s">
        <v>248</v>
      </c>
      <c r="E75" s="410" t="s">
        <v>16</v>
      </c>
      <c r="F75" s="410" t="s">
        <v>1683</v>
      </c>
      <c r="G75" s="410" t="s">
        <v>248</v>
      </c>
      <c r="H75" s="410" t="s">
        <v>1684</v>
      </c>
      <c r="I75" s="410"/>
      <c r="J75" s="410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 ht="13.2">
      <c r="A76" s="410">
        <v>74</v>
      </c>
      <c r="B76" s="410">
        <v>202541038571</v>
      </c>
      <c r="C76" s="410" t="s">
        <v>1458</v>
      </c>
      <c r="D76" s="410" t="s">
        <v>1685</v>
      </c>
      <c r="E76" s="410" t="s">
        <v>16</v>
      </c>
      <c r="F76" s="410" t="s">
        <v>1686</v>
      </c>
      <c r="G76" s="410" t="s">
        <v>1685</v>
      </c>
      <c r="H76" s="410" t="s">
        <v>1687</v>
      </c>
      <c r="I76" s="410"/>
      <c r="J76" s="410"/>
    </row>
    <row r="77" spans="1:30" ht="13.2">
      <c r="A77" s="410">
        <v>75</v>
      </c>
      <c r="B77" s="410">
        <v>202541040928</v>
      </c>
      <c r="C77" s="410" t="s">
        <v>1458</v>
      </c>
      <c r="D77" s="410" t="s">
        <v>251</v>
      </c>
      <c r="E77" s="410" t="s">
        <v>21</v>
      </c>
      <c r="F77" s="410" t="s">
        <v>1688</v>
      </c>
      <c r="G77" s="410" t="s">
        <v>251</v>
      </c>
      <c r="H77" s="410" t="s">
        <v>1689</v>
      </c>
      <c r="I77" s="410"/>
      <c r="J77" s="41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5.5" customHeight="1">
      <c r="A78" s="410">
        <v>76</v>
      </c>
      <c r="B78" s="410">
        <v>202541026824</v>
      </c>
      <c r="C78" s="410" t="s">
        <v>1458</v>
      </c>
      <c r="D78" s="410" t="s">
        <v>1690</v>
      </c>
      <c r="E78" s="410" t="s">
        <v>25</v>
      </c>
      <c r="F78" s="410" t="s">
        <v>1691</v>
      </c>
      <c r="G78" s="410" t="s">
        <v>1692</v>
      </c>
      <c r="H78" s="410" t="s">
        <v>1693</v>
      </c>
      <c r="I78" s="410">
        <v>45965</v>
      </c>
      <c r="J78" s="410" t="s">
        <v>1694</v>
      </c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 spans="1:30" ht="25.5" customHeight="1">
      <c r="A79" s="410">
        <v>77</v>
      </c>
      <c r="B79" s="410">
        <v>202541047953</v>
      </c>
      <c r="C79" s="410" t="s">
        <v>1458</v>
      </c>
      <c r="D79" s="410" t="s">
        <v>1695</v>
      </c>
      <c r="E79" s="410" t="s">
        <v>17</v>
      </c>
      <c r="F79" s="410" t="s">
        <v>1696</v>
      </c>
      <c r="G79" s="410" t="s">
        <v>1695</v>
      </c>
      <c r="H79" s="410" t="s">
        <v>1697</v>
      </c>
      <c r="I79" s="410"/>
      <c r="J79" s="410" t="s">
        <v>1698</v>
      </c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 spans="1:30" ht="61.5" customHeight="1">
      <c r="A80" s="410">
        <v>78</v>
      </c>
      <c r="B80" s="410">
        <v>202541056546</v>
      </c>
      <c r="C80" s="410" t="s">
        <v>1458</v>
      </c>
      <c r="D80" s="410" t="s">
        <v>190</v>
      </c>
      <c r="E80" s="410" t="s">
        <v>17</v>
      </c>
      <c r="F80" s="410" t="s">
        <v>1699</v>
      </c>
      <c r="G80" s="410" t="s">
        <v>1700</v>
      </c>
      <c r="H80" s="410">
        <v>45997</v>
      </c>
      <c r="I80" s="410"/>
      <c r="J80" s="410" t="s">
        <v>1701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</row>
    <row r="81" spans="1:30" ht="47.25" customHeight="1">
      <c r="A81" s="410">
        <v>79</v>
      </c>
      <c r="B81" s="410">
        <v>202541051098</v>
      </c>
      <c r="C81" s="410" t="s">
        <v>1458</v>
      </c>
      <c r="D81" s="410" t="s">
        <v>750</v>
      </c>
      <c r="E81" s="410" t="s">
        <v>17</v>
      </c>
      <c r="F81" s="410" t="s">
        <v>1702</v>
      </c>
      <c r="G81" s="410" t="s">
        <v>750</v>
      </c>
      <c r="H81" s="410" t="s">
        <v>1703</v>
      </c>
      <c r="I81" s="410"/>
      <c r="J81" s="410" t="s">
        <v>1704</v>
      </c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</row>
    <row r="82" spans="1:30" ht="25.5" customHeight="1">
      <c r="A82" s="410">
        <v>80</v>
      </c>
      <c r="B82" s="410">
        <v>202541051102</v>
      </c>
      <c r="C82" s="410" t="s">
        <v>1458</v>
      </c>
      <c r="D82" s="410" t="s">
        <v>1705</v>
      </c>
      <c r="E82" s="410" t="s">
        <v>17</v>
      </c>
      <c r="F82" s="410" t="s">
        <v>1706</v>
      </c>
      <c r="G82" s="410" t="s">
        <v>1705</v>
      </c>
      <c r="H82" s="410" t="s">
        <v>1703</v>
      </c>
      <c r="I82" s="410"/>
      <c r="J82" s="410" t="s">
        <v>1707</v>
      </c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</row>
    <row r="83" spans="1:30" ht="46.5" customHeight="1">
      <c r="A83" s="410">
        <v>81</v>
      </c>
      <c r="B83" s="410" t="s">
        <v>1708</v>
      </c>
      <c r="C83" s="410" t="s">
        <v>1458</v>
      </c>
      <c r="D83" s="410" t="s">
        <v>1709</v>
      </c>
      <c r="E83" s="410" t="s">
        <v>17</v>
      </c>
      <c r="F83" s="410" t="s">
        <v>1710</v>
      </c>
      <c r="G83" s="410" t="s">
        <v>1711</v>
      </c>
      <c r="H83" s="410">
        <v>45749</v>
      </c>
      <c r="I83" s="410"/>
      <c r="J83" s="410" t="s">
        <v>1712</v>
      </c>
      <c r="K83" s="72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</row>
    <row r="84" spans="1:30" ht="25.5" customHeight="1">
      <c r="A84" s="410">
        <v>82</v>
      </c>
      <c r="B84" s="410">
        <v>202541015778</v>
      </c>
      <c r="C84" s="410" t="s">
        <v>1458</v>
      </c>
      <c r="D84" s="410" t="s">
        <v>1713</v>
      </c>
      <c r="E84" s="410" t="s">
        <v>16</v>
      </c>
      <c r="F84" s="410" t="s">
        <v>1714</v>
      </c>
      <c r="G84" s="410" t="s">
        <v>1713</v>
      </c>
      <c r="H84" s="410" t="s">
        <v>1715</v>
      </c>
      <c r="I84" s="410"/>
      <c r="J84" s="410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</row>
    <row r="85" spans="1:30" ht="25.5" customHeight="1">
      <c r="A85" s="410">
        <v>83</v>
      </c>
      <c r="B85" s="410">
        <v>202541056491</v>
      </c>
      <c r="C85" s="410" t="s">
        <v>1458</v>
      </c>
      <c r="D85" s="410" t="s">
        <v>730</v>
      </c>
      <c r="E85" s="410" t="s">
        <v>16</v>
      </c>
      <c r="F85" s="410" t="s">
        <v>1716</v>
      </c>
      <c r="G85" s="410" t="s">
        <v>730</v>
      </c>
      <c r="H85" s="410" t="s">
        <v>1717</v>
      </c>
      <c r="I85" s="410"/>
      <c r="J85" s="410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</row>
    <row r="86" spans="1:30" ht="25.5" customHeight="1">
      <c r="A86" s="410">
        <v>84</v>
      </c>
      <c r="B86" s="410">
        <v>202541014598</v>
      </c>
      <c r="C86" s="410" t="s">
        <v>1458</v>
      </c>
      <c r="D86" s="410" t="s">
        <v>392</v>
      </c>
      <c r="E86" s="410" t="s">
        <v>17</v>
      </c>
      <c r="F86" s="410" t="s">
        <v>1718</v>
      </c>
      <c r="G86" s="410" t="s">
        <v>1719</v>
      </c>
      <c r="H86" s="410" t="s">
        <v>1720</v>
      </c>
      <c r="I86" s="410" t="s">
        <v>100</v>
      </c>
      <c r="J86" s="410" t="s">
        <v>1721</v>
      </c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 ht="25.5" customHeight="1">
      <c r="A87" s="410">
        <v>85</v>
      </c>
      <c r="B87" s="410">
        <v>202541057312</v>
      </c>
      <c r="C87" s="410" t="s">
        <v>1458</v>
      </c>
      <c r="D87" s="410" t="s">
        <v>262</v>
      </c>
      <c r="E87" s="410" t="s">
        <v>21</v>
      </c>
      <c r="F87" s="410" t="s">
        <v>1722</v>
      </c>
      <c r="G87" s="410" t="s">
        <v>262</v>
      </c>
      <c r="H87" s="410" t="s">
        <v>1723</v>
      </c>
      <c r="I87" s="410"/>
      <c r="J87" s="410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</row>
    <row r="88" spans="1:30" ht="25.5" customHeight="1">
      <c r="A88" s="410">
        <v>86</v>
      </c>
      <c r="B88" s="410">
        <v>202541057440</v>
      </c>
      <c r="C88" s="410" t="s">
        <v>1458</v>
      </c>
      <c r="D88" s="410" t="s">
        <v>696</v>
      </c>
      <c r="E88" s="410" t="s">
        <v>15</v>
      </c>
      <c r="F88" s="410" t="s">
        <v>1724</v>
      </c>
      <c r="G88" s="410" t="s">
        <v>696</v>
      </c>
      <c r="H88" s="410" t="s">
        <v>1725</v>
      </c>
      <c r="I88" s="410" t="s">
        <v>47</v>
      </c>
      <c r="J88" s="410" t="s">
        <v>47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</row>
    <row r="89" spans="1:30" ht="25.5" customHeight="1">
      <c r="A89" s="410">
        <v>87</v>
      </c>
      <c r="B89" s="410">
        <v>202541057899</v>
      </c>
      <c r="C89" s="410" t="s">
        <v>1458</v>
      </c>
      <c r="D89" s="410" t="s">
        <v>1726</v>
      </c>
      <c r="E89" s="410" t="s">
        <v>17</v>
      </c>
      <c r="F89" s="410" t="s">
        <v>1727</v>
      </c>
      <c r="G89" s="410" t="s">
        <v>1726</v>
      </c>
      <c r="H89" s="410" t="s">
        <v>1728</v>
      </c>
      <c r="I89" s="410" t="s">
        <v>47</v>
      </c>
      <c r="J89" s="410" t="s">
        <v>1729</v>
      </c>
      <c r="K89" s="37" t="s">
        <v>1730</v>
      </c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</row>
    <row r="90" spans="1:30" ht="25.5" customHeight="1">
      <c r="A90" s="410">
        <v>88</v>
      </c>
      <c r="B90" s="410">
        <v>202441080459</v>
      </c>
      <c r="C90" s="410" t="s">
        <v>194</v>
      </c>
      <c r="D90" s="410" t="s">
        <v>1731</v>
      </c>
      <c r="E90" s="410" t="s">
        <v>17</v>
      </c>
      <c r="F90" s="410" t="s">
        <v>1732</v>
      </c>
      <c r="G90" s="410" t="s">
        <v>1731</v>
      </c>
      <c r="H90" s="410" t="s">
        <v>1733</v>
      </c>
      <c r="I90" s="410" t="s">
        <v>1734</v>
      </c>
      <c r="J90" s="410" t="s">
        <v>1735</v>
      </c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</row>
    <row r="91" spans="1:30" ht="25.5" customHeight="1">
      <c r="A91" s="410">
        <v>89</v>
      </c>
      <c r="B91" s="410">
        <v>202541023759</v>
      </c>
      <c r="C91" s="410" t="s">
        <v>194</v>
      </c>
      <c r="D91" s="410" t="s">
        <v>1736</v>
      </c>
      <c r="E91" s="410" t="s">
        <v>17</v>
      </c>
      <c r="F91" s="410" t="s">
        <v>1737</v>
      </c>
      <c r="G91" s="410" t="s">
        <v>1736</v>
      </c>
      <c r="H91" s="410" t="s">
        <v>1619</v>
      </c>
      <c r="I91" s="410" t="s">
        <v>1590</v>
      </c>
      <c r="J91" s="410" t="s">
        <v>1738</v>
      </c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</row>
    <row r="92" spans="1:30" ht="25.5" customHeight="1">
      <c r="A92" s="410">
        <v>90</v>
      </c>
      <c r="B92" s="410">
        <v>202541034645</v>
      </c>
      <c r="C92" s="410" t="s">
        <v>194</v>
      </c>
      <c r="D92" s="410" t="s">
        <v>1736</v>
      </c>
      <c r="E92" s="410" t="s">
        <v>17</v>
      </c>
      <c r="F92" s="410" t="s">
        <v>1739</v>
      </c>
      <c r="G92" s="410" t="s">
        <v>1736</v>
      </c>
      <c r="H92" s="410">
        <v>45904</v>
      </c>
      <c r="I92" s="410" t="s">
        <v>47</v>
      </c>
      <c r="J92" s="410" t="s">
        <v>1740</v>
      </c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</row>
    <row r="93" spans="1:30" ht="25.5" customHeight="1">
      <c r="A93" s="410">
        <v>91</v>
      </c>
      <c r="B93" s="410">
        <v>202541040688</v>
      </c>
      <c r="C93" s="410" t="s">
        <v>1458</v>
      </c>
      <c r="D93" s="410" t="s">
        <v>1741</v>
      </c>
      <c r="E93" s="410" t="s">
        <v>17</v>
      </c>
      <c r="F93" s="410" t="s">
        <v>1742</v>
      </c>
      <c r="G93" s="410" t="s">
        <v>1741</v>
      </c>
      <c r="H93" s="410" t="s">
        <v>1743</v>
      </c>
      <c r="I93" s="410" t="s">
        <v>47</v>
      </c>
      <c r="J93" s="410" t="s">
        <v>1744</v>
      </c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</row>
    <row r="94" spans="1:30" ht="25.5" customHeight="1">
      <c r="A94" s="410">
        <v>92</v>
      </c>
      <c r="B94" s="410">
        <v>202541062118</v>
      </c>
      <c r="C94" s="410" t="s">
        <v>1458</v>
      </c>
      <c r="D94" s="410" t="s">
        <v>967</v>
      </c>
      <c r="E94" s="410" t="s">
        <v>18</v>
      </c>
      <c r="F94" s="410" t="s">
        <v>1745</v>
      </c>
      <c r="G94" s="410" t="s">
        <v>967</v>
      </c>
      <c r="H94" s="410" t="s">
        <v>1746</v>
      </c>
      <c r="I94" s="410"/>
      <c r="J94" s="410" t="s">
        <v>1747</v>
      </c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 spans="1:30" ht="25.5" customHeight="1">
      <c r="A95" s="410">
        <v>93</v>
      </c>
      <c r="B95" s="410">
        <v>202541061368</v>
      </c>
      <c r="C95" s="410" t="s">
        <v>1458</v>
      </c>
      <c r="D95" s="410" t="s">
        <v>1748</v>
      </c>
      <c r="E95" s="410" t="s">
        <v>17</v>
      </c>
      <c r="F95" s="410" t="s">
        <v>1749</v>
      </c>
      <c r="G95" s="410" t="s">
        <v>1748</v>
      </c>
      <c r="H95" s="410" t="s">
        <v>1750</v>
      </c>
      <c r="I95" s="410" t="s">
        <v>47</v>
      </c>
      <c r="J95" s="410" t="s">
        <v>1555</v>
      </c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</row>
    <row r="96" spans="1:30" ht="25.5" customHeight="1">
      <c r="A96" s="410">
        <v>94</v>
      </c>
      <c r="B96" s="410">
        <v>202541060043</v>
      </c>
      <c r="C96" s="410" t="s">
        <v>1458</v>
      </c>
      <c r="D96" s="410" t="s">
        <v>644</v>
      </c>
      <c r="E96" s="410" t="s">
        <v>16</v>
      </c>
      <c r="F96" s="410" t="s">
        <v>1751</v>
      </c>
      <c r="G96" s="410" t="s">
        <v>644</v>
      </c>
      <c r="H96" s="410" t="s">
        <v>1752</v>
      </c>
      <c r="I96" s="410" t="s">
        <v>100</v>
      </c>
      <c r="J96" s="410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 spans="1:30" ht="25.5" customHeight="1">
      <c r="A97" s="410">
        <v>95</v>
      </c>
      <c r="B97" s="410">
        <v>202541059740</v>
      </c>
      <c r="C97" s="410" t="s">
        <v>1458</v>
      </c>
      <c r="D97" s="410" t="s">
        <v>1014</v>
      </c>
      <c r="E97" s="410" t="s">
        <v>16</v>
      </c>
      <c r="F97" s="410" t="s">
        <v>1753</v>
      </c>
      <c r="G97" s="410" t="s">
        <v>1014</v>
      </c>
      <c r="H97" s="410" t="s">
        <v>1754</v>
      </c>
      <c r="I97" s="410" t="s">
        <v>100</v>
      </c>
      <c r="J97" s="410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 spans="1:30" ht="25.5" customHeight="1">
      <c r="A98" s="410">
        <v>96</v>
      </c>
      <c r="B98" s="410">
        <v>202541059226</v>
      </c>
      <c r="C98" s="410" t="s">
        <v>1458</v>
      </c>
      <c r="D98" s="410" t="s">
        <v>848</v>
      </c>
      <c r="E98" s="410" t="s">
        <v>16</v>
      </c>
      <c r="F98" s="410" t="s">
        <v>1755</v>
      </c>
      <c r="G98" s="410" t="s">
        <v>848</v>
      </c>
      <c r="H98" s="410" t="s">
        <v>1756</v>
      </c>
      <c r="I98" s="410" t="s">
        <v>100</v>
      </c>
      <c r="J98" s="410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 spans="1:30" ht="25.5" customHeight="1">
      <c r="A99" s="410">
        <v>97</v>
      </c>
      <c r="B99" s="410">
        <v>202541059754</v>
      </c>
      <c r="C99" s="410" t="s">
        <v>1458</v>
      </c>
      <c r="D99" s="410" t="s">
        <v>354</v>
      </c>
      <c r="E99" s="410" t="s">
        <v>16</v>
      </c>
      <c r="F99" s="410" t="s">
        <v>1757</v>
      </c>
      <c r="G99" s="410" t="s">
        <v>354</v>
      </c>
      <c r="H99" s="410" t="s">
        <v>1754</v>
      </c>
      <c r="I99" s="410" t="s">
        <v>100</v>
      </c>
      <c r="J99" s="410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 spans="1:30" ht="25.5" customHeight="1">
      <c r="A100" s="410">
        <v>98</v>
      </c>
      <c r="B100" s="410">
        <v>202541059234</v>
      </c>
      <c r="C100" s="410" t="s">
        <v>1458</v>
      </c>
      <c r="D100" s="410" t="s">
        <v>1018</v>
      </c>
      <c r="E100" s="410" t="s">
        <v>16</v>
      </c>
      <c r="F100" s="410" t="s">
        <v>1758</v>
      </c>
      <c r="G100" s="410" t="s">
        <v>1018</v>
      </c>
      <c r="H100" s="410" t="s">
        <v>1756</v>
      </c>
      <c r="I100" s="410" t="s">
        <v>100</v>
      </c>
      <c r="J100" s="410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 spans="1:30" ht="25.5" customHeight="1">
      <c r="A101" s="410">
        <v>99</v>
      </c>
      <c r="B101" s="410">
        <v>202541060080</v>
      </c>
      <c r="C101" s="410" t="s">
        <v>1458</v>
      </c>
      <c r="D101" s="410" t="s">
        <v>1030</v>
      </c>
      <c r="E101" s="410" t="s">
        <v>16</v>
      </c>
      <c r="F101" s="410" t="s">
        <v>1759</v>
      </c>
      <c r="G101" s="410" t="s">
        <v>1030</v>
      </c>
      <c r="H101" s="410" t="s">
        <v>1760</v>
      </c>
      <c r="I101" s="410" t="s">
        <v>100</v>
      </c>
      <c r="J101" s="410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 spans="1:30" ht="25.5" customHeight="1">
      <c r="A102" s="410">
        <v>100</v>
      </c>
      <c r="B102" s="410">
        <v>202541061759</v>
      </c>
      <c r="C102" s="410" t="s">
        <v>1458</v>
      </c>
      <c r="D102" s="410" t="s">
        <v>1761</v>
      </c>
      <c r="E102" s="410" t="s">
        <v>17</v>
      </c>
      <c r="F102" s="410" t="s">
        <v>1762</v>
      </c>
      <c r="G102" s="410" t="s">
        <v>1761</v>
      </c>
      <c r="H102" s="410" t="s">
        <v>1763</v>
      </c>
      <c r="I102" s="410" t="s">
        <v>100</v>
      </c>
      <c r="J102" s="410" t="s">
        <v>1555</v>
      </c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 spans="1:30" ht="25.5" customHeight="1">
      <c r="A103" s="410">
        <v>101</v>
      </c>
      <c r="B103" s="410">
        <v>202541062021</v>
      </c>
      <c r="C103" s="410" t="s">
        <v>1458</v>
      </c>
      <c r="D103" s="410" t="s">
        <v>1764</v>
      </c>
      <c r="E103" s="410" t="s">
        <v>17</v>
      </c>
      <c r="F103" s="410" t="s">
        <v>1765</v>
      </c>
      <c r="G103" s="410" t="s">
        <v>1764</v>
      </c>
      <c r="H103" s="410" t="s">
        <v>1746</v>
      </c>
      <c r="I103" s="410" t="s">
        <v>100</v>
      </c>
      <c r="J103" s="410" t="s">
        <v>1766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 spans="1:30" ht="25.5" customHeight="1">
      <c r="A104" s="410">
        <v>102</v>
      </c>
      <c r="B104" s="410">
        <v>202541005681</v>
      </c>
      <c r="C104" s="410" t="s">
        <v>1458</v>
      </c>
      <c r="D104" s="410" t="s">
        <v>1767</v>
      </c>
      <c r="E104" s="410" t="s">
        <v>17</v>
      </c>
      <c r="F104" s="410" t="s">
        <v>1768</v>
      </c>
      <c r="G104" s="410" t="s">
        <v>1767</v>
      </c>
      <c r="H104" s="410" t="s">
        <v>1769</v>
      </c>
      <c r="I104" s="410" t="s">
        <v>100</v>
      </c>
      <c r="J104" s="410" t="s">
        <v>1770</v>
      </c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 spans="1:30" ht="25.5" customHeight="1">
      <c r="A105" s="410">
        <v>103</v>
      </c>
      <c r="B105" s="410">
        <v>202541056192</v>
      </c>
      <c r="C105" s="410" t="s">
        <v>1458</v>
      </c>
      <c r="D105" s="410" t="s">
        <v>1771</v>
      </c>
      <c r="E105" s="410" t="s">
        <v>17</v>
      </c>
      <c r="F105" s="410" t="s">
        <v>1772</v>
      </c>
      <c r="G105" s="410" t="s">
        <v>1771</v>
      </c>
      <c r="H105" s="410">
        <v>45967</v>
      </c>
      <c r="I105" s="410" t="s">
        <v>100</v>
      </c>
      <c r="J105" s="410" t="s">
        <v>1773</v>
      </c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 spans="1:30" ht="25.5" customHeight="1">
      <c r="A106" s="410">
        <v>104</v>
      </c>
      <c r="B106" s="410">
        <v>202541060951</v>
      </c>
      <c r="C106" s="410" t="s">
        <v>194</v>
      </c>
      <c r="D106" s="410" t="s">
        <v>1774</v>
      </c>
      <c r="E106" s="410" t="s">
        <v>162</v>
      </c>
      <c r="F106" s="410" t="s">
        <v>1775</v>
      </c>
      <c r="G106" s="410" t="s">
        <v>1774</v>
      </c>
      <c r="H106" s="410" t="s">
        <v>1635</v>
      </c>
      <c r="I106" s="410" t="s">
        <v>100</v>
      </c>
      <c r="J106" s="410" t="s">
        <v>1776</v>
      </c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 spans="1:30" ht="25.5" customHeight="1">
      <c r="A107" s="410">
        <v>105</v>
      </c>
      <c r="B107" s="410">
        <v>202541061057</v>
      </c>
      <c r="C107" s="410" t="s">
        <v>319</v>
      </c>
      <c r="D107" s="410" t="s">
        <v>1777</v>
      </c>
      <c r="E107" s="410" t="s">
        <v>596</v>
      </c>
      <c r="F107" s="410" t="s">
        <v>1778</v>
      </c>
      <c r="G107" s="410"/>
      <c r="H107" s="410" t="s">
        <v>1635</v>
      </c>
      <c r="I107" s="410" t="s">
        <v>100</v>
      </c>
      <c r="J107" s="410" t="s">
        <v>1779</v>
      </c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 spans="1:30" ht="25.5" customHeight="1">
      <c r="A108" s="410">
        <v>106</v>
      </c>
      <c r="B108" s="410">
        <v>202541061785</v>
      </c>
      <c r="C108" s="410" t="s">
        <v>1458</v>
      </c>
      <c r="D108" s="410" t="s">
        <v>1777</v>
      </c>
      <c r="E108" s="410" t="s">
        <v>596</v>
      </c>
      <c r="F108" s="410" t="s">
        <v>1780</v>
      </c>
      <c r="G108" s="410"/>
      <c r="H108" s="410" t="s">
        <v>1750</v>
      </c>
      <c r="I108" s="410" t="s">
        <v>100</v>
      </c>
      <c r="J108" s="410" t="s">
        <v>1781</v>
      </c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 spans="1:30" ht="25.5" customHeight="1">
      <c r="A109" s="410">
        <v>107</v>
      </c>
      <c r="B109" s="410">
        <v>202541061811</v>
      </c>
      <c r="C109" s="410" t="s">
        <v>1458</v>
      </c>
      <c r="D109" s="410" t="s">
        <v>1782</v>
      </c>
      <c r="E109" s="410" t="s">
        <v>596</v>
      </c>
      <c r="F109" s="410" t="s">
        <v>1783</v>
      </c>
      <c r="G109" s="410" t="s">
        <v>1782</v>
      </c>
      <c r="H109" s="410" t="s">
        <v>1784</v>
      </c>
      <c r="I109" s="410" t="s">
        <v>100</v>
      </c>
      <c r="J109" s="410" t="s">
        <v>1785</v>
      </c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 spans="1:30" ht="25.5" customHeight="1">
      <c r="A110" s="410">
        <v>108</v>
      </c>
      <c r="B110" s="410">
        <v>202541061791</v>
      </c>
      <c r="C110" s="410" t="s">
        <v>194</v>
      </c>
      <c r="D110" s="410" t="s">
        <v>1782</v>
      </c>
      <c r="E110" s="410" t="s">
        <v>596</v>
      </c>
      <c r="F110" s="410" t="s">
        <v>1786</v>
      </c>
      <c r="G110" s="410" t="s">
        <v>1782</v>
      </c>
      <c r="H110" s="410" t="s">
        <v>1784</v>
      </c>
      <c r="I110" s="410" t="s">
        <v>100</v>
      </c>
      <c r="J110" s="410" t="s">
        <v>1787</v>
      </c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 spans="1:30" ht="25.5" customHeight="1">
      <c r="A111" s="410">
        <v>109</v>
      </c>
      <c r="B111" s="410">
        <v>202441051961</v>
      </c>
      <c r="C111" s="410" t="s">
        <v>1510</v>
      </c>
      <c r="D111" s="410" t="s">
        <v>1511</v>
      </c>
      <c r="E111" s="410" t="s">
        <v>596</v>
      </c>
      <c r="F111" s="410" t="s">
        <v>1512</v>
      </c>
      <c r="G111" s="410" t="s">
        <v>1511</v>
      </c>
      <c r="H111" s="410">
        <v>45511</v>
      </c>
      <c r="I111" s="410" t="s">
        <v>1083</v>
      </c>
      <c r="J111" s="410" t="s">
        <v>1788</v>
      </c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 spans="1:30" ht="25.5" customHeight="1">
      <c r="A112" s="410">
        <v>110</v>
      </c>
      <c r="B112" s="410">
        <v>202541061852</v>
      </c>
      <c r="C112" s="410" t="s">
        <v>1510</v>
      </c>
      <c r="D112" s="410" t="s">
        <v>1080</v>
      </c>
      <c r="E112" s="410" t="s">
        <v>596</v>
      </c>
      <c r="F112" s="410" t="s">
        <v>1789</v>
      </c>
      <c r="G112" s="410" t="s">
        <v>1080</v>
      </c>
      <c r="H112" s="410">
        <v>45836</v>
      </c>
      <c r="I112" s="410" t="s">
        <v>100</v>
      </c>
      <c r="J112" s="410" t="s">
        <v>1790</v>
      </c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 spans="1:30" ht="25.5" customHeight="1">
      <c r="A113" s="410">
        <v>111</v>
      </c>
      <c r="B113" s="410">
        <v>202541060705</v>
      </c>
      <c r="C113" s="410" t="s">
        <v>1510</v>
      </c>
      <c r="D113" s="410" t="s">
        <v>1791</v>
      </c>
      <c r="E113" s="410" t="s">
        <v>17</v>
      </c>
      <c r="F113" s="410" t="s">
        <v>1792</v>
      </c>
      <c r="G113" s="410" t="s">
        <v>1791</v>
      </c>
      <c r="H113" s="410" t="s">
        <v>1793</v>
      </c>
      <c r="I113" s="410" t="s">
        <v>100</v>
      </c>
      <c r="J113" s="410" t="s">
        <v>1794</v>
      </c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 spans="1:30" ht="25.5" customHeight="1">
      <c r="A114" s="410">
        <v>112</v>
      </c>
      <c r="B114" s="410">
        <v>202541060967</v>
      </c>
      <c r="C114" s="410" t="s">
        <v>1510</v>
      </c>
      <c r="D114" s="410" t="s">
        <v>1791</v>
      </c>
      <c r="E114" s="410" t="s">
        <v>17</v>
      </c>
      <c r="F114" s="410" t="s">
        <v>1795</v>
      </c>
      <c r="G114" s="410" t="s">
        <v>1791</v>
      </c>
      <c r="H114" s="410" t="s">
        <v>1796</v>
      </c>
      <c r="I114" s="410" t="s">
        <v>100</v>
      </c>
      <c r="J114" s="410" t="s">
        <v>1797</v>
      </c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 spans="1:30" ht="25.5" customHeight="1">
      <c r="A115" s="410">
        <v>113</v>
      </c>
      <c r="B115" s="410">
        <v>202541029746</v>
      </c>
      <c r="C115" s="410" t="s">
        <v>1458</v>
      </c>
      <c r="D115" s="410" t="s">
        <v>1798</v>
      </c>
      <c r="E115" s="410" t="s">
        <v>24</v>
      </c>
      <c r="F115" s="410" t="s">
        <v>1799</v>
      </c>
      <c r="G115" s="410" t="s">
        <v>1800</v>
      </c>
      <c r="H115" s="410" t="s">
        <v>1624</v>
      </c>
      <c r="I115" s="410"/>
      <c r="J115" s="410" t="s">
        <v>1801</v>
      </c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 spans="1:30" ht="25.5" customHeight="1">
      <c r="A116" s="410">
        <v>114</v>
      </c>
      <c r="B116" s="410">
        <v>202541056454</v>
      </c>
      <c r="C116" s="410" t="s">
        <v>1458</v>
      </c>
      <c r="D116" s="410" t="s">
        <v>1802</v>
      </c>
      <c r="E116" s="410" t="s">
        <v>24</v>
      </c>
      <c r="F116" s="410" t="s">
        <v>1803</v>
      </c>
      <c r="G116" s="410" t="s">
        <v>1804</v>
      </c>
      <c r="H116" s="410">
        <v>45997</v>
      </c>
      <c r="I116" s="410"/>
      <c r="J116" s="410" t="s">
        <v>1805</v>
      </c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 spans="1:30" ht="25.5" customHeight="1">
      <c r="A117" s="410">
        <v>115</v>
      </c>
      <c r="B117" s="410">
        <v>202541056822</v>
      </c>
      <c r="C117" s="410" t="s">
        <v>1458</v>
      </c>
      <c r="D117" s="410" t="s">
        <v>1800</v>
      </c>
      <c r="E117" s="410" t="s">
        <v>24</v>
      </c>
      <c r="F117" s="410" t="s">
        <v>1806</v>
      </c>
      <c r="G117" s="410" t="s">
        <v>1804</v>
      </c>
      <c r="H117" s="410" t="s">
        <v>1807</v>
      </c>
      <c r="I117" s="410"/>
      <c r="J117" s="410" t="s">
        <v>1808</v>
      </c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 spans="1:30" ht="25.5" customHeight="1">
      <c r="A118" s="410">
        <v>116</v>
      </c>
      <c r="B118" s="410">
        <v>202541061437</v>
      </c>
      <c r="C118" s="410" t="s">
        <v>1458</v>
      </c>
      <c r="D118" s="410" t="s">
        <v>920</v>
      </c>
      <c r="E118" s="410" t="s">
        <v>24</v>
      </c>
      <c r="F118" s="410" t="s">
        <v>1809</v>
      </c>
      <c r="G118" s="410" t="s">
        <v>1800</v>
      </c>
      <c r="H118" s="410" t="s">
        <v>1810</v>
      </c>
      <c r="I118" s="410"/>
      <c r="J118" s="410" t="s">
        <v>1811</v>
      </c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 spans="1:30" ht="25.5" customHeight="1">
      <c r="A119" s="410">
        <v>117</v>
      </c>
      <c r="B119" s="410">
        <v>202541057305</v>
      </c>
      <c r="C119" s="410" t="s">
        <v>1458</v>
      </c>
      <c r="D119" s="410" t="s">
        <v>1812</v>
      </c>
      <c r="E119" s="410" t="s">
        <v>24</v>
      </c>
      <c r="F119" s="410" t="s">
        <v>1813</v>
      </c>
      <c r="G119" s="410" t="s">
        <v>1814</v>
      </c>
      <c r="H119" s="410" t="s">
        <v>1815</v>
      </c>
      <c r="I119" s="410"/>
      <c r="J119" s="410" t="s">
        <v>1816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spans="1:30" ht="25.5" customHeight="1">
      <c r="A120" s="410">
        <v>118</v>
      </c>
      <c r="B120" s="410">
        <v>202541057255</v>
      </c>
      <c r="C120" s="410" t="s">
        <v>1458</v>
      </c>
      <c r="D120" s="410" t="s">
        <v>1133</v>
      </c>
      <c r="E120" s="410" t="s">
        <v>24</v>
      </c>
      <c r="F120" s="410" t="s">
        <v>1817</v>
      </c>
      <c r="G120" s="410" t="s">
        <v>1818</v>
      </c>
      <c r="H120" s="410" t="s">
        <v>1815</v>
      </c>
      <c r="I120" s="410"/>
      <c r="J120" s="410" t="s">
        <v>1819</v>
      </c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spans="1:30" ht="25.5" customHeight="1">
      <c r="A121" s="410">
        <v>119</v>
      </c>
      <c r="B121" s="410">
        <v>202541051097</v>
      </c>
      <c r="C121" s="410" t="s">
        <v>1458</v>
      </c>
      <c r="D121" s="410" t="s">
        <v>1133</v>
      </c>
      <c r="E121" s="410" t="s">
        <v>24</v>
      </c>
      <c r="F121" s="410" t="s">
        <v>1820</v>
      </c>
      <c r="G121" s="410" t="s">
        <v>1821</v>
      </c>
      <c r="H121" s="410" t="s">
        <v>1703</v>
      </c>
      <c r="I121" s="410"/>
      <c r="J121" s="410" t="s">
        <v>1822</v>
      </c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spans="1:30" ht="25.5" customHeight="1">
      <c r="A122" s="410">
        <v>120</v>
      </c>
      <c r="B122" s="410">
        <v>202541061483</v>
      </c>
      <c r="C122" s="410" t="s">
        <v>1458</v>
      </c>
      <c r="D122" s="410" t="s">
        <v>1133</v>
      </c>
      <c r="E122" s="410" t="s">
        <v>24</v>
      </c>
      <c r="F122" s="410" t="s">
        <v>1823</v>
      </c>
      <c r="G122" s="410" t="s">
        <v>1824</v>
      </c>
      <c r="H122" s="410" t="s">
        <v>1825</v>
      </c>
      <c r="I122" s="410"/>
      <c r="J122" s="410" t="s">
        <v>1826</v>
      </c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spans="1:30" ht="25.5" customHeight="1">
      <c r="A123" s="410">
        <v>121</v>
      </c>
      <c r="B123" s="410">
        <v>202541060473</v>
      </c>
      <c r="C123" s="410" t="s">
        <v>1458</v>
      </c>
      <c r="D123" s="410" t="s">
        <v>1827</v>
      </c>
      <c r="E123" s="410" t="s">
        <v>24</v>
      </c>
      <c r="F123" s="410" t="s">
        <v>1828</v>
      </c>
      <c r="G123" s="410" t="s">
        <v>1829</v>
      </c>
      <c r="H123" s="410" t="s">
        <v>1830</v>
      </c>
      <c r="I123" s="410"/>
      <c r="J123" s="410" t="s">
        <v>1831</v>
      </c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spans="1:30" ht="25.5" customHeight="1">
      <c r="A124" s="410">
        <v>122</v>
      </c>
      <c r="B124" s="410">
        <v>202541060928</v>
      </c>
      <c r="C124" s="410" t="s">
        <v>1458</v>
      </c>
      <c r="D124" s="410" t="s">
        <v>1827</v>
      </c>
      <c r="E124" s="410" t="s">
        <v>24</v>
      </c>
      <c r="F124" s="410" t="s">
        <v>1832</v>
      </c>
      <c r="G124" s="410" t="s">
        <v>1829</v>
      </c>
      <c r="H124" s="410" t="s">
        <v>1830</v>
      </c>
      <c r="I124" s="410"/>
      <c r="J124" s="410" t="s">
        <v>1833</v>
      </c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spans="1:30" ht="25.5" customHeight="1">
      <c r="A125" s="410">
        <v>123</v>
      </c>
      <c r="B125" s="410">
        <v>202541059682</v>
      </c>
      <c r="C125" s="410" t="s">
        <v>1458</v>
      </c>
      <c r="D125" s="410" t="s">
        <v>1834</v>
      </c>
      <c r="E125" s="410" t="s">
        <v>24</v>
      </c>
      <c r="F125" s="410" t="s">
        <v>1835</v>
      </c>
      <c r="G125" s="410" t="s">
        <v>1836</v>
      </c>
      <c r="H125" s="410" t="s">
        <v>1810</v>
      </c>
      <c r="I125" s="410"/>
      <c r="J125" s="410" t="s">
        <v>1837</v>
      </c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spans="1:30" ht="25.5" customHeight="1">
      <c r="A126" s="410">
        <v>124</v>
      </c>
      <c r="B126" s="410">
        <v>20254045902</v>
      </c>
      <c r="C126" s="410" t="s">
        <v>1458</v>
      </c>
      <c r="D126" s="410" t="s">
        <v>1834</v>
      </c>
      <c r="E126" s="410" t="s">
        <v>24</v>
      </c>
      <c r="F126" s="410" t="s">
        <v>1838</v>
      </c>
      <c r="G126" s="410" t="s">
        <v>1839</v>
      </c>
      <c r="H126" s="410" t="s">
        <v>1810</v>
      </c>
      <c r="I126" s="410"/>
      <c r="J126" s="410" t="s">
        <v>1840</v>
      </c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spans="1:30" ht="25.5" customHeight="1">
      <c r="A127" s="410">
        <v>125</v>
      </c>
      <c r="B127" s="410">
        <v>20254045908</v>
      </c>
      <c r="C127" s="410" t="s">
        <v>1458</v>
      </c>
      <c r="D127" s="410" t="s">
        <v>1834</v>
      </c>
      <c r="E127" s="410" t="s">
        <v>24</v>
      </c>
      <c r="F127" s="410" t="s">
        <v>1841</v>
      </c>
      <c r="G127" s="410" t="s">
        <v>1842</v>
      </c>
      <c r="H127" s="410" t="s">
        <v>1810</v>
      </c>
      <c r="I127" s="410"/>
      <c r="J127" s="410" t="s">
        <v>1843</v>
      </c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spans="1:30" ht="25.5" customHeight="1">
      <c r="A128" s="410">
        <v>126</v>
      </c>
      <c r="B128" s="410">
        <v>202541059661</v>
      </c>
      <c r="C128" s="410" t="s">
        <v>1458</v>
      </c>
      <c r="D128" s="410" t="s">
        <v>1834</v>
      </c>
      <c r="E128" s="410" t="s">
        <v>24</v>
      </c>
      <c r="F128" s="410" t="s">
        <v>1844</v>
      </c>
      <c r="G128" s="410" t="s">
        <v>1845</v>
      </c>
      <c r="H128" s="410" t="s">
        <v>1810</v>
      </c>
      <c r="I128" s="410"/>
      <c r="J128" s="410" t="s">
        <v>1846</v>
      </c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 ht="25.5" customHeight="1">
      <c r="A129" s="410">
        <v>127</v>
      </c>
      <c r="B129" s="410">
        <v>202541056167</v>
      </c>
      <c r="C129" s="410" t="s">
        <v>1458</v>
      </c>
      <c r="D129" s="410" t="s">
        <v>430</v>
      </c>
      <c r="E129" s="410" t="s">
        <v>24</v>
      </c>
      <c r="F129" s="410" t="s">
        <v>1847</v>
      </c>
      <c r="G129" s="410" t="s">
        <v>1848</v>
      </c>
      <c r="H129" s="410">
        <v>45967</v>
      </c>
      <c r="I129" s="410"/>
      <c r="J129" s="410" t="s">
        <v>1849</v>
      </c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spans="1:30" ht="25.5" customHeight="1">
      <c r="A130" s="410">
        <v>128</v>
      </c>
      <c r="B130" s="410">
        <v>202541056168</v>
      </c>
      <c r="C130" s="410" t="s">
        <v>1458</v>
      </c>
      <c r="D130" s="410" t="s">
        <v>430</v>
      </c>
      <c r="E130" s="410" t="s">
        <v>24</v>
      </c>
      <c r="F130" s="410" t="s">
        <v>1850</v>
      </c>
      <c r="G130" s="410" t="s">
        <v>1848</v>
      </c>
      <c r="H130" s="410">
        <v>45967</v>
      </c>
      <c r="I130" s="410"/>
      <c r="J130" s="410" t="s">
        <v>1851</v>
      </c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spans="1:30" ht="25.5" customHeight="1">
      <c r="A131" s="410">
        <v>129</v>
      </c>
      <c r="B131" s="410">
        <v>202541062546</v>
      </c>
      <c r="C131" s="410" t="s">
        <v>1458</v>
      </c>
      <c r="D131" s="410" t="s">
        <v>1852</v>
      </c>
      <c r="E131" s="410" t="s">
        <v>16</v>
      </c>
      <c r="F131" s="410" t="s">
        <v>1853</v>
      </c>
      <c r="G131" s="410" t="s">
        <v>1852</v>
      </c>
      <c r="H131" s="410" t="s">
        <v>1854</v>
      </c>
      <c r="I131" s="410"/>
      <c r="J131" s="410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spans="1:30" ht="25.5" customHeight="1">
      <c r="A132" s="410">
        <v>130</v>
      </c>
      <c r="B132" s="410">
        <v>202541062552</v>
      </c>
      <c r="C132" s="410" t="s">
        <v>1458</v>
      </c>
      <c r="D132" s="410" t="s">
        <v>1855</v>
      </c>
      <c r="E132" s="410" t="s">
        <v>16</v>
      </c>
      <c r="F132" s="410" t="s">
        <v>1856</v>
      </c>
      <c r="G132" s="410" t="s">
        <v>1855</v>
      </c>
      <c r="H132" s="410" t="s">
        <v>1854</v>
      </c>
      <c r="I132" s="410"/>
      <c r="J132" s="410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25.5" customHeight="1">
      <c r="A133" s="410">
        <v>131</v>
      </c>
      <c r="B133" s="410">
        <v>202541062543</v>
      </c>
      <c r="C133" s="410" t="s">
        <v>1458</v>
      </c>
      <c r="D133" s="410" t="s">
        <v>1855</v>
      </c>
      <c r="E133" s="410" t="s">
        <v>16</v>
      </c>
      <c r="F133" s="410" t="s">
        <v>1857</v>
      </c>
      <c r="G133" s="410" t="s">
        <v>1855</v>
      </c>
      <c r="H133" s="410" t="s">
        <v>1854</v>
      </c>
      <c r="I133" s="410"/>
      <c r="J133" s="410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 ht="25.5" customHeight="1">
      <c r="A134" s="410">
        <v>132</v>
      </c>
      <c r="B134" s="410">
        <v>202541057440</v>
      </c>
      <c r="C134" s="410" t="s">
        <v>1458</v>
      </c>
      <c r="D134" s="410" t="s">
        <v>222</v>
      </c>
      <c r="E134" s="410" t="s">
        <v>18</v>
      </c>
      <c r="F134" s="410" t="s">
        <v>1858</v>
      </c>
      <c r="G134" s="410" t="s">
        <v>222</v>
      </c>
      <c r="H134" s="410" t="s">
        <v>1859</v>
      </c>
      <c r="I134" s="410" t="s">
        <v>100</v>
      </c>
      <c r="J134" s="410" t="s">
        <v>1860</v>
      </c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spans="1:30" ht="25.5" customHeight="1">
      <c r="A135" s="410">
        <v>133</v>
      </c>
      <c r="B135" s="410">
        <v>202541060052</v>
      </c>
      <c r="C135" s="410" t="s">
        <v>1458</v>
      </c>
      <c r="D135" s="410" t="s">
        <v>1861</v>
      </c>
      <c r="E135" s="410" t="s">
        <v>16</v>
      </c>
      <c r="F135" s="410" t="s">
        <v>1862</v>
      </c>
      <c r="G135" s="410" t="s">
        <v>1861</v>
      </c>
      <c r="H135" s="410" t="s">
        <v>1752</v>
      </c>
      <c r="I135" s="410"/>
      <c r="J135" s="410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spans="1:30" ht="25.5" customHeight="1">
      <c r="A136" s="410">
        <v>134</v>
      </c>
      <c r="B136" s="410">
        <v>202541049795</v>
      </c>
      <c r="C136" s="410" t="s">
        <v>1458</v>
      </c>
      <c r="D136" s="410" t="s">
        <v>1863</v>
      </c>
      <c r="E136" s="410" t="s">
        <v>15</v>
      </c>
      <c r="F136" s="410" t="s">
        <v>1864</v>
      </c>
      <c r="G136" s="410" t="s">
        <v>1865</v>
      </c>
      <c r="H136" s="410" t="s">
        <v>1866</v>
      </c>
      <c r="I136" s="410" t="s">
        <v>100</v>
      </c>
      <c r="J136" s="410" t="s">
        <v>100</v>
      </c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ht="25.5" customHeight="1">
      <c r="A137" s="410">
        <v>135</v>
      </c>
      <c r="B137" s="410">
        <v>202541049781</v>
      </c>
      <c r="C137" s="410" t="s">
        <v>1458</v>
      </c>
      <c r="D137" s="410" t="s">
        <v>1867</v>
      </c>
      <c r="E137" s="410" t="s">
        <v>15</v>
      </c>
      <c r="F137" s="410" t="s">
        <v>1868</v>
      </c>
      <c r="G137" s="410" t="s">
        <v>1869</v>
      </c>
      <c r="H137" s="410" t="s">
        <v>1866</v>
      </c>
      <c r="I137" s="410" t="s">
        <v>100</v>
      </c>
      <c r="J137" s="410" t="s">
        <v>100</v>
      </c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ht="25.5" customHeight="1">
      <c r="A138" s="410">
        <v>136</v>
      </c>
      <c r="B138" s="410">
        <v>202541049794</v>
      </c>
      <c r="C138" s="410" t="s">
        <v>1458</v>
      </c>
      <c r="D138" s="410" t="s">
        <v>570</v>
      </c>
      <c r="E138" s="410" t="s">
        <v>15</v>
      </c>
      <c r="F138" s="410" t="s">
        <v>1870</v>
      </c>
      <c r="G138" s="410" t="s">
        <v>1871</v>
      </c>
      <c r="H138" s="410" t="s">
        <v>1866</v>
      </c>
      <c r="I138" s="410" t="s">
        <v>100</v>
      </c>
      <c r="J138" s="410" t="s">
        <v>100</v>
      </c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ht="25.5" customHeight="1">
      <c r="A139" s="410">
        <v>137</v>
      </c>
      <c r="B139" s="410">
        <v>202541016394</v>
      </c>
      <c r="C139" s="410" t="s">
        <v>1458</v>
      </c>
      <c r="D139" s="410" t="s">
        <v>1223</v>
      </c>
      <c r="E139" s="410" t="s">
        <v>15</v>
      </c>
      <c r="F139" s="410" t="s">
        <v>1872</v>
      </c>
      <c r="G139" s="410" t="s">
        <v>1223</v>
      </c>
      <c r="H139" s="410" t="s">
        <v>1873</v>
      </c>
      <c r="I139" s="410" t="s">
        <v>100</v>
      </c>
      <c r="J139" s="410" t="s">
        <v>100</v>
      </c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ht="25.5" customHeight="1">
      <c r="A140" s="410">
        <v>138</v>
      </c>
      <c r="B140" s="410">
        <v>202541055774</v>
      </c>
      <c r="C140" s="410" t="s">
        <v>1458</v>
      </c>
      <c r="D140" s="410" t="s">
        <v>1874</v>
      </c>
      <c r="E140" s="410" t="s">
        <v>15</v>
      </c>
      <c r="F140" s="410" t="s">
        <v>1875</v>
      </c>
      <c r="G140" s="410" t="s">
        <v>1874</v>
      </c>
      <c r="H140" s="410">
        <v>45936</v>
      </c>
      <c r="I140" s="410" t="s">
        <v>100</v>
      </c>
      <c r="J140" s="410" t="s">
        <v>100</v>
      </c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ht="25.5" customHeight="1">
      <c r="A141" s="410">
        <v>139</v>
      </c>
      <c r="B141" s="410">
        <v>202541049781</v>
      </c>
      <c r="C141" s="410" t="s">
        <v>1458</v>
      </c>
      <c r="D141" s="410" t="s">
        <v>1867</v>
      </c>
      <c r="E141" s="410" t="s">
        <v>15</v>
      </c>
      <c r="F141" s="410" t="s">
        <v>1876</v>
      </c>
      <c r="G141" s="410" t="s">
        <v>1877</v>
      </c>
      <c r="H141" s="410" t="s">
        <v>1878</v>
      </c>
      <c r="I141" s="410" t="s">
        <v>100</v>
      </c>
      <c r="J141" s="410" t="s">
        <v>100</v>
      </c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ht="25.5" customHeight="1">
      <c r="A142" s="410">
        <v>140</v>
      </c>
      <c r="B142" s="410">
        <v>202541056445</v>
      </c>
      <c r="C142" s="410" t="s">
        <v>1458</v>
      </c>
      <c r="D142" s="410" t="s">
        <v>1867</v>
      </c>
      <c r="E142" s="410" t="s">
        <v>15</v>
      </c>
      <c r="F142" s="410" t="s">
        <v>1879</v>
      </c>
      <c r="G142" s="410" t="s">
        <v>1877</v>
      </c>
      <c r="H142" s="410" t="s">
        <v>1880</v>
      </c>
      <c r="I142" s="410" t="s">
        <v>100</v>
      </c>
      <c r="J142" s="410" t="s">
        <v>100</v>
      </c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ht="25.5" customHeight="1">
      <c r="A143" s="410">
        <v>141</v>
      </c>
      <c r="B143" s="410">
        <v>202541058305</v>
      </c>
      <c r="C143" s="410" t="s">
        <v>1510</v>
      </c>
      <c r="D143" s="410" t="s">
        <v>1189</v>
      </c>
      <c r="E143" s="410" t="s">
        <v>15</v>
      </c>
      <c r="F143" s="410" t="s">
        <v>1881</v>
      </c>
      <c r="G143" s="410" t="s">
        <v>1189</v>
      </c>
      <c r="H143" s="410" t="s">
        <v>1882</v>
      </c>
      <c r="I143" s="410" t="s">
        <v>100</v>
      </c>
      <c r="J143" s="410" t="s">
        <v>100</v>
      </c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ht="25.5" customHeight="1">
      <c r="A144" s="410">
        <v>142</v>
      </c>
      <c r="B144" s="410">
        <v>202541058385</v>
      </c>
      <c r="C144" s="410" t="s">
        <v>1458</v>
      </c>
      <c r="D144" s="410" t="s">
        <v>1883</v>
      </c>
      <c r="E144" s="410" t="s">
        <v>15</v>
      </c>
      <c r="F144" s="410" t="s">
        <v>1884</v>
      </c>
      <c r="G144" s="410" t="s">
        <v>767</v>
      </c>
      <c r="H144" s="410" t="s">
        <v>1885</v>
      </c>
      <c r="I144" s="410" t="s">
        <v>100</v>
      </c>
      <c r="J144" s="410" t="s">
        <v>100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ht="25.5" customHeight="1">
      <c r="A145" s="410">
        <v>143</v>
      </c>
      <c r="B145" s="410">
        <v>202541058429</v>
      </c>
      <c r="C145" s="410" t="s">
        <v>1458</v>
      </c>
      <c r="D145" s="410" t="s">
        <v>1208</v>
      </c>
      <c r="E145" s="410" t="s">
        <v>15</v>
      </c>
      <c r="F145" s="410" t="s">
        <v>1886</v>
      </c>
      <c r="G145" s="410" t="s">
        <v>1887</v>
      </c>
      <c r="H145" s="410" t="s">
        <v>1888</v>
      </c>
      <c r="I145" s="410" t="s">
        <v>100</v>
      </c>
      <c r="J145" s="410" t="s">
        <v>100</v>
      </c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ht="25.5" customHeight="1">
      <c r="A146" s="410">
        <v>144</v>
      </c>
      <c r="B146" s="410">
        <v>202531049950</v>
      </c>
      <c r="C146" s="410" t="s">
        <v>1458</v>
      </c>
      <c r="D146" s="410" t="s">
        <v>1889</v>
      </c>
      <c r="E146" s="410" t="s">
        <v>15</v>
      </c>
      <c r="F146" s="410" t="s">
        <v>1890</v>
      </c>
      <c r="G146" s="410" t="s">
        <v>1891</v>
      </c>
      <c r="H146" s="410" t="s">
        <v>1866</v>
      </c>
      <c r="I146" s="410" t="s">
        <v>100</v>
      </c>
      <c r="J146" s="410" t="s">
        <v>100</v>
      </c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ht="25.5" customHeight="1">
      <c r="A147" s="410">
        <v>145</v>
      </c>
      <c r="B147" s="410">
        <v>202541060507</v>
      </c>
      <c r="C147" s="410" t="s">
        <v>1458</v>
      </c>
      <c r="D147" s="410" t="s">
        <v>1892</v>
      </c>
      <c r="E147" s="410" t="s">
        <v>15</v>
      </c>
      <c r="F147" s="410" t="s">
        <v>1893</v>
      </c>
      <c r="G147" s="410" t="s">
        <v>1894</v>
      </c>
      <c r="H147" s="410" t="s">
        <v>1895</v>
      </c>
      <c r="I147" s="410" t="s">
        <v>100</v>
      </c>
      <c r="J147" s="410" t="s">
        <v>100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ht="25.5" customHeight="1">
      <c r="A148" s="410">
        <v>146</v>
      </c>
      <c r="B148" s="410">
        <v>202541060499</v>
      </c>
      <c r="C148" s="410" t="s">
        <v>1458</v>
      </c>
      <c r="D148" s="410" t="s">
        <v>321</v>
      </c>
      <c r="E148" s="410" t="s">
        <v>15</v>
      </c>
      <c r="F148" s="410" t="s">
        <v>1896</v>
      </c>
      <c r="G148" s="410" t="s">
        <v>1897</v>
      </c>
      <c r="H148" s="410" t="s">
        <v>1895</v>
      </c>
      <c r="I148" s="410" t="s">
        <v>100</v>
      </c>
      <c r="J148" s="410" t="s">
        <v>100</v>
      </c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ht="25.5" customHeight="1">
      <c r="A149" s="410">
        <v>147</v>
      </c>
      <c r="B149" s="410">
        <v>202541062078</v>
      </c>
      <c r="C149" s="410" t="s">
        <v>1458</v>
      </c>
      <c r="D149" s="410" t="s">
        <v>1220</v>
      </c>
      <c r="E149" s="410" t="s">
        <v>15</v>
      </c>
      <c r="F149" s="410" t="s">
        <v>1898</v>
      </c>
      <c r="G149" s="410" t="s">
        <v>1899</v>
      </c>
      <c r="H149" s="410" t="s">
        <v>1900</v>
      </c>
      <c r="I149" s="410" t="s">
        <v>100</v>
      </c>
      <c r="J149" s="410" t="s">
        <v>100</v>
      </c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ht="25.5" customHeight="1">
      <c r="A150" s="410">
        <v>148</v>
      </c>
      <c r="B150" s="410">
        <v>202541048849</v>
      </c>
      <c r="C150" s="410" t="s">
        <v>1458</v>
      </c>
      <c r="D150" s="410" t="s">
        <v>1901</v>
      </c>
      <c r="E150" s="410" t="s">
        <v>15</v>
      </c>
      <c r="F150" s="410" t="s">
        <v>1902</v>
      </c>
      <c r="G150" s="410" t="s">
        <v>1901</v>
      </c>
      <c r="H150" s="410" t="s">
        <v>1903</v>
      </c>
      <c r="I150" s="410" t="s">
        <v>100</v>
      </c>
      <c r="J150" s="410" t="s">
        <v>100</v>
      </c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ht="25.5" customHeight="1">
      <c r="A151" s="410">
        <v>149</v>
      </c>
      <c r="B151" s="410">
        <v>202541048850</v>
      </c>
      <c r="C151" s="410" t="s">
        <v>1458</v>
      </c>
      <c r="D151" s="410" t="s">
        <v>1901</v>
      </c>
      <c r="E151" s="410" t="s">
        <v>15</v>
      </c>
      <c r="F151" s="410" t="s">
        <v>1904</v>
      </c>
      <c r="G151" s="410" t="s">
        <v>1901</v>
      </c>
      <c r="H151" s="410" t="s">
        <v>1903</v>
      </c>
      <c r="I151" s="410" t="s">
        <v>100</v>
      </c>
      <c r="J151" s="410" t="s">
        <v>100</v>
      </c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ht="25.5" customHeight="1">
      <c r="A152" s="410">
        <v>150</v>
      </c>
      <c r="B152" s="410">
        <v>202441061988</v>
      </c>
      <c r="C152" s="410" t="s">
        <v>1458</v>
      </c>
      <c r="D152" s="410" t="s">
        <v>1905</v>
      </c>
      <c r="E152" s="410" t="s">
        <v>15</v>
      </c>
      <c r="F152" s="410" t="s">
        <v>1906</v>
      </c>
      <c r="G152" s="410" t="s">
        <v>1907</v>
      </c>
      <c r="H152" s="410" t="s">
        <v>1908</v>
      </c>
      <c r="I152" s="410"/>
      <c r="J152" s="410" t="s">
        <v>1909</v>
      </c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 ht="25.5" customHeight="1">
      <c r="A153" s="410">
        <v>151</v>
      </c>
      <c r="B153" s="410">
        <v>202441062164</v>
      </c>
      <c r="C153" s="410" t="s">
        <v>1458</v>
      </c>
      <c r="D153" s="410" t="s">
        <v>1910</v>
      </c>
      <c r="E153" s="410" t="s">
        <v>15</v>
      </c>
      <c r="F153" s="410" t="s">
        <v>1911</v>
      </c>
      <c r="G153" s="410" t="s">
        <v>1907</v>
      </c>
      <c r="H153" s="410" t="s">
        <v>1746</v>
      </c>
      <c r="I153" s="410"/>
      <c r="J153" s="410" t="s">
        <v>1912</v>
      </c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 ht="25.5" customHeight="1">
      <c r="A154" s="410">
        <v>152</v>
      </c>
      <c r="B154" s="410" t="s">
        <v>1913</v>
      </c>
      <c r="C154" s="410" t="s">
        <v>1458</v>
      </c>
      <c r="D154" s="410" t="s">
        <v>1914</v>
      </c>
      <c r="E154" s="410" t="s">
        <v>15</v>
      </c>
      <c r="F154" s="410" t="s">
        <v>1872</v>
      </c>
      <c r="G154" s="410" t="s">
        <v>1915</v>
      </c>
      <c r="H154" s="410" t="s">
        <v>1916</v>
      </c>
      <c r="I154" s="410" t="s">
        <v>100</v>
      </c>
      <c r="J154" s="410" t="s">
        <v>100</v>
      </c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 ht="25.5" customHeight="1">
      <c r="A155" s="410">
        <v>153</v>
      </c>
      <c r="B155" s="410">
        <v>202541060474</v>
      </c>
      <c r="C155" s="410" t="s">
        <v>1458</v>
      </c>
      <c r="D155" s="410" t="s">
        <v>1917</v>
      </c>
      <c r="E155" s="410" t="s">
        <v>15</v>
      </c>
      <c r="F155" s="410" t="s">
        <v>1918</v>
      </c>
      <c r="G155" s="410" t="s">
        <v>1919</v>
      </c>
      <c r="H155" s="410" t="s">
        <v>1920</v>
      </c>
      <c r="I155" s="410" t="s">
        <v>100</v>
      </c>
      <c r="J155" s="410" t="s">
        <v>100</v>
      </c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 ht="25.5" customHeight="1">
      <c r="A156" s="410">
        <v>154</v>
      </c>
      <c r="B156" s="410">
        <v>202541042153</v>
      </c>
      <c r="C156" s="410" t="s">
        <v>1458</v>
      </c>
      <c r="D156" s="410" t="s">
        <v>1921</v>
      </c>
      <c r="E156" s="410" t="s">
        <v>15</v>
      </c>
      <c r="F156" s="410" t="s">
        <v>1922</v>
      </c>
      <c r="G156" s="410" t="s">
        <v>1923</v>
      </c>
      <c r="H156" s="410">
        <v>45662</v>
      </c>
      <c r="I156" s="410" t="s">
        <v>100</v>
      </c>
      <c r="J156" s="410" t="s">
        <v>100</v>
      </c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 ht="25.5" customHeight="1">
      <c r="A157" s="410">
        <v>155</v>
      </c>
      <c r="B157" s="410">
        <v>202541059785</v>
      </c>
      <c r="C157" s="410" t="s">
        <v>1458</v>
      </c>
      <c r="D157" s="410" t="s">
        <v>1924</v>
      </c>
      <c r="E157" s="410" t="s">
        <v>15</v>
      </c>
      <c r="F157" s="410" t="s">
        <v>1925</v>
      </c>
      <c r="G157" s="410" t="s">
        <v>1253</v>
      </c>
      <c r="H157" s="410" t="s">
        <v>1926</v>
      </c>
      <c r="I157" s="410" t="s">
        <v>100</v>
      </c>
      <c r="J157" s="410" t="s">
        <v>100</v>
      </c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 ht="25.5" customHeight="1">
      <c r="A158" s="410">
        <v>156</v>
      </c>
      <c r="B158" s="410">
        <v>202541058449</v>
      </c>
      <c r="C158" s="410" t="s">
        <v>1458</v>
      </c>
      <c r="D158" s="410" t="s">
        <v>1927</v>
      </c>
      <c r="E158" s="410" t="s">
        <v>15</v>
      </c>
      <c r="F158" s="410" t="s">
        <v>1928</v>
      </c>
      <c r="G158" s="410" t="s">
        <v>1268</v>
      </c>
      <c r="H158" s="410" t="s">
        <v>1888</v>
      </c>
      <c r="I158" s="410" t="s">
        <v>100</v>
      </c>
      <c r="J158" s="410" t="s">
        <v>100</v>
      </c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 ht="25.5" customHeight="1">
      <c r="A159" s="410">
        <v>157</v>
      </c>
      <c r="B159" s="410">
        <v>202541060588</v>
      </c>
      <c r="C159" s="410" t="s">
        <v>1458</v>
      </c>
      <c r="D159" s="410" t="s">
        <v>1929</v>
      </c>
      <c r="E159" s="410" t="s">
        <v>15</v>
      </c>
      <c r="F159" s="410" t="s">
        <v>1930</v>
      </c>
      <c r="G159" s="410" t="s">
        <v>1268</v>
      </c>
      <c r="H159" s="410" t="s">
        <v>1931</v>
      </c>
      <c r="I159" s="410" t="s">
        <v>100</v>
      </c>
      <c r="J159" s="410" t="s">
        <v>100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:30" ht="25.5" customHeight="1">
      <c r="A160" s="410">
        <v>158</v>
      </c>
      <c r="B160" s="410">
        <v>202541057429</v>
      </c>
      <c r="C160" s="410" t="s">
        <v>1458</v>
      </c>
      <c r="D160" s="410" t="s">
        <v>1932</v>
      </c>
      <c r="E160" s="410" t="s">
        <v>15</v>
      </c>
      <c r="F160" s="410" t="s">
        <v>1933</v>
      </c>
      <c r="G160" s="410" t="s">
        <v>1934</v>
      </c>
      <c r="H160" s="410" t="s">
        <v>1725</v>
      </c>
      <c r="I160" s="410" t="s">
        <v>100</v>
      </c>
      <c r="J160" s="410" t="s">
        <v>100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:30" ht="45" customHeight="1">
      <c r="A161" s="410">
        <v>159</v>
      </c>
      <c r="B161" s="410">
        <v>202541058185</v>
      </c>
      <c r="C161" s="410" t="s">
        <v>1458</v>
      </c>
      <c r="D161" s="410" t="s">
        <v>1935</v>
      </c>
      <c r="E161" s="410" t="s">
        <v>21</v>
      </c>
      <c r="F161" s="410" t="s">
        <v>1936</v>
      </c>
      <c r="G161" s="410" t="s">
        <v>1935</v>
      </c>
      <c r="H161" s="410" t="s">
        <v>1937</v>
      </c>
      <c r="I161" s="410" t="s">
        <v>100</v>
      </c>
      <c r="J161" s="410" t="s">
        <v>100</v>
      </c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spans="1:30" ht="25.5" customHeight="1">
      <c r="A162" s="410">
        <v>160</v>
      </c>
      <c r="B162" s="410">
        <v>202541061424</v>
      </c>
      <c r="C162" s="410" t="s">
        <v>1458</v>
      </c>
      <c r="D162" s="410" t="s">
        <v>1938</v>
      </c>
      <c r="E162" s="410" t="s">
        <v>21</v>
      </c>
      <c r="F162" s="410" t="s">
        <v>1939</v>
      </c>
      <c r="G162" s="410" t="s">
        <v>1938</v>
      </c>
      <c r="H162" s="410" t="s">
        <v>1940</v>
      </c>
      <c r="I162" s="410" t="s">
        <v>100</v>
      </c>
      <c r="J162" s="410" t="s">
        <v>100</v>
      </c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spans="1:30" ht="25.5" customHeight="1">
      <c r="A163" s="410">
        <v>161</v>
      </c>
      <c r="B163" s="410">
        <v>202541059211</v>
      </c>
      <c r="C163" s="410" t="s">
        <v>1458</v>
      </c>
      <c r="D163" s="410" t="s">
        <v>1941</v>
      </c>
      <c r="E163" s="410" t="s">
        <v>21</v>
      </c>
      <c r="F163" s="410" t="s">
        <v>1942</v>
      </c>
      <c r="G163" s="410" t="s">
        <v>1941</v>
      </c>
      <c r="H163" s="410" t="s">
        <v>1943</v>
      </c>
      <c r="I163" s="410" t="s">
        <v>100</v>
      </c>
      <c r="J163" s="410" t="s">
        <v>100</v>
      </c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spans="1:30" ht="25.5" customHeight="1">
      <c r="A164" s="410">
        <v>162</v>
      </c>
      <c r="B164" s="410">
        <v>202441063996</v>
      </c>
      <c r="C164" s="410" t="s">
        <v>1474</v>
      </c>
      <c r="D164" s="410" t="s">
        <v>1309</v>
      </c>
      <c r="E164" s="410" t="s">
        <v>1293</v>
      </c>
      <c r="F164" s="410" t="s">
        <v>1944</v>
      </c>
      <c r="G164" s="410" t="s">
        <v>1309</v>
      </c>
      <c r="H164" s="410" t="s">
        <v>1945</v>
      </c>
      <c r="I164" s="410" t="s">
        <v>100</v>
      </c>
      <c r="J164" s="410" t="s">
        <v>1946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spans="1:30" ht="25.5" customHeight="1">
      <c r="A165" s="410">
        <v>163</v>
      </c>
      <c r="B165" s="410">
        <v>202441074591</v>
      </c>
      <c r="C165" s="410" t="s">
        <v>1474</v>
      </c>
      <c r="D165" s="410" t="s">
        <v>1309</v>
      </c>
      <c r="E165" s="410" t="s">
        <v>1293</v>
      </c>
      <c r="F165" s="410" t="s">
        <v>1947</v>
      </c>
      <c r="G165" s="410" t="s">
        <v>1309</v>
      </c>
      <c r="H165" s="410">
        <v>45361</v>
      </c>
      <c r="I165" s="410" t="s">
        <v>100</v>
      </c>
      <c r="J165" s="410" t="s">
        <v>1948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spans="1:30" ht="25.5" customHeight="1">
      <c r="A166" s="410">
        <v>164</v>
      </c>
      <c r="B166" s="410">
        <v>202541018563</v>
      </c>
      <c r="C166" s="410" t="s">
        <v>1458</v>
      </c>
      <c r="D166" s="410" t="s">
        <v>1949</v>
      </c>
      <c r="E166" s="410" t="s">
        <v>1950</v>
      </c>
      <c r="F166" s="410" t="s">
        <v>1951</v>
      </c>
      <c r="G166" s="410" t="s">
        <v>1949</v>
      </c>
      <c r="H166" s="410">
        <v>45719</v>
      </c>
      <c r="I166" s="410" t="s">
        <v>100</v>
      </c>
      <c r="J166" s="410" t="s">
        <v>1952</v>
      </c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spans="1:30" ht="25.5" customHeight="1">
      <c r="A167" s="410">
        <v>165</v>
      </c>
      <c r="B167" s="410">
        <v>202441084399</v>
      </c>
      <c r="C167" s="410" t="s">
        <v>1474</v>
      </c>
      <c r="D167" s="410" t="s">
        <v>1372</v>
      </c>
      <c r="E167" s="410" t="s">
        <v>20</v>
      </c>
      <c r="F167" s="410" t="s">
        <v>1953</v>
      </c>
      <c r="G167" s="410" t="s">
        <v>1372</v>
      </c>
      <c r="H167" s="410">
        <v>45423</v>
      </c>
      <c r="I167" s="410" t="s">
        <v>100</v>
      </c>
      <c r="J167" s="410" t="s">
        <v>1954</v>
      </c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spans="1:30" ht="25.5" customHeight="1">
      <c r="A168" s="410">
        <v>166</v>
      </c>
      <c r="B168" s="410">
        <v>202541044230</v>
      </c>
      <c r="C168" s="410" t="s">
        <v>1458</v>
      </c>
      <c r="D168" s="410" t="s">
        <v>1955</v>
      </c>
      <c r="E168" s="410" t="s">
        <v>20</v>
      </c>
      <c r="F168" s="410" t="s">
        <v>1956</v>
      </c>
      <c r="G168" s="410" t="s">
        <v>1955</v>
      </c>
      <c r="H168" s="410">
        <v>45843</v>
      </c>
      <c r="I168" s="410"/>
      <c r="J168" s="410" t="s">
        <v>1957</v>
      </c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spans="1:30" ht="25.5" customHeight="1">
      <c r="A169" s="410">
        <v>167</v>
      </c>
      <c r="B169" s="410">
        <v>202541058037</v>
      </c>
      <c r="C169" s="410" t="s">
        <v>1458</v>
      </c>
      <c r="D169" s="410" t="s">
        <v>1411</v>
      </c>
      <c r="E169" s="410" t="s">
        <v>20</v>
      </c>
      <c r="F169" s="410" t="s">
        <v>1958</v>
      </c>
      <c r="G169" s="410" t="s">
        <v>1959</v>
      </c>
      <c r="H169" s="410" t="s">
        <v>1960</v>
      </c>
      <c r="I169" s="410" t="s">
        <v>100</v>
      </c>
      <c r="J169" s="410" t="s">
        <v>1961</v>
      </c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spans="1:30" ht="25.5" customHeight="1">
      <c r="A170" s="410">
        <v>168</v>
      </c>
      <c r="B170" s="410">
        <v>202541060189</v>
      </c>
      <c r="C170" s="410" t="s">
        <v>1458</v>
      </c>
      <c r="D170" s="410" t="s">
        <v>1962</v>
      </c>
      <c r="E170" s="410" t="s">
        <v>1293</v>
      </c>
      <c r="F170" s="410" t="s">
        <v>1963</v>
      </c>
      <c r="G170" s="410" t="s">
        <v>1962</v>
      </c>
      <c r="H170" s="410" t="s">
        <v>1964</v>
      </c>
      <c r="I170" s="410" t="s">
        <v>100</v>
      </c>
      <c r="J170" s="410" t="s">
        <v>1965</v>
      </c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spans="1:30" ht="25.5" customHeight="1">
      <c r="A171" s="410">
        <v>169</v>
      </c>
      <c r="B171" s="410">
        <v>202541048508</v>
      </c>
      <c r="C171" s="410" t="s">
        <v>1458</v>
      </c>
      <c r="D171" s="410" t="s">
        <v>1966</v>
      </c>
      <c r="E171" s="410" t="s">
        <v>20</v>
      </c>
      <c r="F171" s="410" t="s">
        <v>1967</v>
      </c>
      <c r="G171" s="410" t="s">
        <v>1968</v>
      </c>
      <c r="H171" s="410" t="s">
        <v>1969</v>
      </c>
      <c r="I171" s="410"/>
      <c r="J171" s="410" t="s">
        <v>1970</v>
      </c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 ht="25.5" customHeight="1">
      <c r="A172" s="410">
        <v>170</v>
      </c>
      <c r="B172" s="410">
        <v>202541060187</v>
      </c>
      <c r="C172" s="410" t="s">
        <v>1458</v>
      </c>
      <c r="D172" s="410" t="s">
        <v>1366</v>
      </c>
      <c r="E172" s="410" t="s">
        <v>20</v>
      </c>
      <c r="F172" s="410" t="s">
        <v>1971</v>
      </c>
      <c r="G172" s="410" t="s">
        <v>1366</v>
      </c>
      <c r="H172" s="410" t="s">
        <v>1964</v>
      </c>
      <c r="I172" s="410" t="s">
        <v>100</v>
      </c>
      <c r="J172" s="410" t="s">
        <v>1972</v>
      </c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spans="1:30" ht="25.5" customHeight="1">
      <c r="A173" s="410">
        <v>171</v>
      </c>
      <c r="B173" s="410">
        <v>202541060603</v>
      </c>
      <c r="C173" s="410" t="s">
        <v>1458</v>
      </c>
      <c r="D173" s="410" t="s">
        <v>1973</v>
      </c>
      <c r="E173" s="410" t="s">
        <v>1293</v>
      </c>
      <c r="F173" s="410" t="s">
        <v>1974</v>
      </c>
      <c r="G173" s="410" t="s">
        <v>1973</v>
      </c>
      <c r="H173" s="410" t="s">
        <v>1975</v>
      </c>
      <c r="I173" s="410" t="s">
        <v>100</v>
      </c>
      <c r="J173" s="410" t="s">
        <v>1976</v>
      </c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 ht="25.5" customHeight="1">
      <c r="A174" s="410">
        <v>172</v>
      </c>
      <c r="B174" s="410">
        <v>202541058021</v>
      </c>
      <c r="C174" s="410" t="s">
        <v>1458</v>
      </c>
      <c r="D174" s="410" t="s">
        <v>1304</v>
      </c>
      <c r="E174" s="410" t="s">
        <v>1293</v>
      </c>
      <c r="F174" s="410" t="s">
        <v>1977</v>
      </c>
      <c r="G174" s="410" t="s">
        <v>1304</v>
      </c>
      <c r="H174" s="410" t="s">
        <v>1960</v>
      </c>
      <c r="I174" s="410" t="s">
        <v>100</v>
      </c>
      <c r="J174" s="410" t="s">
        <v>1978</v>
      </c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 ht="25.5" customHeight="1">
      <c r="A175" s="410">
        <v>173</v>
      </c>
      <c r="B175" s="410">
        <v>202541060042</v>
      </c>
      <c r="C175" s="410" t="s">
        <v>1458</v>
      </c>
      <c r="D175" s="410" t="s">
        <v>1979</v>
      </c>
      <c r="E175" s="410" t="s">
        <v>1293</v>
      </c>
      <c r="F175" s="410" t="s">
        <v>1980</v>
      </c>
      <c r="G175" s="410" t="s">
        <v>1979</v>
      </c>
      <c r="H175" s="410" t="s">
        <v>1752</v>
      </c>
      <c r="I175" s="410" t="s">
        <v>100</v>
      </c>
      <c r="J175" s="410" t="s">
        <v>1981</v>
      </c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spans="1:30" ht="25.5" customHeight="1">
      <c r="A176" s="410">
        <v>174</v>
      </c>
      <c r="B176" s="410">
        <v>202541058043</v>
      </c>
      <c r="C176" s="410" t="s">
        <v>1458</v>
      </c>
      <c r="D176" s="410" t="s">
        <v>1420</v>
      </c>
      <c r="E176" s="410" t="s">
        <v>1293</v>
      </c>
      <c r="F176" s="410" t="s">
        <v>1982</v>
      </c>
      <c r="G176" s="410" t="s">
        <v>1420</v>
      </c>
      <c r="H176" s="410" t="s">
        <v>1960</v>
      </c>
      <c r="I176" s="410" t="s">
        <v>100</v>
      </c>
      <c r="J176" s="410" t="s">
        <v>1983</v>
      </c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spans="1:30" ht="25.5" customHeight="1">
      <c r="A177" s="410">
        <v>175</v>
      </c>
      <c r="B177" s="410">
        <v>202541061390</v>
      </c>
      <c r="C177" s="410" t="s">
        <v>1458</v>
      </c>
      <c r="D177" s="410" t="s">
        <v>1984</v>
      </c>
      <c r="E177" s="410" t="s">
        <v>1293</v>
      </c>
      <c r="F177" s="410" t="s">
        <v>1985</v>
      </c>
      <c r="G177" s="410" t="s">
        <v>1984</v>
      </c>
      <c r="H177" s="410" t="s">
        <v>1750</v>
      </c>
      <c r="I177" s="410" t="s">
        <v>100</v>
      </c>
      <c r="J177" s="410" t="s">
        <v>1986</v>
      </c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 ht="25.5" customHeight="1">
      <c r="A178" s="410">
        <v>176</v>
      </c>
      <c r="B178" s="410">
        <v>202541061502</v>
      </c>
      <c r="C178" s="410" t="s">
        <v>1458</v>
      </c>
      <c r="D178" s="410" t="s">
        <v>1984</v>
      </c>
      <c r="E178" s="410" t="s">
        <v>1293</v>
      </c>
      <c r="F178" s="410" t="s">
        <v>1987</v>
      </c>
      <c r="G178" s="410" t="s">
        <v>1984</v>
      </c>
      <c r="H178" s="410" t="s">
        <v>1750</v>
      </c>
      <c r="I178" s="410" t="s">
        <v>100</v>
      </c>
      <c r="J178" s="410" t="s">
        <v>1988</v>
      </c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spans="1:30" ht="25.5" customHeight="1">
      <c r="A179" s="410">
        <v>177</v>
      </c>
      <c r="B179" s="410">
        <v>202541062096</v>
      </c>
      <c r="C179" s="410" t="s">
        <v>1474</v>
      </c>
      <c r="D179" s="410" t="s">
        <v>1989</v>
      </c>
      <c r="E179" s="410" t="s">
        <v>20</v>
      </c>
      <c r="F179" s="410" t="s">
        <v>1990</v>
      </c>
      <c r="G179" s="410" t="s">
        <v>1989</v>
      </c>
      <c r="H179" s="410" t="s">
        <v>1746</v>
      </c>
      <c r="I179" s="410" t="s">
        <v>100</v>
      </c>
      <c r="J179" s="410" t="s">
        <v>1991</v>
      </c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spans="1:30" ht="25.5" customHeight="1">
      <c r="A180" s="410">
        <v>178</v>
      </c>
      <c r="B180" s="410">
        <v>202541062522</v>
      </c>
      <c r="C180" s="410" t="s">
        <v>1474</v>
      </c>
      <c r="D180" s="410" t="s">
        <v>1992</v>
      </c>
      <c r="E180" s="410" t="s">
        <v>20</v>
      </c>
      <c r="F180" s="410" t="s">
        <v>1993</v>
      </c>
      <c r="G180" s="410" t="s">
        <v>1992</v>
      </c>
      <c r="H180" s="410">
        <v>45664</v>
      </c>
      <c r="I180" s="410" t="s">
        <v>100</v>
      </c>
      <c r="J180" s="410" t="s">
        <v>1994</v>
      </c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spans="1:30" ht="25.5" customHeight="1">
      <c r="A181" s="410">
        <v>179</v>
      </c>
      <c r="B181" s="410">
        <v>202541062521</v>
      </c>
      <c r="C181" s="410" t="s">
        <v>1474</v>
      </c>
      <c r="D181" s="410" t="s">
        <v>1992</v>
      </c>
      <c r="E181" s="410" t="s">
        <v>20</v>
      </c>
      <c r="F181" s="410" t="s">
        <v>1995</v>
      </c>
      <c r="G181" s="410" t="s">
        <v>1992</v>
      </c>
      <c r="H181" s="410">
        <v>45664</v>
      </c>
      <c r="I181" s="410" t="s">
        <v>100</v>
      </c>
      <c r="J181" s="410" t="s">
        <v>1996</v>
      </c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spans="1:30" ht="25.5" customHeight="1">
      <c r="A182" s="410">
        <v>180</v>
      </c>
      <c r="B182" s="410">
        <v>202541060047</v>
      </c>
      <c r="C182" s="410" t="s">
        <v>1458</v>
      </c>
      <c r="D182" s="410" t="s">
        <v>1979</v>
      </c>
      <c r="E182" s="410" t="s">
        <v>1293</v>
      </c>
      <c r="F182" s="410" t="s">
        <v>1997</v>
      </c>
      <c r="G182" s="410" t="s">
        <v>1979</v>
      </c>
      <c r="H182" s="410" t="s">
        <v>1752</v>
      </c>
      <c r="I182" s="410" t="s">
        <v>100</v>
      </c>
      <c r="J182" s="410" t="s">
        <v>1998</v>
      </c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 ht="25.5" customHeight="1">
      <c r="A183" s="410">
        <v>181</v>
      </c>
      <c r="B183" s="410">
        <v>202441050425</v>
      </c>
      <c r="C183" s="410" t="s">
        <v>1458</v>
      </c>
      <c r="D183" s="410" t="s">
        <v>1992</v>
      </c>
      <c r="E183" s="410" t="s">
        <v>20</v>
      </c>
      <c r="F183" s="410" t="s">
        <v>1999</v>
      </c>
      <c r="G183" s="410" t="s">
        <v>1992</v>
      </c>
      <c r="H183" s="410">
        <v>45298</v>
      </c>
      <c r="I183" s="410" t="s">
        <v>100</v>
      </c>
      <c r="J183" s="410" t="s">
        <v>2000</v>
      </c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spans="1:30" ht="25.5" customHeight="1">
      <c r="A184" s="410">
        <v>182</v>
      </c>
      <c r="B184" s="410">
        <v>202541053607</v>
      </c>
      <c r="C184" s="410" t="s">
        <v>1458</v>
      </c>
      <c r="D184" s="410" t="s">
        <v>2001</v>
      </c>
      <c r="E184" s="410" t="s">
        <v>20</v>
      </c>
      <c r="F184" s="410" t="s">
        <v>2002</v>
      </c>
      <c r="G184" s="410" t="s">
        <v>2001</v>
      </c>
      <c r="H184" s="410">
        <v>45722</v>
      </c>
      <c r="I184" s="410"/>
      <c r="J184" s="410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spans="1:30" ht="25.5" customHeight="1">
      <c r="A185" s="410">
        <v>183</v>
      </c>
      <c r="B185" s="410">
        <v>202541056121</v>
      </c>
      <c r="C185" s="410" t="s">
        <v>1458</v>
      </c>
      <c r="D185" s="410" t="s">
        <v>2003</v>
      </c>
      <c r="E185" s="410" t="s">
        <v>15</v>
      </c>
      <c r="F185" s="410" t="s">
        <v>2004</v>
      </c>
      <c r="G185" s="410" t="s">
        <v>1430</v>
      </c>
      <c r="H185" s="410">
        <v>45967</v>
      </c>
      <c r="I185" s="410" t="s">
        <v>100</v>
      </c>
      <c r="J185" s="410" t="s">
        <v>100</v>
      </c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 ht="25.5" customHeight="1">
      <c r="A186" s="410">
        <v>184</v>
      </c>
      <c r="B186" s="410" t="s">
        <v>2005</v>
      </c>
      <c r="C186" s="410" t="s">
        <v>2006</v>
      </c>
      <c r="D186" s="410" t="s">
        <v>2007</v>
      </c>
      <c r="E186" s="410" t="s">
        <v>16</v>
      </c>
      <c r="F186" s="410" t="s">
        <v>2008</v>
      </c>
      <c r="G186" s="410" t="s">
        <v>2009</v>
      </c>
      <c r="H186" s="410">
        <v>45028</v>
      </c>
      <c r="I186" s="410">
        <v>45831</v>
      </c>
      <c r="J186" s="410" t="s">
        <v>2010</v>
      </c>
      <c r="K186" s="53" t="s">
        <v>2010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spans="1:30" ht="25.5" customHeight="1">
      <c r="A187" s="32"/>
      <c r="B187" s="32"/>
      <c r="C187" s="32"/>
      <c r="D187" s="32"/>
      <c r="E187" s="32"/>
      <c r="F187" s="32"/>
      <c r="G187" s="81"/>
      <c r="H187" s="81"/>
      <c r="I187" s="81"/>
      <c r="J187" s="7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spans="1:30" ht="25.5" customHeight="1">
      <c r="A188" s="32"/>
      <c r="B188" s="32"/>
      <c r="C188" s="32"/>
      <c r="D188" s="32"/>
      <c r="E188" s="32"/>
      <c r="F188" s="32"/>
      <c r="G188" s="81"/>
      <c r="H188" s="81"/>
      <c r="I188" s="81"/>
      <c r="J188" s="7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spans="1:30" ht="25.5" customHeight="1">
      <c r="A189" s="32"/>
      <c r="B189" s="32"/>
      <c r="C189" s="32"/>
      <c r="D189" s="32"/>
      <c r="E189" s="32"/>
      <c r="F189" s="32"/>
      <c r="G189" s="81"/>
      <c r="H189" s="81"/>
      <c r="I189" s="81"/>
      <c r="J189" s="7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spans="1:30" ht="25.5" customHeight="1">
      <c r="A190" s="32"/>
      <c r="B190" s="32"/>
      <c r="C190" s="32"/>
      <c r="D190" s="32"/>
      <c r="E190" s="32"/>
      <c r="F190" s="32"/>
      <c r="G190" s="81"/>
      <c r="H190" s="81"/>
      <c r="I190" s="81"/>
      <c r="J190" s="7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spans="1:30" ht="25.5" customHeight="1">
      <c r="A191" s="32"/>
      <c r="B191" s="32"/>
      <c r="C191" s="32"/>
      <c r="D191" s="32"/>
      <c r="E191" s="32"/>
      <c r="F191" s="32"/>
      <c r="G191" s="81"/>
      <c r="H191" s="81"/>
      <c r="I191" s="81"/>
      <c r="J191" s="7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spans="1:30" ht="25.5" customHeight="1">
      <c r="A192" s="32"/>
      <c r="B192" s="32"/>
      <c r="C192" s="32"/>
      <c r="D192" s="32"/>
      <c r="E192" s="32"/>
      <c r="F192" s="32"/>
      <c r="G192" s="81"/>
      <c r="H192" s="81"/>
      <c r="I192" s="81"/>
      <c r="J192" s="7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spans="1:30" ht="25.5" customHeight="1">
      <c r="A193" s="32"/>
      <c r="B193" s="32"/>
      <c r="C193" s="32"/>
      <c r="D193" s="32"/>
      <c r="E193" s="32"/>
      <c r="F193" s="32"/>
      <c r="G193" s="81"/>
      <c r="H193" s="81"/>
      <c r="I193" s="81"/>
      <c r="J193" s="7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spans="1:30" ht="25.5" customHeight="1">
      <c r="A194" s="32"/>
      <c r="B194" s="32"/>
      <c r="C194" s="32"/>
      <c r="D194" s="32"/>
      <c r="E194" s="32"/>
      <c r="F194" s="32"/>
      <c r="G194" s="81"/>
      <c r="H194" s="81"/>
      <c r="I194" s="81"/>
      <c r="J194" s="7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spans="1:30" ht="25.5" customHeight="1">
      <c r="A195" s="32"/>
      <c r="B195" s="32"/>
      <c r="C195" s="32"/>
      <c r="D195" s="32"/>
      <c r="E195" s="32"/>
      <c r="F195" s="32"/>
      <c r="G195" s="81"/>
      <c r="H195" s="81"/>
      <c r="I195" s="81"/>
      <c r="J195" s="7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spans="1:30" ht="25.5" customHeight="1">
      <c r="A196" s="32"/>
      <c r="B196" s="32"/>
      <c r="C196" s="32"/>
      <c r="D196" s="32"/>
      <c r="E196" s="32"/>
      <c r="F196" s="32"/>
      <c r="G196" s="81"/>
      <c r="H196" s="81"/>
      <c r="I196" s="81"/>
      <c r="J196" s="7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 ht="25.5" customHeight="1">
      <c r="A197" s="32"/>
      <c r="B197" s="32"/>
      <c r="C197" s="32"/>
      <c r="D197" s="32"/>
      <c r="E197" s="32"/>
      <c r="F197" s="32"/>
      <c r="G197" s="81"/>
      <c r="H197" s="81"/>
      <c r="I197" s="81"/>
      <c r="J197" s="7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ht="25.5" customHeight="1">
      <c r="A198" s="32"/>
      <c r="B198" s="32"/>
      <c r="C198" s="32"/>
      <c r="D198" s="32"/>
      <c r="E198" s="32"/>
      <c r="F198" s="32"/>
      <c r="G198" s="81"/>
      <c r="H198" s="81"/>
      <c r="I198" s="81"/>
      <c r="J198" s="7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 ht="25.5" customHeight="1">
      <c r="A199" s="32"/>
      <c r="B199" s="32"/>
      <c r="C199" s="32"/>
      <c r="D199" s="32"/>
      <c r="E199" s="32"/>
      <c r="F199" s="32"/>
      <c r="G199" s="81"/>
      <c r="H199" s="81"/>
      <c r="I199" s="81"/>
      <c r="J199" s="7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spans="1:30" ht="25.5" customHeight="1">
      <c r="A200" s="32"/>
      <c r="B200" s="32"/>
      <c r="C200" s="32"/>
      <c r="D200" s="32"/>
      <c r="E200" s="32"/>
      <c r="F200" s="32"/>
      <c r="G200" s="81"/>
      <c r="H200" s="81"/>
      <c r="I200" s="81"/>
      <c r="J200" s="7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spans="1:30" ht="25.5" customHeight="1">
      <c r="A201" s="32"/>
      <c r="B201" s="32"/>
      <c r="C201" s="32"/>
      <c r="D201" s="32"/>
      <c r="E201" s="32"/>
      <c r="F201" s="32"/>
      <c r="G201" s="81"/>
      <c r="H201" s="81"/>
      <c r="I201" s="81"/>
      <c r="J201" s="7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spans="1:30" ht="25.5" customHeight="1">
      <c r="A202" s="32"/>
      <c r="B202" s="32"/>
      <c r="C202" s="32"/>
      <c r="D202" s="32"/>
      <c r="E202" s="32"/>
      <c r="F202" s="32"/>
      <c r="G202" s="81"/>
      <c r="H202" s="81"/>
      <c r="I202" s="81"/>
      <c r="J202" s="7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spans="1:30" ht="25.5" customHeight="1">
      <c r="A203" s="32"/>
      <c r="B203" s="32"/>
      <c r="C203" s="32"/>
      <c r="D203" s="32"/>
      <c r="E203" s="32"/>
      <c r="F203" s="32"/>
      <c r="G203" s="81"/>
      <c r="H203" s="81"/>
      <c r="I203" s="81"/>
      <c r="J203" s="7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spans="1:30" ht="25.5" customHeight="1">
      <c r="A204" s="32"/>
      <c r="B204" s="32"/>
      <c r="C204" s="32"/>
      <c r="D204" s="32"/>
      <c r="E204" s="32"/>
      <c r="F204" s="32"/>
      <c r="G204" s="81"/>
      <c r="H204" s="81"/>
      <c r="I204" s="81"/>
      <c r="J204" s="7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 ht="25.5" customHeight="1">
      <c r="A205" s="32"/>
      <c r="B205" s="32"/>
      <c r="C205" s="32"/>
      <c r="D205" s="32"/>
      <c r="E205" s="32"/>
      <c r="F205" s="32"/>
      <c r="G205" s="81"/>
      <c r="H205" s="81"/>
      <c r="I205" s="81"/>
      <c r="J205" s="7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 ht="25.5" customHeight="1">
      <c r="A206" s="32"/>
      <c r="B206" s="32"/>
      <c r="C206" s="32"/>
      <c r="D206" s="32"/>
      <c r="E206" s="32"/>
      <c r="F206" s="32"/>
      <c r="G206" s="81"/>
      <c r="H206" s="81"/>
      <c r="I206" s="81"/>
      <c r="J206" s="7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spans="1:30" ht="25.5" customHeight="1">
      <c r="A207" s="32"/>
      <c r="B207" s="32"/>
      <c r="C207" s="32"/>
      <c r="D207" s="32"/>
      <c r="E207" s="32"/>
      <c r="F207" s="32"/>
      <c r="G207" s="81"/>
      <c r="H207" s="81"/>
      <c r="I207" s="81"/>
      <c r="J207" s="7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spans="1:30" ht="25.5" customHeight="1">
      <c r="A208" s="32"/>
      <c r="B208" s="32"/>
      <c r="C208" s="32"/>
      <c r="D208" s="32"/>
      <c r="E208" s="32"/>
      <c r="F208" s="32"/>
      <c r="G208" s="81"/>
      <c r="H208" s="81"/>
      <c r="I208" s="81"/>
      <c r="J208" s="7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spans="1:30" ht="25.5" customHeight="1">
      <c r="A209" s="32"/>
      <c r="B209" s="32"/>
      <c r="C209" s="32"/>
      <c r="D209" s="32"/>
      <c r="E209" s="32"/>
      <c r="F209" s="32"/>
      <c r="G209" s="81"/>
      <c r="H209" s="81"/>
      <c r="I209" s="81"/>
      <c r="J209" s="7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spans="1:30" ht="25.5" customHeight="1">
      <c r="A210" s="32"/>
      <c r="B210" s="32"/>
      <c r="C210" s="32"/>
      <c r="D210" s="32"/>
      <c r="E210" s="32"/>
      <c r="F210" s="32"/>
      <c r="G210" s="81"/>
      <c r="H210" s="81"/>
      <c r="I210" s="81"/>
      <c r="J210" s="7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spans="1:30" ht="25.5" customHeight="1">
      <c r="A211" s="32"/>
      <c r="B211" s="32"/>
      <c r="C211" s="32"/>
      <c r="D211" s="32"/>
      <c r="E211" s="32"/>
      <c r="F211" s="32"/>
      <c r="G211" s="81"/>
      <c r="H211" s="81"/>
      <c r="I211" s="81"/>
      <c r="J211" s="7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 ht="25.5" customHeight="1">
      <c r="A212" s="32"/>
      <c r="B212" s="32"/>
      <c r="C212" s="32"/>
      <c r="D212" s="32"/>
      <c r="E212" s="32"/>
      <c r="F212" s="32"/>
      <c r="G212" s="81"/>
      <c r="H212" s="81"/>
      <c r="I212" s="81"/>
      <c r="J212" s="7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spans="1:30" ht="25.5" customHeight="1">
      <c r="A213" s="32"/>
      <c r="B213" s="32"/>
      <c r="C213" s="32"/>
      <c r="D213" s="32"/>
      <c r="E213" s="32"/>
      <c r="F213" s="32"/>
      <c r="G213" s="81"/>
      <c r="H213" s="81"/>
      <c r="I213" s="81"/>
      <c r="J213" s="7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spans="1:30" ht="25.5" customHeight="1">
      <c r="A214" s="32"/>
      <c r="B214" s="32"/>
      <c r="C214" s="32"/>
      <c r="D214" s="32"/>
      <c r="E214" s="32"/>
      <c r="F214" s="32"/>
      <c r="G214" s="81"/>
      <c r="H214" s="81"/>
      <c r="I214" s="81"/>
      <c r="J214" s="7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spans="1:30" ht="25.5" customHeight="1">
      <c r="A215" s="32"/>
      <c r="B215" s="32"/>
      <c r="C215" s="32"/>
      <c r="D215" s="32"/>
      <c r="E215" s="32"/>
      <c r="F215" s="32"/>
      <c r="G215" s="81"/>
      <c r="H215" s="81"/>
      <c r="I215" s="81"/>
      <c r="J215" s="7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spans="1:30" ht="25.5" customHeight="1">
      <c r="A216" s="32"/>
      <c r="B216" s="32"/>
      <c r="C216" s="32"/>
      <c r="D216" s="32"/>
      <c r="E216" s="32"/>
      <c r="F216" s="32"/>
      <c r="G216" s="81"/>
      <c r="H216" s="81"/>
      <c r="I216" s="81"/>
      <c r="J216" s="7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spans="1:30" ht="25.5" customHeight="1">
      <c r="A217" s="32"/>
      <c r="B217" s="32"/>
      <c r="C217" s="32"/>
      <c r="D217" s="32"/>
      <c r="E217" s="32"/>
      <c r="F217" s="32"/>
      <c r="G217" s="81"/>
      <c r="H217" s="81"/>
      <c r="I217" s="81"/>
      <c r="J217" s="7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spans="1:30" ht="25.5" customHeight="1">
      <c r="A218" s="32"/>
      <c r="B218" s="32"/>
      <c r="C218" s="32"/>
      <c r="D218" s="32"/>
      <c r="E218" s="32"/>
      <c r="F218" s="32"/>
      <c r="G218" s="81"/>
      <c r="H218" s="81"/>
      <c r="I218" s="81"/>
      <c r="J218" s="7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spans="1:30" ht="25.5" customHeight="1">
      <c r="A219" s="32"/>
      <c r="B219" s="32"/>
      <c r="C219" s="32"/>
      <c r="D219" s="32"/>
      <c r="E219" s="32"/>
      <c r="F219" s="32"/>
      <c r="G219" s="81"/>
      <c r="H219" s="81"/>
      <c r="I219" s="81"/>
      <c r="J219" s="7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 ht="25.5" customHeight="1">
      <c r="A220" s="32"/>
      <c r="B220" s="32"/>
      <c r="C220" s="32"/>
      <c r="D220" s="32"/>
      <c r="E220" s="32"/>
      <c r="F220" s="32"/>
      <c r="G220" s="81"/>
      <c r="H220" s="81"/>
      <c r="I220" s="81"/>
      <c r="J220" s="7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 ht="25.5" customHeight="1">
      <c r="A221" s="32"/>
      <c r="B221" s="32"/>
      <c r="C221" s="32"/>
      <c r="D221" s="32"/>
      <c r="E221" s="32"/>
      <c r="F221" s="32"/>
      <c r="G221" s="81"/>
      <c r="H221" s="81"/>
      <c r="I221" s="81"/>
      <c r="J221" s="7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 ht="25.5" customHeight="1">
      <c r="A222" s="32"/>
      <c r="B222" s="32"/>
      <c r="C222" s="32"/>
      <c r="D222" s="32"/>
      <c r="E222" s="32"/>
      <c r="F222" s="32"/>
      <c r="G222" s="81"/>
      <c r="H222" s="81"/>
      <c r="I222" s="81"/>
      <c r="J222" s="7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 ht="25.5" customHeight="1">
      <c r="A223" s="32"/>
      <c r="B223" s="32"/>
      <c r="C223" s="32"/>
      <c r="D223" s="32"/>
      <c r="E223" s="32"/>
      <c r="F223" s="32"/>
      <c r="G223" s="81"/>
      <c r="H223" s="81"/>
      <c r="I223" s="81"/>
      <c r="J223" s="7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 ht="25.5" customHeight="1">
      <c r="A224" s="32"/>
      <c r="B224" s="32"/>
      <c r="C224" s="32"/>
      <c r="D224" s="32"/>
      <c r="E224" s="32"/>
      <c r="F224" s="32"/>
      <c r="G224" s="81"/>
      <c r="H224" s="81"/>
      <c r="I224" s="81"/>
      <c r="J224" s="7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 ht="25.5" customHeight="1">
      <c r="A225" s="32"/>
      <c r="B225" s="32"/>
      <c r="C225" s="32"/>
      <c r="D225" s="32"/>
      <c r="E225" s="32"/>
      <c r="F225" s="32"/>
      <c r="G225" s="81"/>
      <c r="H225" s="81"/>
      <c r="I225" s="81"/>
      <c r="J225" s="7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 ht="25.5" customHeight="1">
      <c r="A226" s="32"/>
      <c r="B226" s="32"/>
      <c r="C226" s="32"/>
      <c r="D226" s="32"/>
      <c r="E226" s="32"/>
      <c r="F226" s="32"/>
      <c r="G226" s="81"/>
      <c r="H226" s="81"/>
      <c r="I226" s="81"/>
      <c r="J226" s="7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 ht="25.5" customHeight="1">
      <c r="A227" s="32"/>
      <c r="B227" s="32"/>
      <c r="C227" s="32"/>
      <c r="D227" s="32"/>
      <c r="E227" s="32"/>
      <c r="F227" s="32"/>
      <c r="G227" s="81"/>
      <c r="H227" s="81"/>
      <c r="I227" s="81"/>
      <c r="J227" s="7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 ht="25.5" customHeight="1">
      <c r="A228" s="32"/>
      <c r="B228" s="32"/>
      <c r="C228" s="32"/>
      <c r="D228" s="32"/>
      <c r="E228" s="32"/>
      <c r="F228" s="32"/>
      <c r="G228" s="81"/>
      <c r="H228" s="81"/>
      <c r="I228" s="81"/>
      <c r="J228" s="7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 ht="25.5" customHeight="1">
      <c r="A229" s="32"/>
      <c r="B229" s="32"/>
      <c r="C229" s="32"/>
      <c r="D229" s="32"/>
      <c r="E229" s="32"/>
      <c r="F229" s="32"/>
      <c r="G229" s="81"/>
      <c r="H229" s="81"/>
      <c r="I229" s="81"/>
      <c r="J229" s="7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 ht="25.5" customHeight="1">
      <c r="A230" s="32"/>
      <c r="B230" s="32"/>
      <c r="C230" s="32"/>
      <c r="D230" s="32"/>
      <c r="E230" s="32"/>
      <c r="F230" s="32"/>
      <c r="G230" s="81"/>
      <c r="H230" s="81"/>
      <c r="I230" s="81"/>
      <c r="J230" s="7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 ht="25.5" customHeight="1">
      <c r="A231" s="32"/>
      <c r="B231" s="32"/>
      <c r="C231" s="32"/>
      <c r="D231" s="32"/>
      <c r="E231" s="32"/>
      <c r="F231" s="32"/>
      <c r="G231" s="81"/>
      <c r="H231" s="81"/>
      <c r="I231" s="81"/>
      <c r="J231" s="7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 ht="25.5" customHeight="1">
      <c r="A232" s="32"/>
      <c r="B232" s="32"/>
      <c r="C232" s="32"/>
      <c r="D232" s="32"/>
      <c r="E232" s="32"/>
      <c r="F232" s="32"/>
      <c r="G232" s="81"/>
      <c r="H232" s="81"/>
      <c r="I232" s="81"/>
      <c r="J232" s="7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spans="1:30" ht="25.5" customHeight="1">
      <c r="A233" s="32"/>
      <c r="B233" s="32"/>
      <c r="C233" s="32"/>
      <c r="D233" s="32"/>
      <c r="E233" s="32"/>
      <c r="F233" s="32"/>
      <c r="G233" s="81"/>
      <c r="H233" s="81"/>
      <c r="I233" s="81"/>
      <c r="J233" s="7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spans="1:30" ht="25.5" customHeight="1">
      <c r="A234" s="32"/>
      <c r="B234" s="32"/>
      <c r="C234" s="32"/>
      <c r="D234" s="32"/>
      <c r="E234" s="32"/>
      <c r="F234" s="32"/>
      <c r="G234" s="81"/>
      <c r="H234" s="81"/>
      <c r="I234" s="81"/>
      <c r="J234" s="7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spans="1:30" ht="25.5" customHeight="1">
      <c r="A235" s="32"/>
      <c r="B235" s="32"/>
      <c r="C235" s="32"/>
      <c r="D235" s="32"/>
      <c r="E235" s="32"/>
      <c r="F235" s="32"/>
      <c r="G235" s="81"/>
      <c r="H235" s="81"/>
      <c r="I235" s="81"/>
      <c r="J235" s="7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spans="1:30" ht="25.5" customHeight="1">
      <c r="A236" s="32"/>
      <c r="B236" s="32"/>
      <c r="C236" s="32"/>
      <c r="D236" s="32"/>
      <c r="E236" s="32"/>
      <c r="F236" s="32"/>
      <c r="G236" s="81"/>
      <c r="H236" s="81"/>
      <c r="I236" s="81"/>
      <c r="J236" s="7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spans="1:30" ht="25.5" customHeight="1">
      <c r="A237" s="32"/>
      <c r="B237" s="32"/>
      <c r="C237" s="32"/>
      <c r="D237" s="32"/>
      <c r="E237" s="32"/>
      <c r="F237" s="32"/>
      <c r="G237" s="81"/>
      <c r="H237" s="81"/>
      <c r="I237" s="81"/>
      <c r="J237" s="7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spans="1:30" ht="25.5" customHeight="1">
      <c r="A238" s="32"/>
      <c r="B238" s="32"/>
      <c r="C238" s="32"/>
      <c r="D238" s="32"/>
      <c r="E238" s="32"/>
      <c r="F238" s="32"/>
      <c r="G238" s="81"/>
      <c r="H238" s="81"/>
      <c r="I238" s="81"/>
      <c r="J238" s="7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 ht="25.5" customHeight="1">
      <c r="A239" s="32"/>
      <c r="B239" s="32"/>
      <c r="C239" s="32"/>
      <c r="D239" s="32"/>
      <c r="E239" s="32"/>
      <c r="F239" s="32"/>
      <c r="G239" s="81"/>
      <c r="H239" s="81"/>
      <c r="I239" s="81"/>
      <c r="J239" s="7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spans="1:30" ht="25.5" customHeight="1">
      <c r="A240" s="32"/>
      <c r="B240" s="32"/>
      <c r="C240" s="32"/>
      <c r="D240" s="32"/>
      <c r="E240" s="32"/>
      <c r="F240" s="32"/>
      <c r="G240" s="81"/>
      <c r="H240" s="81"/>
      <c r="I240" s="81"/>
      <c r="J240" s="7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spans="1:30" ht="25.5" customHeight="1">
      <c r="A241" s="32"/>
      <c r="B241" s="32"/>
      <c r="C241" s="32"/>
      <c r="D241" s="32"/>
      <c r="E241" s="32"/>
      <c r="F241" s="32"/>
      <c r="G241" s="81"/>
      <c r="H241" s="81"/>
      <c r="I241" s="81"/>
      <c r="J241" s="7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spans="1:30" ht="25.5" customHeight="1">
      <c r="A242" s="32"/>
      <c r="B242" s="32"/>
      <c r="C242" s="32"/>
      <c r="D242" s="32"/>
      <c r="E242" s="32"/>
      <c r="F242" s="32"/>
      <c r="G242" s="81"/>
      <c r="H242" s="81"/>
      <c r="I242" s="81"/>
      <c r="J242" s="7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spans="1:30" ht="25.5" customHeight="1">
      <c r="A243" s="32"/>
      <c r="B243" s="32"/>
      <c r="C243" s="32"/>
      <c r="D243" s="32"/>
      <c r="E243" s="32"/>
      <c r="F243" s="32"/>
      <c r="G243" s="81"/>
      <c r="H243" s="81"/>
      <c r="I243" s="81"/>
      <c r="J243" s="7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spans="1:30" ht="25.5" customHeight="1">
      <c r="A244" s="32"/>
      <c r="B244" s="32"/>
      <c r="C244" s="32"/>
      <c r="D244" s="32"/>
      <c r="E244" s="32"/>
      <c r="F244" s="32"/>
      <c r="G244" s="81"/>
      <c r="H244" s="81"/>
      <c r="I244" s="81"/>
      <c r="J244" s="7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spans="1:30" ht="25.5" customHeight="1">
      <c r="A245" s="32"/>
      <c r="B245" s="32"/>
      <c r="C245" s="32"/>
      <c r="D245" s="32"/>
      <c r="E245" s="32"/>
      <c r="F245" s="32"/>
      <c r="G245" s="81"/>
      <c r="H245" s="81"/>
      <c r="I245" s="81"/>
      <c r="J245" s="7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spans="1:30" ht="25.5" customHeight="1">
      <c r="A246" s="32"/>
      <c r="B246" s="32"/>
      <c r="C246" s="32"/>
      <c r="D246" s="32"/>
      <c r="E246" s="32"/>
      <c r="F246" s="32"/>
      <c r="G246" s="81"/>
      <c r="H246" s="81"/>
      <c r="I246" s="81"/>
      <c r="J246" s="7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spans="1:30" ht="25.5" customHeight="1">
      <c r="A247" s="32"/>
      <c r="B247" s="32"/>
      <c r="C247" s="32"/>
      <c r="D247" s="32"/>
      <c r="E247" s="32"/>
      <c r="F247" s="32"/>
      <c r="G247" s="81"/>
      <c r="H247" s="81"/>
      <c r="I247" s="81"/>
      <c r="J247" s="7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spans="1:30" ht="25.5" customHeight="1">
      <c r="A248" s="32"/>
      <c r="B248" s="32"/>
      <c r="C248" s="32"/>
      <c r="D248" s="32"/>
      <c r="E248" s="32"/>
      <c r="F248" s="32"/>
      <c r="G248" s="81"/>
      <c r="H248" s="81"/>
      <c r="I248" s="81"/>
      <c r="J248" s="7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spans="1:30" ht="25.5" customHeight="1">
      <c r="A249" s="32"/>
      <c r="B249" s="32"/>
      <c r="C249" s="32"/>
      <c r="D249" s="32"/>
      <c r="E249" s="32"/>
      <c r="F249" s="32"/>
      <c r="G249" s="81"/>
      <c r="H249" s="81"/>
      <c r="I249" s="81"/>
      <c r="J249" s="7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spans="1:30" ht="25.5" customHeight="1">
      <c r="A250" s="32"/>
      <c r="B250" s="32"/>
      <c r="C250" s="32"/>
      <c r="D250" s="32"/>
      <c r="E250" s="32"/>
      <c r="F250" s="32"/>
      <c r="G250" s="81"/>
      <c r="H250" s="81"/>
      <c r="I250" s="81"/>
      <c r="J250" s="7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spans="1:30" ht="25.5" customHeight="1">
      <c r="A251" s="32"/>
      <c r="B251" s="32"/>
      <c r="C251" s="32"/>
      <c r="D251" s="32"/>
      <c r="E251" s="32"/>
      <c r="F251" s="32"/>
      <c r="G251" s="81"/>
      <c r="H251" s="81"/>
      <c r="I251" s="81"/>
      <c r="J251" s="7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 ht="25.5" customHeight="1">
      <c r="A252" s="32"/>
      <c r="B252" s="32"/>
      <c r="C252" s="32"/>
      <c r="D252" s="32"/>
      <c r="E252" s="32"/>
      <c r="F252" s="32"/>
      <c r="G252" s="81"/>
      <c r="H252" s="81"/>
      <c r="I252" s="81"/>
      <c r="J252" s="7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 ht="25.5" customHeight="1">
      <c r="A253" s="32"/>
      <c r="B253" s="32"/>
      <c r="C253" s="32"/>
      <c r="D253" s="32"/>
      <c r="E253" s="32"/>
      <c r="F253" s="32"/>
      <c r="G253" s="81"/>
      <c r="H253" s="81"/>
      <c r="I253" s="81"/>
      <c r="J253" s="7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 ht="25.5" customHeight="1">
      <c r="A254" s="32"/>
      <c r="B254" s="32"/>
      <c r="C254" s="32"/>
      <c r="D254" s="32"/>
      <c r="E254" s="32"/>
      <c r="F254" s="32"/>
      <c r="G254" s="81"/>
      <c r="H254" s="81"/>
      <c r="I254" s="81"/>
      <c r="J254" s="7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spans="1:30" ht="25.5" customHeight="1">
      <c r="A255" s="32"/>
      <c r="B255" s="32"/>
      <c r="C255" s="32"/>
      <c r="D255" s="32"/>
      <c r="E255" s="32"/>
      <c r="F255" s="32"/>
      <c r="G255" s="81"/>
      <c r="H255" s="81"/>
      <c r="I255" s="81"/>
      <c r="J255" s="7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spans="1:30" ht="25.5" customHeight="1">
      <c r="A256" s="32"/>
      <c r="B256" s="32"/>
      <c r="C256" s="32"/>
      <c r="D256" s="32"/>
      <c r="E256" s="32"/>
      <c r="F256" s="32"/>
      <c r="G256" s="81"/>
      <c r="H256" s="81"/>
      <c r="I256" s="81"/>
      <c r="J256" s="7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spans="1:30" ht="25.5" customHeight="1">
      <c r="A257" s="32"/>
      <c r="B257" s="32"/>
      <c r="C257" s="32"/>
      <c r="D257" s="32"/>
      <c r="E257" s="32"/>
      <c r="F257" s="32"/>
      <c r="G257" s="81"/>
      <c r="H257" s="81"/>
      <c r="I257" s="81"/>
      <c r="J257" s="7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spans="1:30" ht="25.5" customHeight="1">
      <c r="A258" s="32"/>
      <c r="B258" s="32"/>
      <c r="C258" s="32"/>
      <c r="D258" s="32"/>
      <c r="E258" s="32"/>
      <c r="F258" s="32"/>
      <c r="G258" s="81"/>
      <c r="H258" s="81"/>
      <c r="I258" s="81"/>
      <c r="J258" s="7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spans="1:30" ht="25.5" customHeight="1">
      <c r="A259" s="32"/>
      <c r="B259" s="32"/>
      <c r="C259" s="32"/>
      <c r="D259" s="32"/>
      <c r="E259" s="32"/>
      <c r="F259" s="32"/>
      <c r="G259" s="81"/>
      <c r="H259" s="81"/>
      <c r="I259" s="81"/>
      <c r="J259" s="7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spans="1:30" ht="25.5" customHeight="1">
      <c r="A260" s="32"/>
      <c r="B260" s="32"/>
      <c r="C260" s="32"/>
      <c r="D260" s="32"/>
      <c r="E260" s="32"/>
      <c r="F260" s="32"/>
      <c r="G260" s="81"/>
      <c r="H260" s="81"/>
      <c r="I260" s="81"/>
      <c r="J260" s="7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spans="1:30" ht="25.5" customHeight="1">
      <c r="A261" s="32"/>
      <c r="B261" s="32"/>
      <c r="C261" s="32"/>
      <c r="D261" s="32"/>
      <c r="E261" s="32"/>
      <c r="F261" s="32"/>
      <c r="G261" s="81"/>
      <c r="H261" s="81"/>
      <c r="I261" s="81"/>
      <c r="J261" s="7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spans="1:30" ht="25.5" customHeight="1">
      <c r="A262" s="32"/>
      <c r="B262" s="32"/>
      <c r="C262" s="32"/>
      <c r="D262" s="32"/>
      <c r="E262" s="32"/>
      <c r="F262" s="32"/>
      <c r="G262" s="81"/>
      <c r="H262" s="81"/>
      <c r="I262" s="81"/>
      <c r="J262" s="7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spans="1:30" ht="25.5" customHeight="1">
      <c r="A263" s="32"/>
      <c r="B263" s="32"/>
      <c r="C263" s="32"/>
      <c r="D263" s="32"/>
      <c r="E263" s="32"/>
      <c r="F263" s="32"/>
      <c r="G263" s="81"/>
      <c r="H263" s="81"/>
      <c r="I263" s="81"/>
      <c r="J263" s="7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spans="1:30" ht="25.5" customHeight="1">
      <c r="A264" s="32"/>
      <c r="B264" s="32"/>
      <c r="C264" s="32"/>
      <c r="D264" s="32"/>
      <c r="E264" s="32"/>
      <c r="F264" s="32"/>
      <c r="G264" s="81"/>
      <c r="H264" s="81"/>
      <c r="I264" s="81"/>
      <c r="J264" s="7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25.5" customHeight="1">
      <c r="A265" s="32"/>
      <c r="B265" s="32"/>
      <c r="C265" s="32"/>
      <c r="D265" s="32"/>
      <c r="E265" s="32"/>
      <c r="F265" s="32"/>
      <c r="G265" s="81"/>
      <c r="H265" s="81"/>
      <c r="I265" s="81"/>
      <c r="J265" s="7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spans="1:30" ht="25.5" customHeight="1">
      <c r="A266" s="32"/>
      <c r="B266" s="32"/>
      <c r="C266" s="32"/>
      <c r="D266" s="32"/>
      <c r="E266" s="32"/>
      <c r="F266" s="32"/>
      <c r="G266" s="81"/>
      <c r="H266" s="81"/>
      <c r="I266" s="81"/>
      <c r="J266" s="7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spans="1:30" ht="25.5" customHeight="1">
      <c r="A267" s="32"/>
      <c r="B267" s="32"/>
      <c r="C267" s="32"/>
      <c r="D267" s="32"/>
      <c r="E267" s="32"/>
      <c r="F267" s="32"/>
      <c r="G267" s="81"/>
      <c r="H267" s="81"/>
      <c r="I267" s="81"/>
      <c r="J267" s="7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spans="1:30" ht="25.5" customHeight="1">
      <c r="A268" s="32"/>
      <c r="B268" s="32"/>
      <c r="C268" s="32"/>
      <c r="D268" s="32"/>
      <c r="E268" s="32"/>
      <c r="F268" s="32"/>
      <c r="G268" s="81"/>
      <c r="H268" s="81"/>
      <c r="I268" s="81"/>
      <c r="J268" s="7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spans="1:30" ht="25.5" customHeight="1">
      <c r="A269" s="32"/>
      <c r="B269" s="32"/>
      <c r="C269" s="32"/>
      <c r="D269" s="32"/>
      <c r="E269" s="32"/>
      <c r="F269" s="32"/>
      <c r="G269" s="81"/>
      <c r="H269" s="81"/>
      <c r="I269" s="81"/>
      <c r="J269" s="7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spans="1:30" ht="25.5" customHeight="1">
      <c r="A270" s="32"/>
      <c r="B270" s="32"/>
      <c r="C270" s="32"/>
      <c r="D270" s="32"/>
      <c r="E270" s="32"/>
      <c r="F270" s="32"/>
      <c r="G270" s="81"/>
      <c r="H270" s="81"/>
      <c r="I270" s="81"/>
      <c r="J270" s="7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spans="1:30" ht="25.5" customHeight="1">
      <c r="A271" s="32"/>
      <c r="B271" s="32"/>
      <c r="C271" s="32"/>
      <c r="D271" s="32"/>
      <c r="E271" s="32"/>
      <c r="F271" s="32"/>
      <c r="G271" s="81"/>
      <c r="H271" s="81"/>
      <c r="I271" s="81"/>
      <c r="J271" s="7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spans="1:30" ht="25.5" customHeight="1">
      <c r="A272" s="32"/>
      <c r="B272" s="32"/>
      <c r="C272" s="32"/>
      <c r="D272" s="32"/>
      <c r="E272" s="32"/>
      <c r="F272" s="32"/>
      <c r="G272" s="81"/>
      <c r="H272" s="81"/>
      <c r="I272" s="81"/>
      <c r="J272" s="7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spans="1:30" ht="25.5" customHeight="1">
      <c r="A273" s="32"/>
      <c r="B273" s="32"/>
      <c r="C273" s="32"/>
      <c r="D273" s="32"/>
      <c r="E273" s="32"/>
      <c r="F273" s="32"/>
      <c r="G273" s="81"/>
      <c r="H273" s="81"/>
      <c r="I273" s="81"/>
      <c r="J273" s="7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spans="1:30" ht="25.5" customHeight="1">
      <c r="A274" s="32"/>
      <c r="B274" s="32"/>
      <c r="C274" s="32"/>
      <c r="D274" s="32"/>
      <c r="E274" s="32"/>
      <c r="F274" s="32"/>
      <c r="G274" s="81"/>
      <c r="H274" s="81"/>
      <c r="I274" s="81"/>
      <c r="J274" s="7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spans="1:30" ht="25.5" customHeight="1">
      <c r="A275" s="32"/>
      <c r="B275" s="32"/>
      <c r="C275" s="32"/>
      <c r="D275" s="32"/>
      <c r="E275" s="32"/>
      <c r="F275" s="32"/>
      <c r="G275" s="81"/>
      <c r="H275" s="81"/>
      <c r="I275" s="81"/>
      <c r="J275" s="7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 ht="25.5" customHeight="1">
      <c r="A276" s="32"/>
      <c r="B276" s="32"/>
      <c r="C276" s="32"/>
      <c r="D276" s="32"/>
      <c r="E276" s="32"/>
      <c r="F276" s="32"/>
      <c r="G276" s="81"/>
      <c r="H276" s="81"/>
      <c r="I276" s="81"/>
      <c r="J276" s="7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 ht="25.5" customHeight="1">
      <c r="A277" s="32"/>
      <c r="B277" s="32"/>
      <c r="C277" s="32"/>
      <c r="D277" s="32"/>
      <c r="E277" s="32"/>
      <c r="F277" s="32"/>
      <c r="G277" s="81"/>
      <c r="H277" s="81"/>
      <c r="I277" s="81"/>
      <c r="J277" s="7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spans="1:30" ht="25.5" customHeight="1">
      <c r="A278" s="32"/>
      <c r="B278" s="32"/>
      <c r="C278" s="32"/>
      <c r="D278" s="32"/>
      <c r="E278" s="32"/>
      <c r="F278" s="32"/>
      <c r="G278" s="81"/>
      <c r="H278" s="81"/>
      <c r="I278" s="81"/>
      <c r="J278" s="7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spans="1:30" ht="25.5" customHeight="1">
      <c r="A279" s="32"/>
      <c r="B279" s="32"/>
      <c r="C279" s="32"/>
      <c r="D279" s="32"/>
      <c r="E279" s="32"/>
      <c r="F279" s="32"/>
      <c r="G279" s="81"/>
      <c r="H279" s="81"/>
      <c r="I279" s="81"/>
      <c r="J279" s="7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spans="1:30" ht="25.5" customHeight="1">
      <c r="A280" s="32"/>
      <c r="B280" s="32"/>
      <c r="C280" s="32"/>
      <c r="D280" s="32"/>
      <c r="E280" s="32"/>
      <c r="F280" s="32"/>
      <c r="G280" s="81"/>
      <c r="H280" s="81"/>
      <c r="I280" s="81"/>
      <c r="J280" s="7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spans="1:30" ht="25.5" customHeight="1">
      <c r="A281" s="32"/>
      <c r="B281" s="32"/>
      <c r="C281" s="32"/>
      <c r="D281" s="32"/>
      <c r="E281" s="32"/>
      <c r="F281" s="32"/>
      <c r="G281" s="81"/>
      <c r="H281" s="81"/>
      <c r="I281" s="81"/>
      <c r="J281" s="7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spans="1:30" ht="25.5" customHeight="1">
      <c r="A282" s="32"/>
      <c r="B282" s="32"/>
      <c r="C282" s="32"/>
      <c r="D282" s="32"/>
      <c r="E282" s="32"/>
      <c r="F282" s="32"/>
      <c r="G282" s="81"/>
      <c r="H282" s="81"/>
      <c r="I282" s="81"/>
      <c r="J282" s="7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spans="1:30" ht="25.5" customHeight="1">
      <c r="A283" s="32"/>
      <c r="B283" s="32"/>
      <c r="C283" s="32"/>
      <c r="D283" s="32"/>
      <c r="E283" s="32"/>
      <c r="F283" s="32"/>
      <c r="G283" s="81"/>
      <c r="H283" s="81"/>
      <c r="I283" s="81"/>
      <c r="J283" s="7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spans="1:30" ht="25.5" customHeight="1">
      <c r="A284" s="32"/>
      <c r="B284" s="32"/>
      <c r="C284" s="32"/>
      <c r="D284" s="32"/>
      <c r="E284" s="32"/>
      <c r="F284" s="32"/>
      <c r="G284" s="81"/>
      <c r="H284" s="81"/>
      <c r="I284" s="81"/>
      <c r="J284" s="7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spans="1:30" ht="25.5" customHeight="1">
      <c r="A285" s="32"/>
      <c r="B285" s="32"/>
      <c r="C285" s="32"/>
      <c r="D285" s="32"/>
      <c r="E285" s="32"/>
      <c r="F285" s="32"/>
      <c r="G285" s="81"/>
      <c r="H285" s="81"/>
      <c r="I285" s="81"/>
      <c r="J285" s="7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spans="1:30" ht="25.5" customHeight="1">
      <c r="A286" s="32"/>
      <c r="B286" s="32"/>
      <c r="C286" s="32"/>
      <c r="D286" s="32"/>
      <c r="E286" s="32"/>
      <c r="F286" s="32"/>
      <c r="G286" s="81"/>
      <c r="H286" s="81"/>
      <c r="I286" s="81"/>
      <c r="J286" s="7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spans="1:30" ht="25.5" customHeight="1">
      <c r="A287" s="32"/>
      <c r="B287" s="32"/>
      <c r="C287" s="32"/>
      <c r="D287" s="32"/>
      <c r="E287" s="32"/>
      <c r="F287" s="32"/>
      <c r="G287" s="81"/>
      <c r="H287" s="81"/>
      <c r="I287" s="81"/>
      <c r="J287" s="7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spans="1:30" ht="25.5" customHeight="1">
      <c r="A288" s="32"/>
      <c r="B288" s="32"/>
      <c r="C288" s="32"/>
      <c r="D288" s="32"/>
      <c r="E288" s="32"/>
      <c r="F288" s="32"/>
      <c r="G288" s="81"/>
      <c r="H288" s="81"/>
      <c r="I288" s="81"/>
      <c r="J288" s="7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spans="1:30" ht="25.5" customHeight="1">
      <c r="A289" s="32"/>
      <c r="B289" s="32"/>
      <c r="C289" s="32"/>
      <c r="D289" s="32"/>
      <c r="E289" s="32"/>
      <c r="F289" s="32"/>
      <c r="G289" s="81"/>
      <c r="H289" s="81"/>
      <c r="I289" s="81"/>
      <c r="J289" s="7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spans="1:30" ht="25.5" customHeight="1">
      <c r="A290" s="32"/>
      <c r="B290" s="32"/>
      <c r="C290" s="32"/>
      <c r="D290" s="32"/>
      <c r="E290" s="32"/>
      <c r="F290" s="32"/>
      <c r="G290" s="81"/>
      <c r="H290" s="81"/>
      <c r="I290" s="81"/>
      <c r="J290" s="7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spans="1:30" ht="25.5" customHeight="1">
      <c r="A291" s="32"/>
      <c r="B291" s="32"/>
      <c r="C291" s="32"/>
      <c r="D291" s="32"/>
      <c r="E291" s="32"/>
      <c r="F291" s="32"/>
      <c r="G291" s="81"/>
      <c r="H291" s="81"/>
      <c r="I291" s="81"/>
      <c r="J291" s="7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spans="1:30" ht="25.5" customHeight="1">
      <c r="A292" s="32"/>
      <c r="B292" s="32"/>
      <c r="C292" s="32"/>
      <c r="D292" s="32"/>
      <c r="E292" s="32"/>
      <c r="F292" s="32"/>
      <c r="G292" s="81"/>
      <c r="H292" s="81"/>
      <c r="I292" s="81"/>
      <c r="J292" s="7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 ht="25.5" customHeight="1">
      <c r="A293" s="32"/>
      <c r="B293" s="32"/>
      <c r="C293" s="32"/>
      <c r="D293" s="32"/>
      <c r="E293" s="32"/>
      <c r="F293" s="32"/>
      <c r="G293" s="81"/>
      <c r="H293" s="81"/>
      <c r="I293" s="81"/>
      <c r="J293" s="7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 ht="25.5" customHeight="1">
      <c r="A294" s="32"/>
      <c r="B294" s="32"/>
      <c r="C294" s="32"/>
      <c r="D294" s="32"/>
      <c r="E294" s="32"/>
      <c r="F294" s="32"/>
      <c r="G294" s="81"/>
      <c r="H294" s="81"/>
      <c r="I294" s="81"/>
      <c r="J294" s="7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spans="1:30" ht="25.5" customHeight="1">
      <c r="A295" s="32"/>
      <c r="B295" s="32"/>
      <c r="C295" s="32"/>
      <c r="D295" s="32"/>
      <c r="E295" s="32"/>
      <c r="F295" s="32"/>
      <c r="G295" s="81"/>
      <c r="H295" s="81"/>
      <c r="I295" s="81"/>
      <c r="J295" s="7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spans="1:30" ht="25.5" customHeight="1">
      <c r="A296" s="32"/>
      <c r="B296" s="32"/>
      <c r="C296" s="32"/>
      <c r="D296" s="32"/>
      <c r="E296" s="32"/>
      <c r="F296" s="32"/>
      <c r="G296" s="81"/>
      <c r="H296" s="81"/>
      <c r="I296" s="81"/>
      <c r="J296" s="7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spans="1:30" ht="25.5" customHeight="1">
      <c r="A297" s="32"/>
      <c r="B297" s="32"/>
      <c r="C297" s="32"/>
      <c r="D297" s="32"/>
      <c r="E297" s="32"/>
      <c r="F297" s="32"/>
      <c r="G297" s="81"/>
      <c r="H297" s="81"/>
      <c r="I297" s="81"/>
      <c r="J297" s="7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spans="1:30" ht="25.5" customHeight="1">
      <c r="A298" s="32"/>
      <c r="B298" s="32"/>
      <c r="C298" s="32"/>
      <c r="D298" s="32"/>
      <c r="E298" s="32"/>
      <c r="F298" s="32"/>
      <c r="G298" s="81"/>
      <c r="H298" s="81"/>
      <c r="I298" s="81"/>
      <c r="J298" s="7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spans="1:30" ht="25.5" customHeight="1">
      <c r="A299" s="32"/>
      <c r="B299" s="32"/>
      <c r="C299" s="32"/>
      <c r="D299" s="32"/>
      <c r="E299" s="32"/>
      <c r="F299" s="32"/>
      <c r="G299" s="81"/>
      <c r="H299" s="81"/>
      <c r="I299" s="81"/>
      <c r="J299" s="7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 ht="25.5" customHeight="1">
      <c r="A300" s="32"/>
      <c r="B300" s="32"/>
      <c r="C300" s="32"/>
      <c r="D300" s="32"/>
      <c r="E300" s="32"/>
      <c r="F300" s="32"/>
      <c r="G300" s="81"/>
      <c r="H300" s="81"/>
      <c r="I300" s="81"/>
      <c r="J300" s="7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spans="1:30" ht="25.5" customHeight="1">
      <c r="A301" s="32"/>
      <c r="B301" s="32"/>
      <c r="C301" s="32"/>
      <c r="D301" s="32"/>
      <c r="E301" s="32"/>
      <c r="F301" s="32"/>
      <c r="G301" s="81"/>
      <c r="H301" s="81"/>
      <c r="I301" s="81"/>
      <c r="J301" s="7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spans="1:30" ht="25.5" customHeight="1">
      <c r="A302" s="32"/>
      <c r="B302" s="32"/>
      <c r="C302" s="32"/>
      <c r="D302" s="32"/>
      <c r="E302" s="32"/>
      <c r="F302" s="32"/>
      <c r="G302" s="81"/>
      <c r="H302" s="81"/>
      <c r="I302" s="81"/>
      <c r="J302" s="7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spans="1:30" ht="25.5" customHeight="1">
      <c r="A303" s="32"/>
      <c r="B303" s="32"/>
      <c r="C303" s="32"/>
      <c r="D303" s="32"/>
      <c r="E303" s="32"/>
      <c r="F303" s="32"/>
      <c r="G303" s="81"/>
      <c r="H303" s="81"/>
      <c r="I303" s="81"/>
      <c r="J303" s="7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spans="1:30" ht="25.5" customHeight="1">
      <c r="A304" s="32"/>
      <c r="B304" s="32"/>
      <c r="C304" s="32"/>
      <c r="D304" s="32"/>
      <c r="E304" s="32"/>
      <c r="F304" s="32"/>
      <c r="G304" s="81"/>
      <c r="H304" s="81"/>
      <c r="I304" s="81"/>
      <c r="J304" s="7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spans="1:30" ht="25.5" customHeight="1">
      <c r="A305" s="32"/>
      <c r="B305" s="32"/>
      <c r="C305" s="32"/>
      <c r="D305" s="32"/>
      <c r="E305" s="32"/>
      <c r="F305" s="32"/>
      <c r="G305" s="81"/>
      <c r="H305" s="81"/>
      <c r="I305" s="81"/>
      <c r="J305" s="7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spans="1:30" ht="25.5" customHeight="1">
      <c r="A306" s="32"/>
      <c r="B306" s="32"/>
      <c r="C306" s="32"/>
      <c r="D306" s="32"/>
      <c r="E306" s="32"/>
      <c r="F306" s="32"/>
      <c r="G306" s="81"/>
      <c r="H306" s="81"/>
      <c r="I306" s="81"/>
      <c r="J306" s="7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spans="1:30" ht="25.5" customHeight="1">
      <c r="A307" s="32"/>
      <c r="B307" s="32"/>
      <c r="C307" s="32"/>
      <c r="D307" s="32"/>
      <c r="E307" s="32"/>
      <c r="F307" s="32"/>
      <c r="G307" s="81"/>
      <c r="H307" s="81"/>
      <c r="I307" s="81"/>
      <c r="J307" s="7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spans="1:30" ht="25.5" customHeight="1">
      <c r="A308" s="32"/>
      <c r="B308" s="32"/>
      <c r="C308" s="32"/>
      <c r="D308" s="32"/>
      <c r="E308" s="32"/>
      <c r="F308" s="32"/>
      <c r="G308" s="81"/>
      <c r="H308" s="81"/>
      <c r="I308" s="81"/>
      <c r="J308" s="7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spans="1:30" ht="25.5" customHeight="1">
      <c r="A309" s="32"/>
      <c r="B309" s="32"/>
      <c r="C309" s="32"/>
      <c r="D309" s="32"/>
      <c r="E309" s="32"/>
      <c r="F309" s="32"/>
      <c r="G309" s="81"/>
      <c r="H309" s="81"/>
      <c r="I309" s="81"/>
      <c r="J309" s="7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spans="1:30" ht="25.5" customHeight="1">
      <c r="A310" s="32"/>
      <c r="B310" s="32"/>
      <c r="C310" s="32"/>
      <c r="D310" s="32"/>
      <c r="E310" s="32"/>
      <c r="F310" s="32"/>
      <c r="G310" s="81"/>
      <c r="H310" s="81"/>
      <c r="I310" s="81"/>
      <c r="J310" s="7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spans="1:30" ht="25.5" customHeight="1">
      <c r="A311" s="32"/>
      <c r="B311" s="32"/>
      <c r="C311" s="32"/>
      <c r="D311" s="32"/>
      <c r="E311" s="32"/>
      <c r="F311" s="32"/>
      <c r="G311" s="81"/>
      <c r="H311" s="81"/>
      <c r="I311" s="81"/>
      <c r="J311" s="7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spans="1:30" ht="25.5" customHeight="1">
      <c r="A312" s="32"/>
      <c r="B312" s="32"/>
      <c r="C312" s="32"/>
      <c r="D312" s="32"/>
      <c r="E312" s="32"/>
      <c r="F312" s="32"/>
      <c r="G312" s="81"/>
      <c r="H312" s="81"/>
      <c r="I312" s="81"/>
      <c r="J312" s="7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spans="1:30" ht="25.5" customHeight="1">
      <c r="A313" s="32"/>
      <c r="B313" s="32"/>
      <c r="C313" s="32"/>
      <c r="D313" s="32"/>
      <c r="E313" s="32"/>
      <c r="F313" s="32"/>
      <c r="G313" s="81"/>
      <c r="H313" s="81"/>
      <c r="I313" s="81"/>
      <c r="J313" s="7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spans="1:30" ht="25.5" customHeight="1">
      <c r="A314" s="32"/>
      <c r="B314" s="32"/>
      <c r="C314" s="32"/>
      <c r="D314" s="32"/>
      <c r="E314" s="32"/>
      <c r="F314" s="32"/>
      <c r="G314" s="81"/>
      <c r="H314" s="81"/>
      <c r="I314" s="81"/>
      <c r="J314" s="7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spans="1:30" ht="25.5" customHeight="1">
      <c r="A315" s="32"/>
      <c r="B315" s="32"/>
      <c r="C315" s="32"/>
      <c r="D315" s="32"/>
      <c r="E315" s="32"/>
      <c r="F315" s="32"/>
      <c r="G315" s="81"/>
      <c r="H315" s="81"/>
      <c r="I315" s="81"/>
      <c r="J315" s="7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spans="1:30" ht="25.5" customHeight="1">
      <c r="A316" s="32"/>
      <c r="B316" s="32"/>
      <c r="C316" s="32"/>
      <c r="D316" s="32"/>
      <c r="E316" s="32"/>
      <c r="F316" s="32"/>
      <c r="G316" s="81"/>
      <c r="H316" s="81"/>
      <c r="I316" s="81"/>
      <c r="J316" s="7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spans="1:30" ht="25.5" customHeight="1">
      <c r="A317" s="32"/>
      <c r="B317" s="32"/>
      <c r="C317" s="32"/>
      <c r="D317" s="32"/>
      <c r="E317" s="32"/>
      <c r="F317" s="32"/>
      <c r="G317" s="81"/>
      <c r="H317" s="81"/>
      <c r="I317" s="81"/>
      <c r="J317" s="7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spans="1:30" ht="25.5" customHeight="1">
      <c r="A318" s="32"/>
      <c r="B318" s="32"/>
      <c r="C318" s="32"/>
      <c r="D318" s="32"/>
      <c r="E318" s="32"/>
      <c r="F318" s="32"/>
      <c r="G318" s="81"/>
      <c r="H318" s="81"/>
      <c r="I318" s="81"/>
      <c r="J318" s="7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spans="1:30" ht="25.5" customHeight="1">
      <c r="A319" s="32"/>
      <c r="B319" s="32"/>
      <c r="C319" s="32"/>
      <c r="D319" s="32"/>
      <c r="E319" s="32"/>
      <c r="F319" s="32"/>
      <c r="G319" s="81"/>
      <c r="H319" s="81"/>
      <c r="I319" s="81"/>
      <c r="J319" s="7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spans="1:30" ht="25.5" customHeight="1">
      <c r="A320" s="32"/>
      <c r="B320" s="32"/>
      <c r="C320" s="32"/>
      <c r="D320" s="32"/>
      <c r="E320" s="32"/>
      <c r="F320" s="32"/>
      <c r="G320" s="81"/>
      <c r="H320" s="81"/>
      <c r="I320" s="81"/>
      <c r="J320" s="7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spans="1:30" ht="25.5" customHeight="1">
      <c r="A321" s="32"/>
      <c r="B321" s="32"/>
      <c r="C321" s="32"/>
      <c r="D321" s="32"/>
      <c r="E321" s="32"/>
      <c r="F321" s="32"/>
      <c r="G321" s="81"/>
      <c r="H321" s="81"/>
      <c r="I321" s="81"/>
      <c r="J321" s="7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spans="1:30" ht="25.5" customHeight="1">
      <c r="A322" s="32"/>
      <c r="B322" s="32"/>
      <c r="C322" s="32"/>
      <c r="D322" s="32"/>
      <c r="E322" s="32"/>
      <c r="F322" s="32"/>
      <c r="G322" s="81"/>
      <c r="H322" s="81"/>
      <c r="I322" s="81"/>
      <c r="J322" s="7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spans="1:30" ht="25.5" customHeight="1">
      <c r="A323" s="32"/>
      <c r="B323" s="32"/>
      <c r="C323" s="32"/>
      <c r="D323" s="32"/>
      <c r="E323" s="32"/>
      <c r="F323" s="32"/>
      <c r="G323" s="81"/>
      <c r="H323" s="81"/>
      <c r="I323" s="81"/>
      <c r="J323" s="7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spans="1:30" ht="25.5" customHeight="1">
      <c r="A324" s="32"/>
      <c r="B324" s="32"/>
      <c r="C324" s="32"/>
      <c r="D324" s="32"/>
      <c r="E324" s="32"/>
      <c r="F324" s="32"/>
      <c r="G324" s="81"/>
      <c r="H324" s="81"/>
      <c r="I324" s="81"/>
      <c r="J324" s="7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spans="1:30" ht="25.5" customHeight="1">
      <c r="A325" s="32"/>
      <c r="B325" s="32"/>
      <c r="C325" s="32"/>
      <c r="D325" s="32"/>
      <c r="E325" s="32"/>
      <c r="F325" s="32"/>
      <c r="G325" s="81"/>
      <c r="H325" s="81"/>
      <c r="I325" s="81"/>
      <c r="J325" s="7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spans="1:30" ht="25.5" customHeight="1">
      <c r="A326" s="32"/>
      <c r="B326" s="32"/>
      <c r="C326" s="32"/>
      <c r="D326" s="32"/>
      <c r="E326" s="32"/>
      <c r="F326" s="32"/>
      <c r="G326" s="81"/>
      <c r="H326" s="81"/>
      <c r="I326" s="81"/>
      <c r="J326" s="7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spans="1:30" ht="25.5" customHeight="1">
      <c r="A327" s="32"/>
      <c r="B327" s="32"/>
      <c r="C327" s="32"/>
      <c r="D327" s="32"/>
      <c r="E327" s="32"/>
      <c r="F327" s="32"/>
      <c r="G327" s="81"/>
      <c r="H327" s="81"/>
      <c r="I327" s="81"/>
      <c r="J327" s="7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spans="1:30" ht="25.5" customHeight="1">
      <c r="A328" s="32"/>
      <c r="B328" s="32"/>
      <c r="C328" s="32"/>
      <c r="D328" s="32"/>
      <c r="E328" s="32"/>
      <c r="F328" s="32"/>
      <c r="G328" s="81"/>
      <c r="H328" s="81"/>
      <c r="I328" s="81"/>
      <c r="J328" s="7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spans="1:30" ht="25.5" customHeight="1">
      <c r="A329" s="32"/>
      <c r="B329" s="32"/>
      <c r="C329" s="32"/>
      <c r="D329" s="32"/>
      <c r="E329" s="32"/>
      <c r="F329" s="32"/>
      <c r="G329" s="81"/>
      <c r="H329" s="81"/>
      <c r="I329" s="81"/>
      <c r="J329" s="7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spans="1:30" ht="25.5" customHeight="1">
      <c r="A330" s="32"/>
      <c r="B330" s="32"/>
      <c r="C330" s="32"/>
      <c r="D330" s="32"/>
      <c r="E330" s="32"/>
      <c r="F330" s="32"/>
      <c r="G330" s="81"/>
      <c r="H330" s="81"/>
      <c r="I330" s="81"/>
      <c r="J330" s="7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spans="1:30" ht="25.5" customHeight="1">
      <c r="A331" s="32"/>
      <c r="B331" s="32"/>
      <c r="C331" s="32"/>
      <c r="D331" s="32"/>
      <c r="E331" s="32"/>
      <c r="F331" s="32"/>
      <c r="G331" s="81"/>
      <c r="H331" s="81"/>
      <c r="I331" s="81"/>
      <c r="J331" s="7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spans="1:30" ht="25.5" customHeight="1">
      <c r="A332" s="32"/>
      <c r="B332" s="32"/>
      <c r="C332" s="32"/>
      <c r="D332" s="32"/>
      <c r="E332" s="32"/>
      <c r="F332" s="32"/>
      <c r="G332" s="81"/>
      <c r="H332" s="81"/>
      <c r="I332" s="81"/>
      <c r="J332" s="7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spans="1:30" ht="25.5" customHeight="1">
      <c r="A333" s="32"/>
      <c r="B333" s="32"/>
      <c r="C333" s="32"/>
      <c r="D333" s="32"/>
      <c r="E333" s="32"/>
      <c r="F333" s="32"/>
      <c r="G333" s="81"/>
      <c r="H333" s="81"/>
      <c r="I333" s="81"/>
      <c r="J333" s="7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spans="1:30" ht="25.5" customHeight="1">
      <c r="A334" s="32"/>
      <c r="B334" s="32"/>
      <c r="C334" s="32"/>
      <c r="D334" s="32"/>
      <c r="E334" s="32"/>
      <c r="F334" s="32"/>
      <c r="G334" s="81"/>
      <c r="H334" s="81"/>
      <c r="I334" s="81"/>
      <c r="J334" s="7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spans="1:30" ht="25.5" customHeight="1">
      <c r="A335" s="32"/>
      <c r="B335" s="32"/>
      <c r="C335" s="32"/>
      <c r="D335" s="32"/>
      <c r="E335" s="32"/>
      <c r="F335" s="32"/>
      <c r="G335" s="81"/>
      <c r="H335" s="81"/>
      <c r="I335" s="81"/>
      <c r="J335" s="7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spans="1:30" ht="25.5" customHeight="1">
      <c r="A336" s="32"/>
      <c r="B336" s="32"/>
      <c r="C336" s="32"/>
      <c r="D336" s="32"/>
      <c r="E336" s="32"/>
      <c r="F336" s="32"/>
      <c r="G336" s="81"/>
      <c r="H336" s="81"/>
      <c r="I336" s="81"/>
      <c r="J336" s="7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spans="1:30" ht="25.5" customHeight="1">
      <c r="A337" s="32"/>
      <c r="B337" s="32"/>
      <c r="C337" s="32"/>
      <c r="D337" s="32"/>
      <c r="E337" s="32"/>
      <c r="F337" s="32"/>
      <c r="G337" s="81"/>
      <c r="H337" s="81"/>
      <c r="I337" s="81"/>
      <c r="J337" s="7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spans="1:30" ht="25.5" customHeight="1">
      <c r="A338" s="32"/>
      <c r="B338" s="32"/>
      <c r="C338" s="32"/>
      <c r="D338" s="32"/>
      <c r="E338" s="32"/>
      <c r="F338" s="32"/>
      <c r="G338" s="81"/>
      <c r="H338" s="81"/>
      <c r="I338" s="81"/>
      <c r="J338" s="7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spans="1:30" ht="25.5" customHeight="1">
      <c r="A339" s="32"/>
      <c r="B339" s="32"/>
      <c r="C339" s="32"/>
      <c r="D339" s="32"/>
      <c r="E339" s="32"/>
      <c r="F339" s="32"/>
      <c r="G339" s="81"/>
      <c r="H339" s="81"/>
      <c r="I339" s="81"/>
      <c r="J339" s="7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spans="1:30" ht="25.5" customHeight="1">
      <c r="A340" s="32"/>
      <c r="B340" s="32"/>
      <c r="C340" s="32"/>
      <c r="D340" s="32"/>
      <c r="E340" s="32"/>
      <c r="F340" s="32"/>
      <c r="G340" s="81"/>
      <c r="H340" s="81"/>
      <c r="I340" s="81"/>
      <c r="J340" s="7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spans="1:30" ht="25.5" customHeight="1">
      <c r="A341" s="32"/>
      <c r="B341" s="32"/>
      <c r="C341" s="32"/>
      <c r="D341" s="32"/>
      <c r="E341" s="32"/>
      <c r="F341" s="32"/>
      <c r="G341" s="81"/>
      <c r="H341" s="81"/>
      <c r="I341" s="81"/>
      <c r="J341" s="7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spans="1:30" ht="25.5" customHeight="1">
      <c r="A342" s="32"/>
      <c r="B342" s="32"/>
      <c r="C342" s="32"/>
      <c r="D342" s="32"/>
      <c r="E342" s="32"/>
      <c r="F342" s="32"/>
      <c r="G342" s="81"/>
      <c r="H342" s="81"/>
      <c r="I342" s="81"/>
      <c r="J342" s="7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spans="1:30" ht="25.5" customHeight="1">
      <c r="A343" s="32"/>
      <c r="B343" s="32"/>
      <c r="C343" s="32"/>
      <c r="D343" s="32"/>
      <c r="E343" s="32"/>
      <c r="F343" s="32"/>
      <c r="G343" s="81"/>
      <c r="H343" s="81"/>
      <c r="I343" s="81"/>
      <c r="J343" s="7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spans="1:30" ht="25.5" customHeight="1">
      <c r="A344" s="32"/>
      <c r="B344" s="32"/>
      <c r="C344" s="32"/>
      <c r="D344" s="32"/>
      <c r="E344" s="32"/>
      <c r="F344" s="32"/>
      <c r="G344" s="81"/>
      <c r="H344" s="81"/>
      <c r="I344" s="81"/>
      <c r="J344" s="7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spans="1:30" ht="25.5" customHeight="1">
      <c r="A345" s="32"/>
      <c r="B345" s="32"/>
      <c r="C345" s="32"/>
      <c r="D345" s="32"/>
      <c r="E345" s="32"/>
      <c r="F345" s="32"/>
      <c r="G345" s="81"/>
      <c r="H345" s="81"/>
      <c r="I345" s="81"/>
      <c r="J345" s="7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spans="1:30" ht="25.5" customHeight="1">
      <c r="A346" s="32"/>
      <c r="B346" s="32"/>
      <c r="C346" s="32"/>
      <c r="D346" s="32"/>
      <c r="E346" s="32"/>
      <c r="F346" s="32"/>
      <c r="G346" s="81"/>
      <c r="H346" s="81"/>
      <c r="I346" s="81"/>
      <c r="J346" s="7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spans="1:30" ht="25.5" customHeight="1">
      <c r="A347" s="32"/>
      <c r="B347" s="32"/>
      <c r="C347" s="32"/>
      <c r="D347" s="32"/>
      <c r="E347" s="32"/>
      <c r="F347" s="32"/>
      <c r="G347" s="81"/>
      <c r="H347" s="81"/>
      <c r="I347" s="81"/>
      <c r="J347" s="7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spans="1:30" ht="25.5" customHeight="1">
      <c r="A348" s="32"/>
      <c r="B348" s="32"/>
      <c r="C348" s="32"/>
      <c r="D348" s="32"/>
      <c r="E348" s="32"/>
      <c r="F348" s="32"/>
      <c r="G348" s="81"/>
      <c r="H348" s="81"/>
      <c r="I348" s="81"/>
      <c r="J348" s="7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spans="1:30" ht="25.5" customHeight="1">
      <c r="A349" s="32"/>
      <c r="B349" s="32"/>
      <c r="C349" s="32"/>
      <c r="D349" s="32"/>
      <c r="E349" s="32"/>
      <c r="F349" s="32"/>
      <c r="G349" s="81"/>
      <c r="H349" s="81"/>
      <c r="I349" s="81"/>
      <c r="J349" s="7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spans="1:30" ht="25.5" customHeight="1">
      <c r="A350" s="32"/>
      <c r="B350" s="32"/>
      <c r="C350" s="32"/>
      <c r="D350" s="32"/>
      <c r="E350" s="32"/>
      <c r="F350" s="32"/>
      <c r="G350" s="81"/>
      <c r="H350" s="81"/>
      <c r="I350" s="81"/>
      <c r="J350" s="7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spans="1:30" ht="25.5" customHeight="1">
      <c r="A351" s="32"/>
      <c r="B351" s="32"/>
      <c r="C351" s="32"/>
      <c r="D351" s="32"/>
      <c r="E351" s="32"/>
      <c r="F351" s="32"/>
      <c r="G351" s="81"/>
      <c r="H351" s="81"/>
      <c r="I351" s="81"/>
      <c r="J351" s="7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spans="1:30" ht="25.5" customHeight="1">
      <c r="A352" s="32"/>
      <c r="B352" s="32"/>
      <c r="C352" s="32"/>
      <c r="D352" s="32"/>
      <c r="E352" s="32"/>
      <c r="F352" s="32"/>
      <c r="G352" s="81"/>
      <c r="H352" s="81"/>
      <c r="I352" s="81"/>
      <c r="J352" s="7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spans="1:30" ht="25.5" customHeight="1">
      <c r="A353" s="32"/>
      <c r="B353" s="32"/>
      <c r="C353" s="32"/>
      <c r="D353" s="32"/>
      <c r="E353" s="32"/>
      <c r="F353" s="32"/>
      <c r="G353" s="81"/>
      <c r="H353" s="81"/>
      <c r="I353" s="81"/>
      <c r="J353" s="7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spans="1:30" ht="25.5" customHeight="1">
      <c r="A354" s="32"/>
      <c r="B354" s="32"/>
      <c r="C354" s="32"/>
      <c r="D354" s="32"/>
      <c r="E354" s="32"/>
      <c r="F354" s="32"/>
      <c r="G354" s="81"/>
      <c r="H354" s="81"/>
      <c r="I354" s="81"/>
      <c r="J354" s="7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spans="1:30" ht="25.5" customHeight="1">
      <c r="A355" s="32"/>
      <c r="B355" s="32"/>
      <c r="C355" s="32"/>
      <c r="D355" s="32"/>
      <c r="E355" s="32"/>
      <c r="F355" s="32"/>
      <c r="G355" s="81"/>
      <c r="H355" s="81"/>
      <c r="I355" s="81"/>
      <c r="J355" s="7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spans="1:30" ht="25.5" customHeight="1">
      <c r="A356" s="32"/>
      <c r="B356" s="32"/>
      <c r="C356" s="32"/>
      <c r="D356" s="32"/>
      <c r="E356" s="32"/>
      <c r="F356" s="32"/>
      <c r="G356" s="81"/>
      <c r="H356" s="81"/>
      <c r="I356" s="81"/>
      <c r="J356" s="7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spans="1:30" ht="25.5" customHeight="1">
      <c r="A357" s="32"/>
      <c r="B357" s="32"/>
      <c r="C357" s="32"/>
      <c r="D357" s="32"/>
      <c r="E357" s="32"/>
      <c r="F357" s="32"/>
      <c r="G357" s="81"/>
      <c r="H357" s="81"/>
      <c r="I357" s="81"/>
      <c r="J357" s="7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spans="1:30" ht="25.5" customHeight="1">
      <c r="A358" s="32"/>
      <c r="B358" s="32"/>
      <c r="C358" s="32"/>
      <c r="D358" s="32"/>
      <c r="E358" s="32"/>
      <c r="F358" s="32"/>
      <c r="G358" s="81"/>
      <c r="H358" s="81"/>
      <c r="I358" s="81"/>
      <c r="J358" s="7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spans="1:30" ht="25.5" customHeight="1">
      <c r="A359" s="32"/>
      <c r="B359" s="32"/>
      <c r="C359" s="32"/>
      <c r="D359" s="32"/>
      <c r="E359" s="32"/>
      <c r="F359" s="32"/>
      <c r="G359" s="81"/>
      <c r="H359" s="81"/>
      <c r="I359" s="81"/>
      <c r="J359" s="7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spans="1:30" ht="25.5" customHeight="1">
      <c r="A360" s="32"/>
      <c r="B360" s="32"/>
      <c r="C360" s="32"/>
      <c r="D360" s="32"/>
      <c r="E360" s="32"/>
      <c r="F360" s="32"/>
      <c r="G360" s="81"/>
      <c r="H360" s="81"/>
      <c r="I360" s="81"/>
      <c r="J360" s="7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spans="1:30" ht="25.5" customHeight="1">
      <c r="A361" s="32"/>
      <c r="B361" s="32"/>
      <c r="C361" s="32"/>
      <c r="D361" s="32"/>
      <c r="E361" s="32"/>
      <c r="F361" s="32"/>
      <c r="G361" s="81"/>
      <c r="H361" s="81"/>
      <c r="I361" s="81"/>
      <c r="J361" s="7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spans="1:30" ht="25.5" customHeight="1">
      <c r="A362" s="32"/>
      <c r="B362" s="32"/>
      <c r="C362" s="32"/>
      <c r="D362" s="32"/>
      <c r="E362" s="32"/>
      <c r="F362" s="32"/>
      <c r="G362" s="81"/>
      <c r="H362" s="81"/>
      <c r="I362" s="81"/>
      <c r="J362" s="7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spans="1:30" ht="25.5" customHeight="1">
      <c r="A363" s="32"/>
      <c r="B363" s="32"/>
      <c r="C363" s="32"/>
      <c r="D363" s="32"/>
      <c r="E363" s="32"/>
      <c r="F363" s="32"/>
      <c r="G363" s="81"/>
      <c r="H363" s="81"/>
      <c r="I363" s="81"/>
      <c r="J363" s="7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spans="1:30" ht="25.5" customHeight="1">
      <c r="A364" s="32"/>
      <c r="B364" s="32"/>
      <c r="C364" s="32"/>
      <c r="D364" s="32"/>
      <c r="E364" s="32"/>
      <c r="F364" s="32"/>
      <c r="G364" s="81"/>
      <c r="H364" s="81"/>
      <c r="I364" s="81"/>
      <c r="J364" s="7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spans="1:30" ht="25.5" customHeight="1">
      <c r="A365" s="32"/>
      <c r="B365" s="32"/>
      <c r="C365" s="32"/>
      <c r="D365" s="32"/>
      <c r="E365" s="32"/>
      <c r="F365" s="32"/>
      <c r="G365" s="81"/>
      <c r="H365" s="81"/>
      <c r="I365" s="81"/>
      <c r="J365" s="7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spans="1:30" ht="25.5" customHeight="1">
      <c r="A366" s="32"/>
      <c r="B366" s="32"/>
      <c r="C366" s="32"/>
      <c r="D366" s="32"/>
      <c r="E366" s="32"/>
      <c r="F366" s="32"/>
      <c r="G366" s="81"/>
      <c r="H366" s="81"/>
      <c r="I366" s="81"/>
      <c r="J366" s="7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spans="1:30" ht="25.5" customHeight="1">
      <c r="A367" s="32"/>
      <c r="B367" s="32"/>
      <c r="C367" s="32"/>
      <c r="D367" s="32"/>
      <c r="E367" s="32"/>
      <c r="F367" s="32"/>
      <c r="G367" s="81"/>
      <c r="H367" s="81"/>
      <c r="I367" s="81"/>
      <c r="J367" s="7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spans="1:30" ht="25.5" customHeight="1">
      <c r="A368" s="32"/>
      <c r="B368" s="32"/>
      <c r="C368" s="32"/>
      <c r="D368" s="32"/>
      <c r="E368" s="32"/>
      <c r="F368" s="32"/>
      <c r="G368" s="81"/>
      <c r="H368" s="81"/>
      <c r="I368" s="81"/>
      <c r="J368" s="7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spans="1:30" ht="25.5" customHeight="1">
      <c r="A369" s="32"/>
      <c r="B369" s="32"/>
      <c r="C369" s="32"/>
      <c r="D369" s="32"/>
      <c r="E369" s="32"/>
      <c r="F369" s="32"/>
      <c r="G369" s="81"/>
      <c r="H369" s="81"/>
      <c r="I369" s="81"/>
      <c r="J369" s="7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spans="1:30" ht="25.5" customHeight="1">
      <c r="A370" s="32"/>
      <c r="B370" s="32"/>
      <c r="C370" s="32"/>
      <c r="D370" s="32"/>
      <c r="E370" s="32"/>
      <c r="F370" s="32"/>
      <c r="G370" s="81"/>
      <c r="H370" s="81"/>
      <c r="I370" s="81"/>
      <c r="J370" s="7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spans="1:30" ht="25.5" customHeight="1">
      <c r="A371" s="32"/>
      <c r="B371" s="32"/>
      <c r="C371" s="32"/>
      <c r="D371" s="32"/>
      <c r="E371" s="32"/>
      <c r="F371" s="32"/>
      <c r="G371" s="81"/>
      <c r="H371" s="81"/>
      <c r="I371" s="81"/>
      <c r="J371" s="7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spans="1:30" ht="25.5" customHeight="1">
      <c r="A372" s="32"/>
      <c r="B372" s="32"/>
      <c r="C372" s="32"/>
      <c r="D372" s="32"/>
      <c r="E372" s="32"/>
      <c r="F372" s="32"/>
      <c r="G372" s="81"/>
      <c r="H372" s="81"/>
      <c r="I372" s="81"/>
      <c r="J372" s="7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spans="1:30" ht="25.5" customHeight="1">
      <c r="A373" s="32"/>
      <c r="B373" s="32"/>
      <c r="C373" s="32"/>
      <c r="D373" s="32"/>
      <c r="E373" s="32"/>
      <c r="F373" s="32"/>
      <c r="G373" s="81"/>
      <c r="H373" s="81"/>
      <c r="I373" s="81"/>
      <c r="J373" s="7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spans="1:30" ht="25.5" customHeight="1">
      <c r="A374" s="32"/>
      <c r="B374" s="32"/>
      <c r="C374" s="32"/>
      <c r="D374" s="32"/>
      <c r="E374" s="32"/>
      <c r="F374" s="32"/>
      <c r="G374" s="81"/>
      <c r="H374" s="81"/>
      <c r="I374" s="81"/>
      <c r="J374" s="7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spans="1:30" ht="25.5" customHeight="1">
      <c r="A375" s="32"/>
      <c r="B375" s="32"/>
      <c r="C375" s="32"/>
      <c r="D375" s="32"/>
      <c r="E375" s="32"/>
      <c r="F375" s="32"/>
      <c r="G375" s="81"/>
      <c r="H375" s="81"/>
      <c r="I375" s="81"/>
      <c r="J375" s="7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spans="1:30" ht="25.5" customHeight="1">
      <c r="A376" s="32"/>
      <c r="B376" s="32"/>
      <c r="C376" s="32"/>
      <c r="D376" s="32"/>
      <c r="E376" s="32"/>
      <c r="F376" s="32"/>
      <c r="G376" s="81"/>
      <c r="H376" s="81"/>
      <c r="I376" s="81"/>
      <c r="J376" s="7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spans="1:30" ht="25.5" customHeight="1">
      <c r="A377" s="32"/>
      <c r="B377" s="32"/>
      <c r="C377" s="32"/>
      <c r="D377" s="32"/>
      <c r="E377" s="32"/>
      <c r="F377" s="32"/>
      <c r="G377" s="81"/>
      <c r="H377" s="81"/>
      <c r="I377" s="81"/>
      <c r="J377" s="7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spans="1:30" ht="25.5" customHeight="1">
      <c r="A378" s="32"/>
      <c r="B378" s="32"/>
      <c r="C378" s="32"/>
      <c r="D378" s="32"/>
      <c r="E378" s="32"/>
      <c r="F378" s="32"/>
      <c r="G378" s="81"/>
      <c r="H378" s="81"/>
      <c r="I378" s="81"/>
      <c r="J378" s="7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spans="1:30" ht="25.5" customHeight="1">
      <c r="A379" s="32"/>
      <c r="B379" s="32"/>
      <c r="C379" s="32"/>
      <c r="D379" s="32"/>
      <c r="E379" s="32"/>
      <c r="F379" s="32"/>
      <c r="G379" s="81"/>
      <c r="H379" s="81"/>
      <c r="I379" s="81"/>
      <c r="J379" s="7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spans="1:30" ht="25.5" customHeight="1">
      <c r="A380" s="32"/>
      <c r="B380" s="32"/>
      <c r="C380" s="32"/>
      <c r="D380" s="32"/>
      <c r="E380" s="32"/>
      <c r="F380" s="32"/>
      <c r="G380" s="81"/>
      <c r="H380" s="81"/>
      <c r="I380" s="81"/>
      <c r="J380" s="7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spans="1:30" ht="25.5" customHeight="1">
      <c r="A381" s="32"/>
      <c r="B381" s="32"/>
      <c r="C381" s="32"/>
      <c r="D381" s="32"/>
      <c r="E381" s="32"/>
      <c r="F381" s="32"/>
      <c r="G381" s="81"/>
      <c r="H381" s="81"/>
      <c r="I381" s="81"/>
      <c r="J381" s="7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spans="1:30" ht="25.5" customHeight="1">
      <c r="A382" s="32"/>
      <c r="B382" s="32"/>
      <c r="C382" s="32"/>
      <c r="D382" s="32"/>
      <c r="E382" s="32"/>
      <c r="F382" s="32"/>
      <c r="G382" s="81"/>
      <c r="H382" s="81"/>
      <c r="I382" s="81"/>
      <c r="J382" s="7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spans="1:30" ht="25.5" customHeight="1">
      <c r="A383" s="32"/>
      <c r="B383" s="32"/>
      <c r="C383" s="32"/>
      <c r="D383" s="32"/>
      <c r="E383" s="32"/>
      <c r="F383" s="32"/>
      <c r="G383" s="81"/>
      <c r="H383" s="81"/>
      <c r="I383" s="81"/>
      <c r="J383" s="7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spans="1:30" ht="25.5" customHeight="1">
      <c r="A384" s="32"/>
      <c r="B384" s="32"/>
      <c r="C384" s="32"/>
      <c r="D384" s="32"/>
      <c r="E384" s="32"/>
      <c r="F384" s="32"/>
      <c r="G384" s="81"/>
      <c r="H384" s="81"/>
      <c r="I384" s="81"/>
      <c r="J384" s="7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spans="1:30" ht="25.5" customHeight="1">
      <c r="A385" s="32"/>
      <c r="B385" s="32"/>
      <c r="C385" s="32"/>
      <c r="D385" s="32"/>
      <c r="E385" s="32"/>
      <c r="F385" s="32"/>
      <c r="G385" s="81"/>
      <c r="H385" s="81"/>
      <c r="I385" s="81"/>
      <c r="J385" s="7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spans="1:30" ht="25.5" customHeight="1">
      <c r="A386" s="32"/>
      <c r="B386" s="32"/>
      <c r="C386" s="32"/>
      <c r="D386" s="32"/>
      <c r="E386" s="32"/>
      <c r="F386" s="32"/>
      <c r="G386" s="81"/>
      <c r="H386" s="81"/>
      <c r="I386" s="81"/>
      <c r="J386" s="7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spans="1:30" ht="25.5" customHeight="1">
      <c r="A387" s="32"/>
      <c r="B387" s="32"/>
      <c r="C387" s="32"/>
      <c r="D387" s="32"/>
      <c r="E387" s="32"/>
      <c r="F387" s="32"/>
      <c r="G387" s="81"/>
      <c r="H387" s="81"/>
      <c r="I387" s="81"/>
      <c r="J387" s="7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spans="1:30" ht="25.5" customHeight="1">
      <c r="A388" s="32"/>
      <c r="B388" s="32"/>
      <c r="C388" s="32"/>
      <c r="D388" s="32"/>
      <c r="E388" s="32"/>
      <c r="F388" s="32"/>
      <c r="G388" s="81"/>
      <c r="H388" s="81"/>
      <c r="I388" s="81"/>
      <c r="J388" s="7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spans="1:30" ht="25.5" customHeight="1">
      <c r="A389" s="32"/>
      <c r="B389" s="32"/>
      <c r="C389" s="32"/>
      <c r="D389" s="32"/>
      <c r="E389" s="32"/>
      <c r="F389" s="32"/>
      <c r="G389" s="81"/>
      <c r="H389" s="81"/>
      <c r="I389" s="81"/>
      <c r="J389" s="7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spans="1:30" ht="25.5" customHeight="1">
      <c r="A390" s="32"/>
      <c r="B390" s="32"/>
      <c r="C390" s="32"/>
      <c r="D390" s="32"/>
      <c r="E390" s="32"/>
      <c r="F390" s="32"/>
      <c r="G390" s="81"/>
      <c r="H390" s="81"/>
      <c r="I390" s="81"/>
      <c r="J390" s="7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spans="1:30" ht="25.5" customHeight="1">
      <c r="A391" s="32"/>
      <c r="B391" s="32"/>
      <c r="C391" s="32"/>
      <c r="D391" s="32"/>
      <c r="E391" s="32"/>
      <c r="F391" s="32"/>
      <c r="G391" s="81"/>
      <c r="H391" s="81"/>
      <c r="I391" s="81"/>
      <c r="J391" s="7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spans="1:30" ht="25.5" customHeight="1">
      <c r="A392" s="32"/>
      <c r="B392" s="32"/>
      <c r="C392" s="32"/>
      <c r="D392" s="32"/>
      <c r="E392" s="32"/>
      <c r="F392" s="32"/>
      <c r="G392" s="81"/>
      <c r="H392" s="81"/>
      <c r="I392" s="81"/>
      <c r="J392" s="7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spans="1:30" ht="25.5" customHeight="1">
      <c r="A393" s="32"/>
      <c r="B393" s="32"/>
      <c r="C393" s="32"/>
      <c r="D393" s="32"/>
      <c r="E393" s="32"/>
      <c r="F393" s="32"/>
      <c r="G393" s="81"/>
      <c r="H393" s="81"/>
      <c r="I393" s="81"/>
      <c r="J393" s="7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spans="1:30" ht="25.5" customHeight="1">
      <c r="A394" s="32"/>
      <c r="B394" s="32"/>
      <c r="C394" s="32"/>
      <c r="D394" s="32"/>
      <c r="E394" s="32"/>
      <c r="F394" s="32"/>
      <c r="G394" s="81"/>
      <c r="H394" s="81"/>
      <c r="I394" s="81"/>
      <c r="J394" s="7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spans="1:30" ht="25.5" customHeight="1">
      <c r="A395" s="32"/>
      <c r="B395" s="32"/>
      <c r="C395" s="32"/>
      <c r="D395" s="32"/>
      <c r="E395" s="32"/>
      <c r="F395" s="32"/>
      <c r="G395" s="81"/>
      <c r="H395" s="81"/>
      <c r="I395" s="81"/>
      <c r="J395" s="7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spans="1:30" ht="25.5" customHeight="1">
      <c r="A396" s="32"/>
      <c r="B396" s="32"/>
      <c r="C396" s="32"/>
      <c r="D396" s="32"/>
      <c r="E396" s="32"/>
      <c r="F396" s="32"/>
      <c r="G396" s="81"/>
      <c r="H396" s="81"/>
      <c r="I396" s="81"/>
      <c r="J396" s="7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spans="1:30" ht="25.5" customHeight="1">
      <c r="A397" s="32"/>
      <c r="B397" s="32"/>
      <c r="C397" s="32"/>
      <c r="D397" s="32"/>
      <c r="E397" s="32"/>
      <c r="F397" s="32"/>
      <c r="G397" s="81"/>
      <c r="H397" s="81"/>
      <c r="I397" s="81"/>
      <c r="J397" s="7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25.5" customHeight="1">
      <c r="A398" s="32"/>
      <c r="B398" s="32"/>
      <c r="C398" s="32"/>
      <c r="D398" s="32"/>
      <c r="E398" s="32"/>
      <c r="F398" s="32"/>
      <c r="G398" s="81"/>
      <c r="H398" s="81"/>
      <c r="I398" s="81"/>
      <c r="J398" s="7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spans="1:30" ht="25.5" customHeight="1">
      <c r="A399" s="32"/>
      <c r="B399" s="32"/>
      <c r="C399" s="32"/>
      <c r="D399" s="32"/>
      <c r="E399" s="32"/>
      <c r="F399" s="32"/>
      <c r="G399" s="81"/>
      <c r="H399" s="81"/>
      <c r="I399" s="81"/>
      <c r="J399" s="7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spans="1:30" ht="25.5" customHeight="1">
      <c r="A400" s="32"/>
      <c r="B400" s="32"/>
      <c r="C400" s="32"/>
      <c r="D400" s="32"/>
      <c r="E400" s="32"/>
      <c r="F400" s="32"/>
      <c r="G400" s="81"/>
      <c r="H400" s="81"/>
      <c r="I400" s="81"/>
      <c r="J400" s="7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spans="1:30" ht="25.5" customHeight="1">
      <c r="A401" s="32"/>
      <c r="B401" s="32"/>
      <c r="C401" s="32"/>
      <c r="D401" s="32"/>
      <c r="E401" s="32"/>
      <c r="F401" s="32"/>
      <c r="G401" s="81"/>
      <c r="H401" s="81"/>
      <c r="I401" s="81"/>
      <c r="J401" s="7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spans="1:30" ht="25.5" customHeight="1">
      <c r="A402" s="32"/>
      <c r="B402" s="32"/>
      <c r="C402" s="32"/>
      <c r="D402" s="32"/>
      <c r="E402" s="32"/>
      <c r="F402" s="32"/>
      <c r="G402" s="81"/>
      <c r="H402" s="81"/>
      <c r="I402" s="81"/>
      <c r="J402" s="7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spans="1:30" ht="25.5" customHeight="1">
      <c r="A403" s="32"/>
      <c r="B403" s="32"/>
      <c r="C403" s="32"/>
      <c r="D403" s="32"/>
      <c r="E403" s="32"/>
      <c r="F403" s="32"/>
      <c r="G403" s="81"/>
      <c r="H403" s="81"/>
      <c r="I403" s="81"/>
      <c r="J403" s="7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spans="1:30" ht="25.5" customHeight="1">
      <c r="A404" s="32"/>
      <c r="B404" s="32"/>
      <c r="C404" s="32"/>
      <c r="D404" s="32"/>
      <c r="E404" s="32"/>
      <c r="F404" s="32"/>
      <c r="G404" s="81"/>
      <c r="H404" s="81"/>
      <c r="I404" s="81"/>
      <c r="J404" s="7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spans="1:30" ht="25.5" customHeight="1">
      <c r="A405" s="32"/>
      <c r="B405" s="32"/>
      <c r="C405" s="32"/>
      <c r="D405" s="32"/>
      <c r="E405" s="32"/>
      <c r="F405" s="32"/>
      <c r="G405" s="81"/>
      <c r="H405" s="81"/>
      <c r="I405" s="81"/>
      <c r="J405" s="7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spans="1:30" ht="25.5" customHeight="1">
      <c r="A406" s="32"/>
      <c r="B406" s="32"/>
      <c r="C406" s="32"/>
      <c r="D406" s="32"/>
      <c r="E406" s="32"/>
      <c r="F406" s="32"/>
      <c r="G406" s="81"/>
      <c r="H406" s="81"/>
      <c r="I406" s="81"/>
      <c r="J406" s="7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spans="1:30" ht="25.5" customHeight="1">
      <c r="A407" s="32"/>
      <c r="B407" s="32"/>
      <c r="C407" s="32"/>
      <c r="D407" s="32"/>
      <c r="E407" s="32"/>
      <c r="F407" s="32"/>
      <c r="G407" s="81"/>
      <c r="H407" s="81"/>
      <c r="I407" s="81"/>
      <c r="J407" s="7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spans="1:30" ht="25.5" customHeight="1">
      <c r="A408" s="32"/>
      <c r="B408" s="32"/>
      <c r="C408" s="32"/>
      <c r="D408" s="32"/>
      <c r="E408" s="32"/>
      <c r="F408" s="32"/>
      <c r="G408" s="81"/>
      <c r="H408" s="81"/>
      <c r="I408" s="81"/>
      <c r="J408" s="7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spans="1:30" ht="25.5" customHeight="1">
      <c r="A409" s="32"/>
      <c r="B409" s="32"/>
      <c r="C409" s="32"/>
      <c r="D409" s="32"/>
      <c r="E409" s="32"/>
      <c r="F409" s="32"/>
      <c r="G409" s="81"/>
      <c r="H409" s="81"/>
      <c r="I409" s="81"/>
      <c r="J409" s="7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spans="1:30" ht="25.5" customHeight="1">
      <c r="A410" s="32"/>
      <c r="B410" s="32"/>
      <c r="C410" s="32"/>
      <c r="D410" s="32"/>
      <c r="E410" s="32"/>
      <c r="F410" s="32"/>
      <c r="G410" s="81"/>
      <c r="H410" s="81"/>
      <c r="I410" s="81"/>
      <c r="J410" s="7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spans="1:30" ht="25.5" customHeight="1">
      <c r="A411" s="32"/>
      <c r="B411" s="32"/>
      <c r="C411" s="32"/>
      <c r="D411" s="32"/>
      <c r="E411" s="32"/>
      <c r="F411" s="32"/>
      <c r="G411" s="81"/>
      <c r="H411" s="81"/>
      <c r="I411" s="81"/>
      <c r="J411" s="7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spans="1:30" ht="25.5" customHeight="1">
      <c r="A412" s="32"/>
      <c r="B412" s="32"/>
      <c r="C412" s="32"/>
      <c r="D412" s="32"/>
      <c r="E412" s="32"/>
      <c r="F412" s="32"/>
      <c r="G412" s="81"/>
      <c r="H412" s="81"/>
      <c r="I412" s="81"/>
      <c r="J412" s="7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spans="1:30" ht="25.5" customHeight="1">
      <c r="A413" s="32"/>
      <c r="B413" s="32"/>
      <c r="C413" s="32"/>
      <c r="D413" s="32"/>
      <c r="E413" s="32"/>
      <c r="F413" s="32"/>
      <c r="G413" s="81"/>
      <c r="H413" s="81"/>
      <c r="I413" s="81"/>
      <c r="J413" s="7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spans="1:30" ht="25.5" customHeight="1">
      <c r="A414" s="32"/>
      <c r="B414" s="32"/>
      <c r="C414" s="32"/>
      <c r="D414" s="32"/>
      <c r="E414" s="32"/>
      <c r="F414" s="32"/>
      <c r="G414" s="81"/>
      <c r="H414" s="81"/>
      <c r="I414" s="81"/>
      <c r="J414" s="7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spans="1:30" ht="25.5" customHeight="1">
      <c r="A415" s="32"/>
      <c r="B415" s="32"/>
      <c r="C415" s="32"/>
      <c r="D415" s="32"/>
      <c r="E415" s="32"/>
      <c r="F415" s="32"/>
      <c r="G415" s="81"/>
      <c r="H415" s="81"/>
      <c r="I415" s="81"/>
      <c r="J415" s="7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spans="1:30" ht="25.5" customHeight="1">
      <c r="A416" s="32"/>
      <c r="B416" s="32"/>
      <c r="C416" s="32"/>
      <c r="D416" s="32"/>
      <c r="E416" s="32"/>
      <c r="F416" s="32"/>
      <c r="G416" s="81"/>
      <c r="H416" s="81"/>
      <c r="I416" s="81"/>
      <c r="J416" s="7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spans="1:30" ht="25.5" customHeight="1">
      <c r="A417" s="32"/>
      <c r="B417" s="32"/>
      <c r="C417" s="32"/>
      <c r="D417" s="32"/>
      <c r="E417" s="32"/>
      <c r="F417" s="32"/>
      <c r="G417" s="81"/>
      <c r="H417" s="81"/>
      <c r="I417" s="81"/>
      <c r="J417" s="7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spans="1:30" ht="25.5" customHeight="1">
      <c r="A418" s="32"/>
      <c r="B418" s="32"/>
      <c r="C418" s="32"/>
      <c r="D418" s="32"/>
      <c r="E418" s="32"/>
      <c r="F418" s="32"/>
      <c r="G418" s="81"/>
      <c r="H418" s="81"/>
      <c r="I418" s="81"/>
      <c r="J418" s="7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spans="1:30" ht="25.5" customHeight="1">
      <c r="A419" s="32"/>
      <c r="B419" s="32"/>
      <c r="C419" s="32"/>
      <c r="D419" s="32"/>
      <c r="E419" s="32"/>
      <c r="F419" s="32"/>
      <c r="G419" s="81"/>
      <c r="H419" s="81"/>
      <c r="I419" s="81"/>
      <c r="J419" s="7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spans="1:30" ht="25.5" customHeight="1">
      <c r="A420" s="32"/>
      <c r="B420" s="32"/>
      <c r="C420" s="32"/>
      <c r="D420" s="32"/>
      <c r="E420" s="32"/>
      <c r="F420" s="32"/>
      <c r="G420" s="81"/>
      <c r="H420" s="81"/>
      <c r="I420" s="81"/>
      <c r="J420" s="7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spans="1:30" ht="25.5" customHeight="1">
      <c r="A421" s="32"/>
      <c r="B421" s="32"/>
      <c r="C421" s="32"/>
      <c r="D421" s="32"/>
      <c r="E421" s="32"/>
      <c r="F421" s="32"/>
      <c r="G421" s="81"/>
      <c r="H421" s="81"/>
      <c r="I421" s="81"/>
      <c r="J421" s="7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spans="1:30" ht="25.5" customHeight="1">
      <c r="A422" s="32"/>
      <c r="B422" s="32"/>
      <c r="C422" s="32"/>
      <c r="D422" s="32"/>
      <c r="E422" s="32"/>
      <c r="F422" s="32"/>
      <c r="G422" s="81"/>
      <c r="H422" s="81"/>
      <c r="I422" s="81"/>
      <c r="J422" s="7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spans="1:30" ht="25.5" customHeight="1">
      <c r="A423" s="32"/>
      <c r="B423" s="32"/>
      <c r="C423" s="32"/>
      <c r="D423" s="32"/>
      <c r="E423" s="32"/>
      <c r="F423" s="32"/>
      <c r="G423" s="81"/>
      <c r="H423" s="81"/>
      <c r="I423" s="81"/>
      <c r="J423" s="7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spans="1:30" ht="25.5" customHeight="1">
      <c r="A424" s="32"/>
      <c r="B424" s="32"/>
      <c r="C424" s="32"/>
      <c r="D424" s="32"/>
      <c r="E424" s="32"/>
      <c r="F424" s="32"/>
      <c r="G424" s="81"/>
      <c r="H424" s="81"/>
      <c r="I424" s="81"/>
      <c r="J424" s="7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spans="1:30" ht="25.5" customHeight="1">
      <c r="A425" s="32"/>
      <c r="B425" s="32"/>
      <c r="C425" s="32"/>
      <c r="D425" s="32"/>
      <c r="E425" s="32"/>
      <c r="F425" s="32"/>
      <c r="G425" s="81"/>
      <c r="H425" s="81"/>
      <c r="I425" s="81"/>
      <c r="J425" s="7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spans="1:30" ht="25.5" customHeight="1">
      <c r="A426" s="32"/>
      <c r="B426" s="32"/>
      <c r="C426" s="32"/>
      <c r="D426" s="32"/>
      <c r="E426" s="32"/>
      <c r="F426" s="32"/>
      <c r="G426" s="81"/>
      <c r="H426" s="81"/>
      <c r="I426" s="81"/>
      <c r="J426" s="7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spans="1:30" ht="25.5" customHeight="1">
      <c r="A427" s="32"/>
      <c r="B427" s="32"/>
      <c r="C427" s="32"/>
      <c r="D427" s="32"/>
      <c r="E427" s="32"/>
      <c r="F427" s="32"/>
      <c r="G427" s="81"/>
      <c r="H427" s="81"/>
      <c r="I427" s="81"/>
      <c r="J427" s="7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spans="1:30" ht="25.5" customHeight="1">
      <c r="A428" s="32"/>
      <c r="B428" s="32"/>
      <c r="C428" s="32"/>
      <c r="D428" s="32"/>
      <c r="E428" s="32"/>
      <c r="F428" s="32"/>
      <c r="G428" s="81"/>
      <c r="H428" s="81"/>
      <c r="I428" s="81"/>
      <c r="J428" s="7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spans="1:30" ht="25.5" customHeight="1">
      <c r="A429" s="32"/>
      <c r="B429" s="32"/>
      <c r="C429" s="32"/>
      <c r="D429" s="32"/>
      <c r="E429" s="32"/>
      <c r="F429" s="32"/>
      <c r="G429" s="81"/>
      <c r="H429" s="81"/>
      <c r="I429" s="81"/>
      <c r="J429" s="7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spans="1:30" ht="25.5" customHeight="1">
      <c r="A430" s="32"/>
      <c r="B430" s="32"/>
      <c r="C430" s="32"/>
      <c r="D430" s="32"/>
      <c r="E430" s="32"/>
      <c r="F430" s="32"/>
      <c r="G430" s="81"/>
      <c r="H430" s="81"/>
      <c r="I430" s="81"/>
      <c r="J430" s="7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spans="1:30" ht="25.5" customHeight="1">
      <c r="A431" s="32"/>
      <c r="B431" s="32"/>
      <c r="C431" s="32"/>
      <c r="D431" s="32"/>
      <c r="E431" s="32"/>
      <c r="F431" s="32"/>
      <c r="G431" s="81"/>
      <c r="H431" s="81"/>
      <c r="I431" s="81"/>
      <c r="J431" s="7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spans="1:30" ht="25.5" customHeight="1">
      <c r="A432" s="32"/>
      <c r="B432" s="32"/>
      <c r="C432" s="32"/>
      <c r="D432" s="32"/>
      <c r="E432" s="32"/>
      <c r="F432" s="32"/>
      <c r="G432" s="81"/>
      <c r="H432" s="81"/>
      <c r="I432" s="81"/>
      <c r="J432" s="7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spans="1:30" ht="25.5" customHeight="1">
      <c r="A433" s="32"/>
      <c r="B433" s="32"/>
      <c r="C433" s="32"/>
      <c r="D433" s="32"/>
      <c r="E433" s="32"/>
      <c r="F433" s="32"/>
      <c r="G433" s="81"/>
      <c r="H433" s="81"/>
      <c r="I433" s="81"/>
      <c r="J433" s="7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spans="1:30" ht="25.5" customHeight="1">
      <c r="A434" s="32"/>
      <c r="B434" s="32"/>
      <c r="C434" s="32"/>
      <c r="D434" s="32"/>
      <c r="E434" s="32"/>
      <c r="F434" s="32"/>
      <c r="G434" s="81"/>
      <c r="H434" s="81"/>
      <c r="I434" s="81"/>
      <c r="J434" s="7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spans="1:30" ht="25.5" customHeight="1">
      <c r="A435" s="32"/>
      <c r="B435" s="32"/>
      <c r="C435" s="32"/>
      <c r="D435" s="32"/>
      <c r="E435" s="32"/>
      <c r="F435" s="32"/>
      <c r="G435" s="81"/>
      <c r="H435" s="81"/>
      <c r="I435" s="81"/>
      <c r="J435" s="7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spans="1:30" ht="25.5" customHeight="1">
      <c r="A436" s="32"/>
      <c r="B436" s="32"/>
      <c r="C436" s="32"/>
      <c r="D436" s="32"/>
      <c r="E436" s="32"/>
      <c r="F436" s="32"/>
      <c r="G436" s="81"/>
      <c r="H436" s="81"/>
      <c r="I436" s="81"/>
      <c r="J436" s="7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spans="1:30" ht="25.5" customHeight="1">
      <c r="A437" s="32"/>
      <c r="B437" s="32"/>
      <c r="C437" s="32"/>
      <c r="D437" s="32"/>
      <c r="E437" s="32"/>
      <c r="F437" s="32"/>
      <c r="G437" s="81"/>
      <c r="H437" s="81"/>
      <c r="I437" s="81"/>
      <c r="J437" s="7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spans="1:30" ht="25.5" customHeight="1">
      <c r="A438" s="32"/>
      <c r="B438" s="32"/>
      <c r="C438" s="32"/>
      <c r="D438" s="32"/>
      <c r="E438" s="32"/>
      <c r="F438" s="32"/>
      <c r="G438" s="81"/>
      <c r="H438" s="81"/>
      <c r="I438" s="81"/>
      <c r="J438" s="7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spans="1:30" ht="25.5" customHeight="1">
      <c r="A439" s="32"/>
      <c r="B439" s="32"/>
      <c r="C439" s="32"/>
      <c r="D439" s="32"/>
      <c r="E439" s="32"/>
      <c r="F439" s="32"/>
      <c r="G439" s="81"/>
      <c r="H439" s="81"/>
      <c r="I439" s="81"/>
      <c r="J439" s="7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spans="1:30" ht="25.5" customHeight="1">
      <c r="A440" s="32"/>
      <c r="B440" s="32"/>
      <c r="C440" s="32"/>
      <c r="D440" s="32"/>
      <c r="E440" s="32"/>
      <c r="F440" s="32"/>
      <c r="G440" s="81"/>
      <c r="H440" s="81"/>
      <c r="I440" s="81"/>
      <c r="J440" s="7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spans="1:30" ht="25.5" customHeight="1">
      <c r="A441" s="32"/>
      <c r="B441" s="32"/>
      <c r="C441" s="32"/>
      <c r="D441" s="32"/>
      <c r="E441" s="32"/>
      <c r="F441" s="32"/>
      <c r="G441" s="81"/>
      <c r="H441" s="81"/>
      <c r="I441" s="81"/>
      <c r="J441" s="7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spans="1:30" ht="25.5" customHeight="1">
      <c r="A442" s="32"/>
      <c r="B442" s="32"/>
      <c r="C442" s="32"/>
      <c r="D442" s="32"/>
      <c r="E442" s="32"/>
      <c r="F442" s="32"/>
      <c r="G442" s="81"/>
      <c r="H442" s="81"/>
      <c r="I442" s="81"/>
      <c r="J442" s="7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spans="1:30" ht="25.5" customHeight="1">
      <c r="A443" s="32"/>
      <c r="B443" s="32"/>
      <c r="C443" s="32"/>
      <c r="D443" s="32"/>
      <c r="E443" s="32"/>
      <c r="F443" s="32"/>
      <c r="G443" s="81"/>
      <c r="H443" s="81"/>
      <c r="I443" s="81"/>
      <c r="J443" s="7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spans="1:30" ht="25.5" customHeight="1">
      <c r="A444" s="32"/>
      <c r="B444" s="32"/>
      <c r="C444" s="32"/>
      <c r="D444" s="32"/>
      <c r="E444" s="32"/>
      <c r="F444" s="32"/>
      <c r="G444" s="81"/>
      <c r="H444" s="81"/>
      <c r="I444" s="81"/>
      <c r="J444" s="7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spans="1:30" ht="25.5" customHeight="1">
      <c r="A445" s="32"/>
      <c r="B445" s="32"/>
      <c r="C445" s="32"/>
      <c r="D445" s="32"/>
      <c r="E445" s="32"/>
      <c r="F445" s="32"/>
      <c r="G445" s="81"/>
      <c r="H445" s="81"/>
      <c r="I445" s="81"/>
      <c r="J445" s="7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spans="1:30" ht="25.5" customHeight="1">
      <c r="A446" s="32"/>
      <c r="B446" s="32"/>
      <c r="C446" s="32"/>
      <c r="D446" s="32"/>
      <c r="E446" s="32"/>
      <c r="F446" s="32"/>
      <c r="G446" s="81"/>
      <c r="H446" s="81"/>
      <c r="I446" s="81"/>
      <c r="J446" s="7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spans="1:30" ht="25.5" customHeight="1">
      <c r="A447" s="32"/>
      <c r="B447" s="32"/>
      <c r="C447" s="32"/>
      <c r="D447" s="32"/>
      <c r="E447" s="32"/>
      <c r="F447" s="32"/>
      <c r="G447" s="81"/>
      <c r="H447" s="81"/>
      <c r="I447" s="81"/>
      <c r="J447" s="7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spans="1:30" ht="25.5" customHeight="1">
      <c r="A448" s="32"/>
      <c r="B448" s="32"/>
      <c r="C448" s="32"/>
      <c r="D448" s="32"/>
      <c r="E448" s="32"/>
      <c r="F448" s="32"/>
      <c r="G448" s="81"/>
      <c r="H448" s="81"/>
      <c r="I448" s="81"/>
      <c r="J448" s="7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spans="1:30" ht="25.5" customHeight="1">
      <c r="A449" s="32"/>
      <c r="B449" s="32"/>
      <c r="C449" s="32"/>
      <c r="D449" s="32"/>
      <c r="E449" s="32"/>
      <c r="F449" s="32"/>
      <c r="G449" s="81"/>
      <c r="H449" s="81"/>
      <c r="I449" s="81"/>
      <c r="J449" s="7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spans="1:30" ht="25.5" customHeight="1">
      <c r="A450" s="32"/>
      <c r="B450" s="32"/>
      <c r="C450" s="32"/>
      <c r="D450" s="32"/>
      <c r="E450" s="32"/>
      <c r="F450" s="32"/>
      <c r="G450" s="81"/>
      <c r="H450" s="81"/>
      <c r="I450" s="81"/>
      <c r="J450" s="7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spans="1:30" ht="25.5" customHeight="1">
      <c r="A451" s="32"/>
      <c r="B451" s="32"/>
      <c r="C451" s="32"/>
      <c r="D451" s="32"/>
      <c r="E451" s="32"/>
      <c r="F451" s="32"/>
      <c r="G451" s="81"/>
      <c r="H451" s="81"/>
      <c r="I451" s="81"/>
      <c r="J451" s="7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spans="1:30" ht="25.5" customHeight="1">
      <c r="A452" s="32"/>
      <c r="B452" s="32"/>
      <c r="C452" s="32"/>
      <c r="D452" s="32"/>
      <c r="E452" s="32"/>
      <c r="F452" s="32"/>
      <c r="G452" s="81"/>
      <c r="H452" s="81"/>
      <c r="I452" s="81"/>
      <c r="J452" s="7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spans="1:30" ht="25.5" customHeight="1">
      <c r="A453" s="32"/>
      <c r="B453" s="32"/>
      <c r="C453" s="32"/>
      <c r="D453" s="32"/>
      <c r="E453" s="32"/>
      <c r="F453" s="32"/>
      <c r="G453" s="81"/>
      <c r="H453" s="81"/>
      <c r="I453" s="81"/>
      <c r="J453" s="7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spans="1:30" ht="25.5" customHeight="1">
      <c r="A454" s="32"/>
      <c r="B454" s="32"/>
      <c r="C454" s="32"/>
      <c r="D454" s="32"/>
      <c r="E454" s="32"/>
      <c r="F454" s="32"/>
      <c r="G454" s="81"/>
      <c r="H454" s="81"/>
      <c r="I454" s="81"/>
      <c r="J454" s="7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spans="1:30" ht="25.5" customHeight="1">
      <c r="A455" s="32"/>
      <c r="B455" s="32"/>
      <c r="C455" s="32"/>
      <c r="D455" s="32"/>
      <c r="E455" s="32"/>
      <c r="F455" s="32"/>
      <c r="G455" s="81"/>
      <c r="H455" s="81"/>
      <c r="I455" s="81"/>
      <c r="J455" s="7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spans="1:30" ht="25.5" customHeight="1">
      <c r="A456" s="32"/>
      <c r="B456" s="32"/>
      <c r="C456" s="32"/>
      <c r="D456" s="32"/>
      <c r="E456" s="32"/>
      <c r="F456" s="32"/>
      <c r="G456" s="81"/>
      <c r="H456" s="81"/>
      <c r="I456" s="81"/>
      <c r="J456" s="7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spans="1:30" ht="25.5" customHeight="1">
      <c r="A457" s="32"/>
      <c r="B457" s="32"/>
      <c r="C457" s="32"/>
      <c r="D457" s="32"/>
      <c r="E457" s="32"/>
      <c r="F457" s="32"/>
      <c r="G457" s="81"/>
      <c r="H457" s="81"/>
      <c r="I457" s="81"/>
      <c r="J457" s="7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spans="1:30" ht="25.5" customHeight="1">
      <c r="A458" s="32"/>
      <c r="B458" s="32"/>
      <c r="C458" s="32"/>
      <c r="D458" s="32"/>
      <c r="E458" s="32"/>
      <c r="F458" s="32"/>
      <c r="G458" s="81"/>
      <c r="H458" s="81"/>
      <c r="I458" s="81"/>
      <c r="J458" s="7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spans="1:30" ht="25.5" customHeight="1">
      <c r="A459" s="32"/>
      <c r="B459" s="32"/>
      <c r="C459" s="32"/>
      <c r="D459" s="32"/>
      <c r="E459" s="32"/>
      <c r="F459" s="32"/>
      <c r="G459" s="81"/>
      <c r="H459" s="81"/>
      <c r="I459" s="81"/>
      <c r="J459" s="7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spans="1:30" ht="25.5" customHeight="1">
      <c r="A460" s="32"/>
      <c r="B460" s="32"/>
      <c r="C460" s="32"/>
      <c r="D460" s="32"/>
      <c r="E460" s="32"/>
      <c r="F460" s="32"/>
      <c r="G460" s="81"/>
      <c r="H460" s="81"/>
      <c r="I460" s="81"/>
      <c r="J460" s="7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spans="1:30" ht="25.5" customHeight="1">
      <c r="A461" s="32"/>
      <c r="B461" s="32"/>
      <c r="C461" s="32"/>
      <c r="D461" s="32"/>
      <c r="E461" s="32"/>
      <c r="F461" s="32"/>
      <c r="G461" s="81"/>
      <c r="H461" s="81"/>
      <c r="I461" s="81"/>
      <c r="J461" s="7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 ht="25.5" customHeight="1">
      <c r="A462" s="32"/>
      <c r="B462" s="32"/>
      <c r="C462" s="32"/>
      <c r="D462" s="32"/>
      <c r="E462" s="32"/>
      <c r="F462" s="32"/>
      <c r="G462" s="81"/>
      <c r="H462" s="81"/>
      <c r="I462" s="81"/>
      <c r="J462" s="7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spans="1:30" ht="25.5" customHeight="1">
      <c r="A463" s="32"/>
      <c r="B463" s="32"/>
      <c r="C463" s="32"/>
      <c r="D463" s="32"/>
      <c r="E463" s="32"/>
      <c r="F463" s="32"/>
      <c r="G463" s="81"/>
      <c r="H463" s="81"/>
      <c r="I463" s="81"/>
      <c r="J463" s="7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spans="1:30" ht="25.5" customHeight="1">
      <c r="A464" s="32"/>
      <c r="B464" s="32"/>
      <c r="C464" s="32"/>
      <c r="D464" s="32"/>
      <c r="E464" s="32"/>
      <c r="F464" s="32"/>
      <c r="G464" s="81"/>
      <c r="H464" s="81"/>
      <c r="I464" s="81"/>
      <c r="J464" s="7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spans="1:30" ht="25.5" customHeight="1">
      <c r="A465" s="32"/>
      <c r="B465" s="32"/>
      <c r="C465" s="32"/>
      <c r="D465" s="32"/>
      <c r="E465" s="32"/>
      <c r="F465" s="32"/>
      <c r="G465" s="81"/>
      <c r="H465" s="81"/>
      <c r="I465" s="81"/>
      <c r="J465" s="7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spans="1:30" ht="25.5" customHeight="1">
      <c r="A466" s="32"/>
      <c r="B466" s="32"/>
      <c r="C466" s="32"/>
      <c r="D466" s="32"/>
      <c r="E466" s="32"/>
      <c r="F466" s="32"/>
      <c r="G466" s="81"/>
      <c r="H466" s="81"/>
      <c r="I466" s="81"/>
      <c r="J466" s="7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spans="1:30" ht="25.5" customHeight="1">
      <c r="A467" s="32"/>
      <c r="B467" s="32"/>
      <c r="C467" s="32"/>
      <c r="D467" s="32"/>
      <c r="E467" s="32"/>
      <c r="F467" s="32"/>
      <c r="G467" s="81"/>
      <c r="H467" s="81"/>
      <c r="I467" s="81"/>
      <c r="J467" s="7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spans="1:30" ht="25.5" customHeight="1">
      <c r="A468" s="32"/>
      <c r="B468" s="32"/>
      <c r="C468" s="32"/>
      <c r="D468" s="32"/>
      <c r="E468" s="32"/>
      <c r="F468" s="32"/>
      <c r="G468" s="81"/>
      <c r="H468" s="81"/>
      <c r="I468" s="81"/>
      <c r="J468" s="7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spans="1:30" ht="25.5" customHeight="1">
      <c r="A469" s="32"/>
      <c r="B469" s="32"/>
      <c r="C469" s="32"/>
      <c r="D469" s="32"/>
      <c r="E469" s="32"/>
      <c r="F469" s="32"/>
      <c r="G469" s="81"/>
      <c r="H469" s="81"/>
      <c r="I469" s="81"/>
      <c r="J469" s="7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spans="1:30" ht="25.5" customHeight="1">
      <c r="A470" s="32"/>
      <c r="B470" s="32"/>
      <c r="C470" s="32"/>
      <c r="D470" s="32"/>
      <c r="E470" s="32"/>
      <c r="F470" s="32"/>
      <c r="G470" s="81"/>
      <c r="H470" s="81"/>
      <c r="I470" s="81"/>
      <c r="J470" s="7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spans="1:30" ht="25.5" customHeight="1">
      <c r="A471" s="32"/>
      <c r="B471" s="32"/>
      <c r="C471" s="32"/>
      <c r="D471" s="32"/>
      <c r="E471" s="32"/>
      <c r="F471" s="32"/>
      <c r="G471" s="81"/>
      <c r="H471" s="81"/>
      <c r="I471" s="81"/>
      <c r="J471" s="7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spans="1:30" ht="25.5" customHeight="1">
      <c r="A472" s="32"/>
      <c r="B472" s="32"/>
      <c r="C472" s="32"/>
      <c r="D472" s="32"/>
      <c r="E472" s="32"/>
      <c r="F472" s="32"/>
      <c r="G472" s="81"/>
      <c r="H472" s="81"/>
      <c r="I472" s="81"/>
      <c r="J472" s="7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spans="1:30" ht="25.5" customHeight="1">
      <c r="A473" s="32"/>
      <c r="B473" s="32"/>
      <c r="C473" s="32"/>
      <c r="D473" s="32"/>
      <c r="E473" s="32"/>
      <c r="F473" s="32"/>
      <c r="G473" s="81"/>
      <c r="H473" s="81"/>
      <c r="I473" s="81"/>
      <c r="J473" s="7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spans="1:30" ht="25.5" customHeight="1">
      <c r="A474" s="32"/>
      <c r="B474" s="32"/>
      <c r="C474" s="32"/>
      <c r="D474" s="32"/>
      <c r="E474" s="32"/>
      <c r="F474" s="32"/>
      <c r="G474" s="81"/>
      <c r="H474" s="81"/>
      <c r="I474" s="81"/>
      <c r="J474" s="7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spans="1:30" ht="25.5" customHeight="1">
      <c r="A475" s="32"/>
      <c r="B475" s="32"/>
      <c r="C475" s="32"/>
      <c r="D475" s="32"/>
      <c r="E475" s="32"/>
      <c r="F475" s="32"/>
      <c r="G475" s="81"/>
      <c r="H475" s="81"/>
      <c r="I475" s="81"/>
      <c r="J475" s="7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spans="1:30" ht="25.5" customHeight="1">
      <c r="A476" s="32"/>
      <c r="B476" s="32"/>
      <c r="C476" s="32"/>
      <c r="D476" s="32"/>
      <c r="E476" s="32"/>
      <c r="F476" s="32"/>
      <c r="G476" s="81"/>
      <c r="H476" s="81"/>
      <c r="I476" s="81"/>
      <c r="J476" s="7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spans="1:30" ht="25.5" customHeight="1">
      <c r="A477" s="32"/>
      <c r="B477" s="32"/>
      <c r="C477" s="32"/>
      <c r="D477" s="32"/>
      <c r="E477" s="32"/>
      <c r="F477" s="32"/>
      <c r="G477" s="81"/>
      <c r="H477" s="81"/>
      <c r="I477" s="81"/>
      <c r="J477" s="7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spans="1:30" ht="25.5" customHeight="1">
      <c r="A478" s="32"/>
      <c r="B478" s="32"/>
      <c r="C478" s="32"/>
      <c r="D478" s="32"/>
      <c r="E478" s="32"/>
      <c r="F478" s="32"/>
      <c r="G478" s="81"/>
      <c r="H478" s="81"/>
      <c r="I478" s="81"/>
      <c r="J478" s="7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spans="1:30" ht="25.5" customHeight="1">
      <c r="A479" s="32"/>
      <c r="B479" s="32"/>
      <c r="C479" s="32"/>
      <c r="D479" s="32"/>
      <c r="E479" s="32"/>
      <c r="F479" s="32"/>
      <c r="G479" s="81"/>
      <c r="H479" s="81"/>
      <c r="I479" s="81"/>
      <c r="J479" s="7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spans="1:30" ht="25.5" customHeight="1">
      <c r="A480" s="32"/>
      <c r="B480" s="32"/>
      <c r="C480" s="32"/>
      <c r="D480" s="32"/>
      <c r="E480" s="32"/>
      <c r="F480" s="32"/>
      <c r="G480" s="81"/>
      <c r="H480" s="81"/>
      <c r="I480" s="81"/>
      <c r="J480" s="7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spans="1:30" ht="25.5" customHeight="1">
      <c r="A481" s="32"/>
      <c r="B481" s="32"/>
      <c r="C481" s="32"/>
      <c r="D481" s="32"/>
      <c r="E481" s="32"/>
      <c r="F481" s="32"/>
      <c r="G481" s="81"/>
      <c r="H481" s="81"/>
      <c r="I481" s="81"/>
      <c r="J481" s="7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spans="1:30" ht="25.5" customHeight="1">
      <c r="A482" s="32"/>
      <c r="B482" s="32"/>
      <c r="C482" s="32"/>
      <c r="D482" s="32"/>
      <c r="E482" s="32"/>
      <c r="F482" s="32"/>
      <c r="G482" s="81"/>
      <c r="H482" s="81"/>
      <c r="I482" s="81"/>
      <c r="J482" s="7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spans="1:30" ht="25.5" customHeight="1">
      <c r="A483" s="32"/>
      <c r="B483" s="32"/>
      <c r="C483" s="32"/>
      <c r="D483" s="32"/>
      <c r="E483" s="32"/>
      <c r="F483" s="32"/>
      <c r="G483" s="81"/>
      <c r="H483" s="81"/>
      <c r="I483" s="81"/>
      <c r="J483" s="7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spans="1:30" ht="25.5" customHeight="1">
      <c r="A484" s="32"/>
      <c r="B484" s="32"/>
      <c r="C484" s="32"/>
      <c r="D484" s="32"/>
      <c r="E484" s="32"/>
      <c r="F484" s="32"/>
      <c r="G484" s="81"/>
      <c r="H484" s="81"/>
      <c r="I484" s="81"/>
      <c r="J484" s="7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spans="1:30" ht="25.5" customHeight="1">
      <c r="A485" s="32"/>
      <c r="B485" s="32"/>
      <c r="C485" s="32"/>
      <c r="D485" s="32"/>
      <c r="E485" s="32"/>
      <c r="F485" s="32"/>
      <c r="G485" s="81"/>
      <c r="H485" s="81"/>
      <c r="I485" s="81"/>
      <c r="J485" s="7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spans="1:30" ht="25.5" customHeight="1">
      <c r="A486" s="32"/>
      <c r="B486" s="32"/>
      <c r="C486" s="32"/>
      <c r="D486" s="32"/>
      <c r="E486" s="32"/>
      <c r="F486" s="32"/>
      <c r="G486" s="81"/>
      <c r="H486" s="81"/>
      <c r="I486" s="81"/>
      <c r="J486" s="7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spans="1:30" ht="25.5" customHeight="1">
      <c r="A487" s="32"/>
      <c r="B487" s="32"/>
      <c r="C487" s="32"/>
      <c r="D487" s="32"/>
      <c r="E487" s="32"/>
      <c r="F487" s="32"/>
      <c r="G487" s="81"/>
      <c r="H487" s="81"/>
      <c r="I487" s="81"/>
      <c r="J487" s="7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spans="1:30" ht="25.5" customHeight="1">
      <c r="A488" s="32"/>
      <c r="B488" s="32"/>
      <c r="C488" s="32"/>
      <c r="D488" s="32"/>
      <c r="E488" s="32"/>
      <c r="F488" s="32"/>
      <c r="G488" s="81"/>
      <c r="H488" s="81"/>
      <c r="I488" s="81"/>
      <c r="J488" s="7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spans="1:30" ht="25.5" customHeight="1">
      <c r="A489" s="32"/>
      <c r="B489" s="32"/>
      <c r="C489" s="32"/>
      <c r="D489" s="32"/>
      <c r="E489" s="32"/>
      <c r="F489" s="32"/>
      <c r="G489" s="81"/>
      <c r="H489" s="81"/>
      <c r="I489" s="81"/>
      <c r="J489" s="7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spans="1:30" ht="25.5" customHeight="1">
      <c r="A490" s="32"/>
      <c r="B490" s="32"/>
      <c r="C490" s="32"/>
      <c r="D490" s="32"/>
      <c r="E490" s="32"/>
      <c r="F490" s="32"/>
      <c r="G490" s="81"/>
      <c r="H490" s="81"/>
      <c r="I490" s="81"/>
      <c r="J490" s="7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spans="1:30" ht="25.5" customHeight="1">
      <c r="A491" s="32"/>
      <c r="B491" s="32"/>
      <c r="C491" s="32"/>
      <c r="D491" s="32"/>
      <c r="E491" s="32"/>
      <c r="F491" s="32"/>
      <c r="G491" s="81"/>
      <c r="H491" s="81"/>
      <c r="I491" s="81"/>
      <c r="J491" s="7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spans="1:30" ht="25.5" customHeight="1">
      <c r="A492" s="32"/>
      <c r="B492" s="32"/>
      <c r="C492" s="32"/>
      <c r="D492" s="32"/>
      <c r="E492" s="32"/>
      <c r="F492" s="32"/>
      <c r="G492" s="81"/>
      <c r="H492" s="81"/>
      <c r="I492" s="81"/>
      <c r="J492" s="7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spans="1:30" ht="25.5" customHeight="1">
      <c r="A493" s="32"/>
      <c r="B493" s="32"/>
      <c r="C493" s="32"/>
      <c r="D493" s="32"/>
      <c r="E493" s="32"/>
      <c r="F493" s="32"/>
      <c r="G493" s="81"/>
      <c r="H493" s="81"/>
      <c r="I493" s="81"/>
      <c r="J493" s="7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spans="1:30" ht="25.5" customHeight="1">
      <c r="A494" s="32"/>
      <c r="B494" s="32"/>
      <c r="C494" s="32"/>
      <c r="D494" s="32"/>
      <c r="E494" s="32"/>
      <c r="F494" s="32"/>
      <c r="G494" s="81"/>
      <c r="H494" s="81"/>
      <c r="I494" s="81"/>
      <c r="J494" s="7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spans="1:30" ht="25.5" customHeight="1">
      <c r="A495" s="32"/>
      <c r="B495" s="32"/>
      <c r="C495" s="32"/>
      <c r="D495" s="32"/>
      <c r="E495" s="32"/>
      <c r="F495" s="32"/>
      <c r="G495" s="81"/>
      <c r="H495" s="81"/>
      <c r="I495" s="81"/>
      <c r="J495" s="7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spans="1:30" ht="25.5" customHeight="1">
      <c r="A496" s="32"/>
      <c r="B496" s="32"/>
      <c r="C496" s="32"/>
      <c r="D496" s="32"/>
      <c r="E496" s="32"/>
      <c r="F496" s="32"/>
      <c r="G496" s="81"/>
      <c r="H496" s="81"/>
      <c r="I496" s="81"/>
      <c r="J496" s="7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spans="1:30" ht="25.5" customHeight="1">
      <c r="A497" s="32"/>
      <c r="B497" s="32"/>
      <c r="C497" s="32"/>
      <c r="D497" s="32"/>
      <c r="E497" s="32"/>
      <c r="F497" s="32"/>
      <c r="G497" s="81"/>
      <c r="H497" s="81"/>
      <c r="I497" s="81"/>
      <c r="J497" s="7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spans="1:30" ht="25.5" customHeight="1">
      <c r="A498" s="32"/>
      <c r="B498" s="32"/>
      <c r="C498" s="32"/>
      <c r="D498" s="32"/>
      <c r="E498" s="32"/>
      <c r="F498" s="32"/>
      <c r="G498" s="81"/>
      <c r="H498" s="81"/>
      <c r="I498" s="81"/>
      <c r="J498" s="7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spans="1:30" ht="25.5" customHeight="1">
      <c r="A499" s="32"/>
      <c r="B499" s="32"/>
      <c r="C499" s="32"/>
      <c r="D499" s="32"/>
      <c r="E499" s="32"/>
      <c r="F499" s="32"/>
      <c r="G499" s="81"/>
      <c r="H499" s="81"/>
      <c r="I499" s="81"/>
      <c r="J499" s="7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spans="1:30" ht="25.5" customHeight="1">
      <c r="A500" s="32"/>
      <c r="B500" s="32"/>
      <c r="C500" s="32"/>
      <c r="D500" s="32"/>
      <c r="E500" s="32"/>
      <c r="F500" s="32"/>
      <c r="G500" s="81"/>
      <c r="H500" s="81"/>
      <c r="I500" s="81"/>
      <c r="J500" s="7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spans="1:30" ht="25.5" customHeight="1">
      <c r="A501" s="32"/>
      <c r="B501" s="32"/>
      <c r="C501" s="32"/>
      <c r="D501" s="32"/>
      <c r="E501" s="32"/>
      <c r="F501" s="32"/>
      <c r="G501" s="81"/>
      <c r="H501" s="81"/>
      <c r="I501" s="81"/>
      <c r="J501" s="7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spans="1:30" ht="25.5" customHeight="1">
      <c r="A502" s="32"/>
      <c r="B502" s="32"/>
      <c r="C502" s="32"/>
      <c r="D502" s="32"/>
      <c r="E502" s="32"/>
      <c r="F502" s="32"/>
      <c r="G502" s="81"/>
      <c r="H502" s="81"/>
      <c r="I502" s="81"/>
      <c r="J502" s="7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spans="1:30" ht="25.5" customHeight="1">
      <c r="A503" s="32"/>
      <c r="B503" s="32"/>
      <c r="C503" s="32"/>
      <c r="D503" s="32"/>
      <c r="E503" s="32"/>
      <c r="F503" s="32"/>
      <c r="G503" s="81"/>
      <c r="H503" s="81"/>
      <c r="I503" s="81"/>
      <c r="J503" s="7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spans="1:30" ht="25.5" customHeight="1">
      <c r="A504" s="32"/>
      <c r="B504" s="32"/>
      <c r="C504" s="32"/>
      <c r="D504" s="32"/>
      <c r="E504" s="32"/>
      <c r="F504" s="32"/>
      <c r="G504" s="81"/>
      <c r="H504" s="81"/>
      <c r="I504" s="81"/>
      <c r="J504" s="7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spans="1:30" ht="25.5" customHeight="1">
      <c r="A505" s="32"/>
      <c r="B505" s="32"/>
      <c r="C505" s="32"/>
      <c r="D505" s="32"/>
      <c r="E505" s="32"/>
      <c r="F505" s="32"/>
      <c r="G505" s="81"/>
      <c r="H505" s="81"/>
      <c r="I505" s="81"/>
      <c r="J505" s="7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spans="1:30" ht="25.5" customHeight="1">
      <c r="A506" s="32"/>
      <c r="B506" s="32"/>
      <c r="C506" s="32"/>
      <c r="D506" s="32"/>
      <c r="E506" s="32"/>
      <c r="F506" s="32"/>
      <c r="G506" s="81"/>
      <c r="H506" s="81"/>
      <c r="I506" s="81"/>
      <c r="J506" s="7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spans="1:30" ht="25.5" customHeight="1">
      <c r="A507" s="32"/>
      <c r="B507" s="32"/>
      <c r="C507" s="32"/>
      <c r="D507" s="32"/>
      <c r="E507" s="32"/>
      <c r="F507" s="32"/>
      <c r="G507" s="81"/>
      <c r="H507" s="81"/>
      <c r="I507" s="81"/>
      <c r="J507" s="7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spans="1:30" ht="25.5" customHeight="1">
      <c r="A508" s="32"/>
      <c r="B508" s="32"/>
      <c r="C508" s="32"/>
      <c r="D508" s="32"/>
      <c r="E508" s="32"/>
      <c r="F508" s="32"/>
      <c r="G508" s="81"/>
      <c r="H508" s="81"/>
      <c r="I508" s="81"/>
      <c r="J508" s="7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spans="1:30" ht="25.5" customHeight="1">
      <c r="A509" s="32"/>
      <c r="B509" s="32"/>
      <c r="C509" s="32"/>
      <c r="D509" s="32"/>
      <c r="E509" s="32"/>
      <c r="F509" s="32"/>
      <c r="G509" s="81"/>
      <c r="H509" s="81"/>
      <c r="I509" s="81"/>
      <c r="J509" s="7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spans="1:30" ht="25.5" customHeight="1">
      <c r="A510" s="32"/>
      <c r="B510" s="32"/>
      <c r="C510" s="32"/>
      <c r="D510" s="32"/>
      <c r="E510" s="32"/>
      <c r="F510" s="32"/>
      <c r="G510" s="81"/>
      <c r="H510" s="81"/>
      <c r="I510" s="81"/>
      <c r="J510" s="7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 ht="25.5" customHeight="1">
      <c r="A511" s="32"/>
      <c r="B511" s="32"/>
      <c r="C511" s="32"/>
      <c r="D511" s="32"/>
      <c r="E511" s="32"/>
      <c r="F511" s="32"/>
      <c r="G511" s="81"/>
      <c r="H511" s="81"/>
      <c r="I511" s="81"/>
      <c r="J511" s="7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spans="1:30" ht="25.5" customHeight="1">
      <c r="A512" s="32"/>
      <c r="B512" s="32"/>
      <c r="C512" s="32"/>
      <c r="D512" s="32"/>
      <c r="E512" s="32"/>
      <c r="F512" s="32"/>
      <c r="G512" s="81"/>
      <c r="H512" s="81"/>
      <c r="I512" s="81"/>
      <c r="J512" s="7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spans="1:30" ht="25.5" customHeight="1">
      <c r="A513" s="32"/>
      <c r="B513" s="32"/>
      <c r="C513" s="32"/>
      <c r="D513" s="32"/>
      <c r="E513" s="32"/>
      <c r="F513" s="32"/>
      <c r="G513" s="81"/>
      <c r="H513" s="81"/>
      <c r="I513" s="81"/>
      <c r="J513" s="7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spans="1:30" ht="25.5" customHeight="1">
      <c r="A514" s="32"/>
      <c r="B514" s="32"/>
      <c r="C514" s="32"/>
      <c r="D514" s="32"/>
      <c r="E514" s="32"/>
      <c r="F514" s="32"/>
      <c r="G514" s="81"/>
      <c r="H514" s="81"/>
      <c r="I514" s="81"/>
      <c r="J514" s="7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spans="1:30" ht="25.5" customHeight="1">
      <c r="A515" s="32"/>
      <c r="B515" s="32"/>
      <c r="C515" s="32"/>
      <c r="D515" s="32"/>
      <c r="E515" s="32"/>
      <c r="F515" s="32"/>
      <c r="G515" s="81"/>
      <c r="H515" s="81"/>
      <c r="I515" s="81"/>
      <c r="J515" s="7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spans="1:30" ht="25.5" customHeight="1">
      <c r="A516" s="32"/>
      <c r="B516" s="32"/>
      <c r="C516" s="32"/>
      <c r="D516" s="32"/>
      <c r="E516" s="32"/>
      <c r="F516" s="32"/>
      <c r="G516" s="81"/>
      <c r="H516" s="81"/>
      <c r="I516" s="81"/>
      <c r="J516" s="7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spans="1:30" ht="25.5" customHeight="1">
      <c r="A517" s="32"/>
      <c r="B517" s="32"/>
      <c r="C517" s="32"/>
      <c r="D517" s="32"/>
      <c r="E517" s="32"/>
      <c r="F517" s="32"/>
      <c r="G517" s="81"/>
      <c r="H517" s="81"/>
      <c r="I517" s="81"/>
      <c r="J517" s="7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spans="1:30" ht="25.5" customHeight="1">
      <c r="A518" s="32"/>
      <c r="B518" s="32"/>
      <c r="C518" s="32"/>
      <c r="D518" s="32"/>
      <c r="E518" s="32"/>
      <c r="F518" s="32"/>
      <c r="G518" s="81"/>
      <c r="H518" s="81"/>
      <c r="I518" s="81"/>
      <c r="J518" s="7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spans="1:30" ht="25.5" customHeight="1">
      <c r="A519" s="32"/>
      <c r="B519" s="32"/>
      <c r="C519" s="32"/>
      <c r="D519" s="32"/>
      <c r="E519" s="32"/>
      <c r="F519" s="32"/>
      <c r="G519" s="81"/>
      <c r="H519" s="81"/>
      <c r="I519" s="81"/>
      <c r="J519" s="7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spans="1:30" ht="25.5" customHeight="1">
      <c r="A520" s="32"/>
      <c r="B520" s="32"/>
      <c r="C520" s="32"/>
      <c r="D520" s="32"/>
      <c r="E520" s="32"/>
      <c r="F520" s="32"/>
      <c r="G520" s="81"/>
      <c r="H520" s="81"/>
      <c r="I520" s="81"/>
      <c r="J520" s="7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spans="1:30" ht="25.5" customHeight="1">
      <c r="A521" s="32"/>
      <c r="B521" s="32"/>
      <c r="C521" s="32"/>
      <c r="D521" s="32"/>
      <c r="E521" s="32"/>
      <c r="F521" s="32"/>
      <c r="G521" s="81"/>
      <c r="H521" s="81"/>
      <c r="I521" s="81"/>
      <c r="J521" s="7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spans="1:30" ht="25.5" customHeight="1">
      <c r="A522" s="32"/>
      <c r="B522" s="32"/>
      <c r="C522" s="32"/>
      <c r="D522" s="32"/>
      <c r="E522" s="32"/>
      <c r="F522" s="32"/>
      <c r="G522" s="81"/>
      <c r="H522" s="81"/>
      <c r="I522" s="81"/>
      <c r="J522" s="7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spans="1:30" ht="25.5" customHeight="1">
      <c r="A523" s="32"/>
      <c r="B523" s="32"/>
      <c r="C523" s="32"/>
      <c r="D523" s="32"/>
      <c r="E523" s="32"/>
      <c r="F523" s="32"/>
      <c r="G523" s="81"/>
      <c r="H523" s="81"/>
      <c r="I523" s="81"/>
      <c r="J523" s="7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25.5" customHeight="1">
      <c r="A524" s="32"/>
      <c r="B524" s="32"/>
      <c r="C524" s="32"/>
      <c r="D524" s="32"/>
      <c r="E524" s="32"/>
      <c r="F524" s="32"/>
      <c r="G524" s="81"/>
      <c r="H524" s="81"/>
      <c r="I524" s="81"/>
      <c r="J524" s="7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spans="1:30" ht="25.5" customHeight="1">
      <c r="A525" s="32"/>
      <c r="B525" s="32"/>
      <c r="C525" s="32"/>
      <c r="D525" s="32"/>
      <c r="E525" s="32"/>
      <c r="F525" s="32"/>
      <c r="G525" s="81"/>
      <c r="H525" s="81"/>
      <c r="I525" s="81"/>
      <c r="J525" s="7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spans="1:30" ht="25.5" customHeight="1">
      <c r="A526" s="32"/>
      <c r="B526" s="32"/>
      <c r="C526" s="32"/>
      <c r="D526" s="32"/>
      <c r="E526" s="32"/>
      <c r="F526" s="32"/>
      <c r="G526" s="81"/>
      <c r="H526" s="81"/>
      <c r="I526" s="81"/>
      <c r="J526" s="7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spans="1:30" ht="25.5" customHeight="1">
      <c r="A527" s="32"/>
      <c r="B527" s="32"/>
      <c r="C527" s="32"/>
      <c r="D527" s="32"/>
      <c r="E527" s="32"/>
      <c r="F527" s="32"/>
      <c r="G527" s="81"/>
      <c r="H527" s="81"/>
      <c r="I527" s="81"/>
      <c r="J527" s="7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spans="1:30" ht="25.5" customHeight="1">
      <c r="A528" s="32"/>
      <c r="B528" s="32"/>
      <c r="C528" s="32"/>
      <c r="D528" s="32"/>
      <c r="E528" s="32"/>
      <c r="F528" s="32"/>
      <c r="G528" s="81"/>
      <c r="H528" s="81"/>
      <c r="I528" s="81"/>
      <c r="J528" s="7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spans="1:30" ht="25.5" customHeight="1">
      <c r="A529" s="32"/>
      <c r="B529" s="32"/>
      <c r="C529" s="32"/>
      <c r="D529" s="32"/>
      <c r="E529" s="32"/>
      <c r="F529" s="32"/>
      <c r="G529" s="81"/>
      <c r="H529" s="81"/>
      <c r="I529" s="81"/>
      <c r="J529" s="7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spans="1:30" ht="25.5" customHeight="1">
      <c r="A530" s="32"/>
      <c r="B530" s="32"/>
      <c r="C530" s="32"/>
      <c r="D530" s="32"/>
      <c r="E530" s="32"/>
      <c r="F530" s="32"/>
      <c r="G530" s="81"/>
      <c r="H530" s="81"/>
      <c r="I530" s="81"/>
      <c r="J530" s="7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spans="1:30" ht="25.5" customHeight="1">
      <c r="A531" s="32"/>
      <c r="B531" s="32"/>
      <c r="C531" s="32"/>
      <c r="D531" s="32"/>
      <c r="E531" s="32"/>
      <c r="F531" s="32"/>
      <c r="G531" s="81"/>
      <c r="H531" s="81"/>
      <c r="I531" s="81"/>
      <c r="J531" s="7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spans="1:30" ht="25.5" customHeight="1">
      <c r="A532" s="32"/>
      <c r="B532" s="32"/>
      <c r="C532" s="32"/>
      <c r="D532" s="32"/>
      <c r="E532" s="32"/>
      <c r="F532" s="32"/>
      <c r="G532" s="81"/>
      <c r="H532" s="81"/>
      <c r="I532" s="81"/>
      <c r="J532" s="7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spans="1:30" ht="25.5" customHeight="1">
      <c r="A533" s="32"/>
      <c r="B533" s="32"/>
      <c r="C533" s="32"/>
      <c r="D533" s="32"/>
      <c r="E533" s="32"/>
      <c r="F533" s="32"/>
      <c r="G533" s="81"/>
      <c r="H533" s="81"/>
      <c r="I533" s="81"/>
      <c r="J533" s="7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spans="1:30" ht="25.5" customHeight="1">
      <c r="A534" s="32"/>
      <c r="B534" s="32"/>
      <c r="C534" s="32"/>
      <c r="D534" s="32"/>
      <c r="E534" s="32"/>
      <c r="F534" s="32"/>
      <c r="G534" s="81"/>
      <c r="H534" s="81"/>
      <c r="I534" s="81"/>
      <c r="J534" s="7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spans="1:30" ht="25.5" customHeight="1">
      <c r="A535" s="32"/>
      <c r="B535" s="32"/>
      <c r="C535" s="32"/>
      <c r="D535" s="32"/>
      <c r="E535" s="32"/>
      <c r="F535" s="32"/>
      <c r="G535" s="81"/>
      <c r="H535" s="81"/>
      <c r="I535" s="81"/>
      <c r="J535" s="7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spans="1:30" ht="25.5" customHeight="1">
      <c r="A536" s="32"/>
      <c r="B536" s="32"/>
      <c r="C536" s="32"/>
      <c r="D536" s="32"/>
      <c r="E536" s="32"/>
      <c r="F536" s="32"/>
      <c r="G536" s="81"/>
      <c r="H536" s="81"/>
      <c r="I536" s="81"/>
      <c r="J536" s="7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spans="1:30" ht="25.5" customHeight="1">
      <c r="A537" s="32"/>
      <c r="B537" s="32"/>
      <c r="C537" s="32"/>
      <c r="D537" s="32"/>
      <c r="E537" s="32"/>
      <c r="F537" s="32"/>
      <c r="G537" s="81"/>
      <c r="H537" s="81"/>
      <c r="I537" s="81"/>
      <c r="J537" s="7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 ht="25.5" customHeight="1">
      <c r="A538" s="32"/>
      <c r="B538" s="32"/>
      <c r="C538" s="32"/>
      <c r="D538" s="32"/>
      <c r="E538" s="32"/>
      <c r="F538" s="32"/>
      <c r="G538" s="81"/>
      <c r="H538" s="81"/>
      <c r="I538" s="81"/>
      <c r="J538" s="7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 ht="25.5" customHeight="1">
      <c r="A539" s="32"/>
      <c r="B539" s="32"/>
      <c r="C539" s="32"/>
      <c r="D539" s="32"/>
      <c r="E539" s="32"/>
      <c r="F539" s="32"/>
      <c r="G539" s="81"/>
      <c r="H539" s="81"/>
      <c r="I539" s="81"/>
      <c r="J539" s="7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spans="1:30" ht="25.5" customHeight="1">
      <c r="A540" s="32"/>
      <c r="B540" s="32"/>
      <c r="C540" s="32"/>
      <c r="D540" s="32"/>
      <c r="E540" s="32"/>
      <c r="F540" s="32"/>
      <c r="G540" s="81"/>
      <c r="H540" s="81"/>
      <c r="I540" s="81"/>
      <c r="J540" s="7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spans="1:30" ht="25.5" customHeight="1">
      <c r="A541" s="32"/>
      <c r="B541" s="32"/>
      <c r="C541" s="32"/>
      <c r="D541" s="32"/>
      <c r="E541" s="32"/>
      <c r="F541" s="32"/>
      <c r="G541" s="81"/>
      <c r="H541" s="81"/>
      <c r="I541" s="81"/>
      <c r="J541" s="7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spans="1:30" ht="25.5" customHeight="1">
      <c r="A542" s="32"/>
      <c r="B542" s="32"/>
      <c r="C542" s="32"/>
      <c r="D542" s="32"/>
      <c r="E542" s="32"/>
      <c r="F542" s="32"/>
      <c r="G542" s="81"/>
      <c r="H542" s="81"/>
      <c r="I542" s="81"/>
      <c r="J542" s="7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spans="1:30" ht="25.5" customHeight="1">
      <c r="A543" s="32"/>
      <c r="B543" s="32"/>
      <c r="C543" s="32"/>
      <c r="D543" s="32"/>
      <c r="E543" s="32"/>
      <c r="F543" s="32"/>
      <c r="G543" s="81"/>
      <c r="H543" s="81"/>
      <c r="I543" s="81"/>
      <c r="J543" s="7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spans="1:30" ht="25.5" customHeight="1">
      <c r="A544" s="32"/>
      <c r="B544" s="32"/>
      <c r="C544" s="32"/>
      <c r="D544" s="32"/>
      <c r="E544" s="32"/>
      <c r="F544" s="32"/>
      <c r="G544" s="81"/>
      <c r="H544" s="81"/>
      <c r="I544" s="81"/>
      <c r="J544" s="7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spans="1:30" ht="25.5" customHeight="1">
      <c r="A545" s="32"/>
      <c r="B545" s="32"/>
      <c r="C545" s="32"/>
      <c r="D545" s="32"/>
      <c r="E545" s="32"/>
      <c r="F545" s="32"/>
      <c r="G545" s="81"/>
      <c r="H545" s="81"/>
      <c r="I545" s="81"/>
      <c r="J545" s="7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spans="1:30" ht="25.5" customHeight="1">
      <c r="A546" s="32"/>
      <c r="B546" s="32"/>
      <c r="C546" s="32"/>
      <c r="D546" s="32"/>
      <c r="E546" s="32"/>
      <c r="F546" s="32"/>
      <c r="G546" s="81"/>
      <c r="H546" s="81"/>
      <c r="I546" s="81"/>
      <c r="J546" s="7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spans="1:30" ht="25.5" customHeight="1">
      <c r="A547" s="32"/>
      <c r="B547" s="32"/>
      <c r="C547" s="32"/>
      <c r="D547" s="32"/>
      <c r="E547" s="32"/>
      <c r="F547" s="32"/>
      <c r="G547" s="81"/>
      <c r="H547" s="81"/>
      <c r="I547" s="81"/>
      <c r="J547" s="7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spans="1:30" ht="25.5" customHeight="1">
      <c r="A548" s="32"/>
      <c r="B548" s="32"/>
      <c r="C548" s="32"/>
      <c r="D548" s="32"/>
      <c r="E548" s="32"/>
      <c r="F548" s="32"/>
      <c r="G548" s="81"/>
      <c r="H548" s="81"/>
      <c r="I548" s="81"/>
      <c r="J548" s="7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spans="1:30" ht="25.5" customHeight="1">
      <c r="A549" s="32"/>
      <c r="B549" s="32"/>
      <c r="C549" s="32"/>
      <c r="D549" s="32"/>
      <c r="E549" s="32"/>
      <c r="F549" s="32"/>
      <c r="G549" s="81"/>
      <c r="H549" s="81"/>
      <c r="I549" s="81"/>
      <c r="J549" s="7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spans="1:30" ht="25.5" customHeight="1">
      <c r="A550" s="32"/>
      <c r="B550" s="32"/>
      <c r="C550" s="32"/>
      <c r="D550" s="32"/>
      <c r="E550" s="32"/>
      <c r="F550" s="32"/>
      <c r="G550" s="81"/>
      <c r="H550" s="81"/>
      <c r="I550" s="81"/>
      <c r="J550" s="7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spans="1:30" ht="25.5" customHeight="1">
      <c r="A551" s="32"/>
      <c r="B551" s="32"/>
      <c r="C551" s="32"/>
      <c r="D551" s="32"/>
      <c r="E551" s="32"/>
      <c r="F551" s="32"/>
      <c r="G551" s="81"/>
      <c r="H551" s="81"/>
      <c r="I551" s="81"/>
      <c r="J551" s="7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spans="1:30" ht="25.5" customHeight="1">
      <c r="A552" s="32"/>
      <c r="B552" s="32"/>
      <c r="C552" s="32"/>
      <c r="D552" s="32"/>
      <c r="E552" s="32"/>
      <c r="F552" s="32"/>
      <c r="G552" s="81"/>
      <c r="H552" s="81"/>
      <c r="I552" s="81"/>
      <c r="J552" s="7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spans="1:30" ht="25.5" customHeight="1">
      <c r="A553" s="32"/>
      <c r="B553" s="32"/>
      <c r="C553" s="32"/>
      <c r="D553" s="32"/>
      <c r="E553" s="32"/>
      <c r="F553" s="32"/>
      <c r="G553" s="81"/>
      <c r="H553" s="81"/>
      <c r="I553" s="81"/>
      <c r="J553" s="7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spans="1:30" ht="25.5" customHeight="1">
      <c r="A554" s="32"/>
      <c r="B554" s="32"/>
      <c r="C554" s="32"/>
      <c r="D554" s="32"/>
      <c r="E554" s="32"/>
      <c r="F554" s="32"/>
      <c r="G554" s="81"/>
      <c r="H554" s="81"/>
      <c r="I554" s="81"/>
      <c r="J554" s="7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spans="1:30" ht="25.5" customHeight="1">
      <c r="A555" s="32"/>
      <c r="B555" s="32"/>
      <c r="C555" s="32"/>
      <c r="D555" s="32"/>
      <c r="E555" s="32"/>
      <c r="F555" s="32"/>
      <c r="G555" s="81"/>
      <c r="H555" s="81"/>
      <c r="I555" s="81"/>
      <c r="J555" s="7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spans="1:30" ht="25.5" customHeight="1">
      <c r="A556" s="32"/>
      <c r="B556" s="32"/>
      <c r="C556" s="32"/>
      <c r="D556" s="32"/>
      <c r="E556" s="32"/>
      <c r="F556" s="32"/>
      <c r="G556" s="81"/>
      <c r="H556" s="81"/>
      <c r="I556" s="81"/>
      <c r="J556" s="7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spans="1:30" ht="25.5" customHeight="1">
      <c r="A557" s="32"/>
      <c r="B557" s="32"/>
      <c r="C557" s="32"/>
      <c r="D557" s="32"/>
      <c r="E557" s="32"/>
      <c r="F557" s="32"/>
      <c r="G557" s="81"/>
      <c r="H557" s="81"/>
      <c r="I557" s="81"/>
      <c r="J557" s="7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spans="1:30" ht="25.5" customHeight="1">
      <c r="A558" s="32"/>
      <c r="B558" s="32"/>
      <c r="C558" s="32"/>
      <c r="D558" s="32"/>
      <c r="E558" s="32"/>
      <c r="F558" s="32"/>
      <c r="G558" s="81"/>
      <c r="H558" s="81"/>
      <c r="I558" s="81"/>
      <c r="J558" s="7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spans="1:30" ht="25.5" customHeight="1">
      <c r="A559" s="32"/>
      <c r="B559" s="32"/>
      <c r="C559" s="32"/>
      <c r="D559" s="32"/>
      <c r="E559" s="32"/>
      <c r="F559" s="32"/>
      <c r="G559" s="81"/>
      <c r="H559" s="81"/>
      <c r="I559" s="81"/>
      <c r="J559" s="7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spans="1:30" ht="25.5" customHeight="1">
      <c r="A560" s="32"/>
      <c r="B560" s="32"/>
      <c r="C560" s="32"/>
      <c r="D560" s="32"/>
      <c r="E560" s="32"/>
      <c r="F560" s="32"/>
      <c r="G560" s="81"/>
      <c r="H560" s="81"/>
      <c r="I560" s="81"/>
      <c r="J560" s="7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spans="1:30" ht="25.5" customHeight="1">
      <c r="A561" s="32"/>
      <c r="B561" s="32"/>
      <c r="C561" s="32"/>
      <c r="D561" s="32"/>
      <c r="E561" s="32"/>
      <c r="F561" s="32"/>
      <c r="G561" s="81"/>
      <c r="H561" s="81"/>
      <c r="I561" s="81"/>
      <c r="J561" s="7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spans="1:30" ht="25.5" customHeight="1">
      <c r="A562" s="32"/>
      <c r="B562" s="32"/>
      <c r="C562" s="32"/>
      <c r="D562" s="32"/>
      <c r="E562" s="32"/>
      <c r="F562" s="32"/>
      <c r="G562" s="81"/>
      <c r="H562" s="81"/>
      <c r="I562" s="81"/>
      <c r="J562" s="7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spans="1:30" ht="25.5" customHeight="1">
      <c r="A563" s="32"/>
      <c r="B563" s="32"/>
      <c r="C563" s="32"/>
      <c r="D563" s="32"/>
      <c r="E563" s="32"/>
      <c r="F563" s="32"/>
      <c r="G563" s="81"/>
      <c r="H563" s="81"/>
      <c r="I563" s="81"/>
      <c r="J563" s="7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spans="1:30" ht="25.5" customHeight="1">
      <c r="A564" s="32"/>
      <c r="B564" s="32"/>
      <c r="C564" s="32"/>
      <c r="D564" s="32"/>
      <c r="E564" s="32"/>
      <c r="F564" s="32"/>
      <c r="G564" s="81"/>
      <c r="H564" s="81"/>
      <c r="I564" s="81"/>
      <c r="J564" s="7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spans="1:30" ht="25.5" customHeight="1">
      <c r="A565" s="32"/>
      <c r="B565" s="32"/>
      <c r="C565" s="32"/>
      <c r="D565" s="32"/>
      <c r="E565" s="32"/>
      <c r="F565" s="32"/>
      <c r="G565" s="81"/>
      <c r="H565" s="81"/>
      <c r="I565" s="81"/>
      <c r="J565" s="7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spans="1:30" ht="25.5" customHeight="1">
      <c r="A566" s="32"/>
      <c r="B566" s="32"/>
      <c r="C566" s="32"/>
      <c r="D566" s="32"/>
      <c r="E566" s="32"/>
      <c r="F566" s="32"/>
      <c r="G566" s="81"/>
      <c r="H566" s="81"/>
      <c r="I566" s="81"/>
      <c r="J566" s="7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spans="1:30" ht="25.5" customHeight="1">
      <c r="A567" s="32"/>
      <c r="B567" s="32"/>
      <c r="C567" s="32"/>
      <c r="D567" s="32"/>
      <c r="E567" s="32"/>
      <c r="F567" s="32"/>
      <c r="G567" s="81"/>
      <c r="H567" s="81"/>
      <c r="I567" s="81"/>
      <c r="J567" s="7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spans="1:30" ht="25.5" customHeight="1">
      <c r="A568" s="32"/>
      <c r="B568" s="32"/>
      <c r="C568" s="32"/>
      <c r="D568" s="32"/>
      <c r="E568" s="32"/>
      <c r="F568" s="32"/>
      <c r="G568" s="81"/>
      <c r="H568" s="81"/>
      <c r="I568" s="81"/>
      <c r="J568" s="7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spans="1:30" ht="25.5" customHeight="1">
      <c r="A569" s="32"/>
      <c r="B569" s="32"/>
      <c r="C569" s="32"/>
      <c r="D569" s="32"/>
      <c r="E569" s="32"/>
      <c r="F569" s="32"/>
      <c r="G569" s="81"/>
      <c r="H569" s="81"/>
      <c r="I569" s="81"/>
      <c r="J569" s="7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spans="1:30" ht="25.5" customHeight="1">
      <c r="A570" s="32"/>
      <c r="B570" s="32"/>
      <c r="C570" s="32"/>
      <c r="D570" s="32"/>
      <c r="E570" s="32"/>
      <c r="F570" s="32"/>
      <c r="G570" s="81"/>
      <c r="H570" s="81"/>
      <c r="I570" s="81"/>
      <c r="J570" s="7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spans="1:30" ht="25.5" customHeight="1">
      <c r="A571" s="32"/>
      <c r="B571" s="32"/>
      <c r="C571" s="32"/>
      <c r="D571" s="32"/>
      <c r="E571" s="32"/>
      <c r="F571" s="32"/>
      <c r="G571" s="81"/>
      <c r="H571" s="81"/>
      <c r="I571" s="81"/>
      <c r="J571" s="7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spans="1:30" ht="25.5" customHeight="1">
      <c r="A572" s="32"/>
      <c r="B572" s="32"/>
      <c r="C572" s="32"/>
      <c r="D572" s="32"/>
      <c r="E572" s="32"/>
      <c r="F572" s="32"/>
      <c r="G572" s="81"/>
      <c r="H572" s="81"/>
      <c r="I572" s="81"/>
      <c r="J572" s="7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spans="1:30" ht="25.5" customHeight="1">
      <c r="A573" s="32"/>
      <c r="B573" s="32"/>
      <c r="C573" s="32"/>
      <c r="D573" s="32"/>
      <c r="E573" s="32"/>
      <c r="F573" s="32"/>
      <c r="G573" s="81"/>
      <c r="H573" s="81"/>
      <c r="I573" s="81"/>
      <c r="J573" s="7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spans="1:30" ht="25.5" customHeight="1">
      <c r="A574" s="32"/>
      <c r="B574" s="32"/>
      <c r="C574" s="32"/>
      <c r="D574" s="32"/>
      <c r="E574" s="32"/>
      <c r="F574" s="32"/>
      <c r="G574" s="81"/>
      <c r="H574" s="81"/>
      <c r="I574" s="81"/>
      <c r="J574" s="7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spans="1:30" ht="25.5" customHeight="1">
      <c r="A575" s="32"/>
      <c r="B575" s="32"/>
      <c r="C575" s="32"/>
      <c r="D575" s="32"/>
      <c r="E575" s="32"/>
      <c r="F575" s="32"/>
      <c r="G575" s="81"/>
      <c r="H575" s="81"/>
      <c r="I575" s="81"/>
      <c r="J575" s="7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spans="1:30" ht="25.5" customHeight="1">
      <c r="A576" s="32"/>
      <c r="B576" s="32"/>
      <c r="C576" s="32"/>
      <c r="D576" s="32"/>
      <c r="E576" s="32"/>
      <c r="F576" s="32"/>
      <c r="G576" s="81"/>
      <c r="H576" s="81"/>
      <c r="I576" s="81"/>
      <c r="J576" s="7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spans="1:30" ht="25.5" customHeight="1">
      <c r="A577" s="32"/>
      <c r="B577" s="32"/>
      <c r="C577" s="32"/>
      <c r="D577" s="32"/>
      <c r="E577" s="32"/>
      <c r="F577" s="32"/>
      <c r="G577" s="81"/>
      <c r="H577" s="81"/>
      <c r="I577" s="81"/>
      <c r="J577" s="7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spans="1:30" ht="25.5" customHeight="1">
      <c r="A578" s="32"/>
      <c r="B578" s="32"/>
      <c r="C578" s="32"/>
      <c r="D578" s="32"/>
      <c r="E578" s="32"/>
      <c r="F578" s="32"/>
      <c r="G578" s="81"/>
      <c r="H578" s="81"/>
      <c r="I578" s="81"/>
      <c r="J578" s="7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spans="1:30" ht="25.5" customHeight="1">
      <c r="A579" s="32"/>
      <c r="B579" s="32"/>
      <c r="C579" s="32"/>
      <c r="D579" s="32"/>
      <c r="E579" s="32"/>
      <c r="F579" s="32"/>
      <c r="G579" s="81"/>
      <c r="H579" s="81"/>
      <c r="I579" s="81"/>
      <c r="J579" s="7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spans="1:30" ht="25.5" customHeight="1">
      <c r="A580" s="32"/>
      <c r="B580" s="32"/>
      <c r="C580" s="32"/>
      <c r="D580" s="32"/>
      <c r="E580" s="32"/>
      <c r="F580" s="32"/>
      <c r="G580" s="81"/>
      <c r="H580" s="81"/>
      <c r="I580" s="81"/>
      <c r="J580" s="7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 ht="25.5" customHeight="1">
      <c r="A581" s="32"/>
      <c r="B581" s="32"/>
      <c r="C581" s="32"/>
      <c r="D581" s="32"/>
      <c r="E581" s="32"/>
      <c r="F581" s="32"/>
      <c r="G581" s="81"/>
      <c r="H581" s="81"/>
      <c r="I581" s="81"/>
      <c r="J581" s="7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spans="1:30" ht="25.5" customHeight="1">
      <c r="A582" s="32"/>
      <c r="B582" s="32"/>
      <c r="C582" s="32"/>
      <c r="D582" s="32"/>
      <c r="E582" s="32"/>
      <c r="F582" s="32"/>
      <c r="G582" s="81"/>
      <c r="H582" s="81"/>
      <c r="I582" s="81"/>
      <c r="J582" s="7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 ht="25.5" customHeight="1">
      <c r="A583" s="32"/>
      <c r="B583" s="32"/>
      <c r="C583" s="32"/>
      <c r="D583" s="32"/>
      <c r="E583" s="32"/>
      <c r="F583" s="32"/>
      <c r="G583" s="81"/>
      <c r="H583" s="81"/>
      <c r="I583" s="81"/>
      <c r="J583" s="7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spans="1:30" ht="25.5" customHeight="1">
      <c r="A584" s="32"/>
      <c r="B584" s="32"/>
      <c r="C584" s="32"/>
      <c r="D584" s="32"/>
      <c r="E584" s="32"/>
      <c r="F584" s="32"/>
      <c r="G584" s="81"/>
      <c r="H584" s="81"/>
      <c r="I584" s="81"/>
      <c r="J584" s="7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spans="1:30" ht="25.5" customHeight="1">
      <c r="A585" s="32"/>
      <c r="B585" s="32"/>
      <c r="C585" s="32"/>
      <c r="D585" s="32"/>
      <c r="E585" s="32"/>
      <c r="F585" s="32"/>
      <c r="G585" s="81"/>
      <c r="H585" s="81"/>
      <c r="I585" s="81"/>
      <c r="J585" s="7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spans="1:30" ht="25.5" customHeight="1">
      <c r="A586" s="32"/>
      <c r="B586" s="32"/>
      <c r="C586" s="32"/>
      <c r="D586" s="32"/>
      <c r="E586" s="32"/>
      <c r="F586" s="32"/>
      <c r="G586" s="81"/>
      <c r="H586" s="81"/>
      <c r="I586" s="81"/>
      <c r="J586" s="7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spans="1:30" ht="25.5" customHeight="1">
      <c r="A587" s="32"/>
      <c r="B587" s="32"/>
      <c r="C587" s="32"/>
      <c r="D587" s="32"/>
      <c r="E587" s="32"/>
      <c r="F587" s="32"/>
      <c r="G587" s="81"/>
      <c r="H587" s="81"/>
      <c r="I587" s="81"/>
      <c r="J587" s="7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 ht="25.5" customHeight="1">
      <c r="A588" s="32"/>
      <c r="B588" s="32"/>
      <c r="C588" s="32"/>
      <c r="D588" s="32"/>
      <c r="E588" s="32"/>
      <c r="F588" s="32"/>
      <c r="G588" s="81"/>
      <c r="H588" s="81"/>
      <c r="I588" s="81"/>
      <c r="J588" s="7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spans="1:30" ht="25.5" customHeight="1">
      <c r="A589" s="32"/>
      <c r="B589" s="32"/>
      <c r="C589" s="32"/>
      <c r="D589" s="32"/>
      <c r="E589" s="32"/>
      <c r="F589" s="32"/>
      <c r="G589" s="81"/>
      <c r="H589" s="81"/>
      <c r="I589" s="81"/>
      <c r="J589" s="7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spans="1:30" ht="25.5" customHeight="1">
      <c r="A590" s="32"/>
      <c r="B590" s="32"/>
      <c r="C590" s="32"/>
      <c r="D590" s="32"/>
      <c r="E590" s="32"/>
      <c r="F590" s="32"/>
      <c r="G590" s="81"/>
      <c r="H590" s="81"/>
      <c r="I590" s="81"/>
      <c r="J590" s="7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spans="1:30" ht="25.5" customHeight="1">
      <c r="A591" s="32"/>
      <c r="B591" s="32"/>
      <c r="C591" s="32"/>
      <c r="D591" s="32"/>
      <c r="E591" s="32"/>
      <c r="F591" s="32"/>
      <c r="G591" s="81"/>
      <c r="H591" s="81"/>
      <c r="I591" s="81"/>
      <c r="J591" s="7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spans="1:30" ht="25.5" customHeight="1">
      <c r="A592" s="32"/>
      <c r="B592" s="32"/>
      <c r="C592" s="32"/>
      <c r="D592" s="32"/>
      <c r="E592" s="32"/>
      <c r="F592" s="32"/>
      <c r="G592" s="81"/>
      <c r="H592" s="81"/>
      <c r="I592" s="81"/>
      <c r="J592" s="7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spans="1:30" ht="25.5" customHeight="1">
      <c r="A593" s="32"/>
      <c r="B593" s="32"/>
      <c r="C593" s="32"/>
      <c r="D593" s="32"/>
      <c r="E593" s="32"/>
      <c r="F593" s="32"/>
      <c r="G593" s="81"/>
      <c r="H593" s="81"/>
      <c r="I593" s="81"/>
      <c r="J593" s="7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 ht="25.5" customHeight="1">
      <c r="A594" s="32"/>
      <c r="B594" s="32"/>
      <c r="C594" s="32"/>
      <c r="D594" s="32"/>
      <c r="E594" s="32"/>
      <c r="F594" s="32"/>
      <c r="G594" s="81"/>
      <c r="H594" s="81"/>
      <c r="I594" s="81"/>
      <c r="J594" s="7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spans="1:30" ht="25.5" customHeight="1">
      <c r="A595" s="32"/>
      <c r="B595" s="32"/>
      <c r="C595" s="32"/>
      <c r="D595" s="32"/>
      <c r="E595" s="32"/>
      <c r="F595" s="32"/>
      <c r="G595" s="81"/>
      <c r="H595" s="81"/>
      <c r="I595" s="81"/>
      <c r="J595" s="7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spans="1:30" ht="25.5" customHeight="1">
      <c r="A596" s="32"/>
      <c r="B596" s="32"/>
      <c r="C596" s="32"/>
      <c r="D596" s="32"/>
      <c r="E596" s="32"/>
      <c r="F596" s="32"/>
      <c r="G596" s="81"/>
      <c r="H596" s="81"/>
      <c r="I596" s="81"/>
      <c r="J596" s="7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spans="1:30" ht="25.5" customHeight="1">
      <c r="A597" s="32"/>
      <c r="B597" s="32"/>
      <c r="C597" s="32"/>
      <c r="D597" s="32"/>
      <c r="E597" s="32"/>
      <c r="F597" s="32"/>
      <c r="G597" s="81"/>
      <c r="H597" s="81"/>
      <c r="I597" s="81"/>
      <c r="J597" s="7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spans="1:30" ht="25.5" customHeight="1">
      <c r="A598" s="32"/>
      <c r="B598" s="32"/>
      <c r="C598" s="32"/>
      <c r="D598" s="32"/>
      <c r="E598" s="32"/>
      <c r="F598" s="32"/>
      <c r="G598" s="81"/>
      <c r="H598" s="81"/>
      <c r="I598" s="81"/>
      <c r="J598" s="7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spans="1:30" ht="25.5" customHeight="1">
      <c r="A599" s="32"/>
      <c r="B599" s="32"/>
      <c r="C599" s="32"/>
      <c r="D599" s="32"/>
      <c r="E599" s="32"/>
      <c r="F599" s="32"/>
      <c r="G599" s="81"/>
      <c r="H599" s="81"/>
      <c r="I599" s="81"/>
      <c r="J599" s="7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spans="1:30" ht="13.2">
      <c r="A600" s="21"/>
      <c r="B600" s="21"/>
      <c r="C600" s="21"/>
      <c r="D600" s="21"/>
      <c r="E600" s="21"/>
      <c r="F600" s="91"/>
      <c r="G600" s="21"/>
      <c r="H600" s="21"/>
      <c r="I600" s="21"/>
      <c r="J600" s="9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3.2">
      <c r="A601" s="21"/>
      <c r="B601" s="21"/>
      <c r="C601" s="21"/>
      <c r="D601" s="21"/>
      <c r="E601" s="21"/>
      <c r="F601" s="91"/>
      <c r="G601" s="21"/>
      <c r="H601" s="21"/>
      <c r="I601" s="21"/>
      <c r="J601" s="9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3.2">
      <c r="A602" s="21"/>
      <c r="B602" s="21"/>
      <c r="C602" s="21"/>
      <c r="D602" s="21"/>
      <c r="E602" s="21"/>
      <c r="F602" s="91"/>
      <c r="G602" s="21"/>
      <c r="H602" s="21"/>
      <c r="I602" s="21"/>
      <c r="J602" s="9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3.2">
      <c r="A603" s="21"/>
      <c r="B603" s="21"/>
      <c r="C603" s="21"/>
      <c r="D603" s="21"/>
      <c r="E603" s="21"/>
      <c r="F603" s="91"/>
      <c r="G603" s="21"/>
      <c r="H603" s="21"/>
      <c r="I603" s="21"/>
      <c r="J603" s="9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3.2">
      <c r="A604" s="21"/>
      <c r="B604" s="21"/>
      <c r="C604" s="21"/>
      <c r="D604" s="21"/>
      <c r="E604" s="21"/>
      <c r="F604" s="91"/>
      <c r="G604" s="21"/>
      <c r="H604" s="21"/>
      <c r="I604" s="21"/>
      <c r="J604" s="9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3.2">
      <c r="A605" s="21"/>
      <c r="B605" s="21"/>
      <c r="C605" s="21"/>
      <c r="D605" s="21"/>
      <c r="E605" s="21"/>
      <c r="F605" s="91"/>
      <c r="G605" s="21"/>
      <c r="H605" s="21"/>
      <c r="I605" s="21"/>
      <c r="J605" s="9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3.2">
      <c r="A606" s="21"/>
      <c r="B606" s="21"/>
      <c r="C606" s="21"/>
      <c r="D606" s="21"/>
      <c r="E606" s="21"/>
      <c r="F606" s="91"/>
      <c r="G606" s="21"/>
      <c r="H606" s="21"/>
      <c r="I606" s="21"/>
      <c r="J606" s="9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3.2">
      <c r="A607" s="21"/>
      <c r="B607" s="21"/>
      <c r="C607" s="21"/>
      <c r="D607" s="21"/>
      <c r="E607" s="21"/>
      <c r="F607" s="91"/>
      <c r="G607" s="21"/>
      <c r="H607" s="21"/>
      <c r="I607" s="21"/>
      <c r="J607" s="9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3.2">
      <c r="A608" s="21"/>
      <c r="B608" s="21"/>
      <c r="C608" s="21"/>
      <c r="D608" s="21"/>
      <c r="E608" s="21"/>
      <c r="F608" s="91"/>
      <c r="G608" s="21"/>
      <c r="H608" s="21"/>
      <c r="I608" s="21"/>
      <c r="J608" s="9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3.2">
      <c r="A609" s="21"/>
      <c r="B609" s="21"/>
      <c r="C609" s="21"/>
      <c r="D609" s="21"/>
      <c r="E609" s="21"/>
      <c r="F609" s="91"/>
      <c r="G609" s="21"/>
      <c r="H609" s="21"/>
      <c r="I609" s="21"/>
      <c r="J609" s="9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3.2">
      <c r="A610" s="21"/>
      <c r="B610" s="21"/>
      <c r="C610" s="21"/>
      <c r="D610" s="21"/>
      <c r="E610" s="21"/>
      <c r="F610" s="91"/>
      <c r="G610" s="21"/>
      <c r="H610" s="21"/>
      <c r="I610" s="21"/>
      <c r="J610" s="9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3.2">
      <c r="A611" s="21"/>
      <c r="B611" s="21"/>
      <c r="C611" s="21"/>
      <c r="D611" s="21"/>
      <c r="E611" s="21"/>
      <c r="F611" s="91"/>
      <c r="G611" s="21"/>
      <c r="H611" s="21"/>
      <c r="I611" s="21"/>
      <c r="J611" s="9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3.2">
      <c r="A612" s="21"/>
      <c r="B612" s="21"/>
      <c r="C612" s="21"/>
      <c r="D612" s="21"/>
      <c r="E612" s="21"/>
      <c r="F612" s="91"/>
      <c r="G612" s="21"/>
      <c r="H612" s="21"/>
      <c r="I612" s="21"/>
      <c r="J612" s="9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3.2">
      <c r="A613" s="21"/>
      <c r="B613" s="21"/>
      <c r="C613" s="21"/>
      <c r="D613" s="21"/>
      <c r="E613" s="21"/>
      <c r="F613" s="91"/>
      <c r="G613" s="21"/>
      <c r="H613" s="21"/>
      <c r="I613" s="21"/>
      <c r="J613" s="9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3.2">
      <c r="A614" s="21"/>
      <c r="B614" s="21"/>
      <c r="C614" s="21"/>
      <c r="D614" s="21"/>
      <c r="E614" s="21"/>
      <c r="F614" s="91"/>
      <c r="G614" s="21"/>
      <c r="H614" s="21"/>
      <c r="I614" s="21"/>
      <c r="J614" s="9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3.2">
      <c r="A615" s="21"/>
      <c r="B615" s="21"/>
      <c r="C615" s="21"/>
      <c r="D615" s="21"/>
      <c r="E615" s="21"/>
      <c r="F615" s="91"/>
      <c r="G615" s="21"/>
      <c r="H615" s="21"/>
      <c r="I615" s="21"/>
      <c r="J615" s="9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3.2">
      <c r="A616" s="21"/>
      <c r="B616" s="21"/>
      <c r="C616" s="21"/>
      <c r="D616" s="21"/>
      <c r="E616" s="21"/>
      <c r="F616" s="91"/>
      <c r="G616" s="21"/>
      <c r="H616" s="21"/>
      <c r="I616" s="21"/>
      <c r="J616" s="9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3.2">
      <c r="A617" s="21"/>
      <c r="B617" s="21"/>
      <c r="C617" s="21"/>
      <c r="D617" s="21"/>
      <c r="E617" s="21"/>
      <c r="F617" s="91"/>
      <c r="G617" s="21"/>
      <c r="H617" s="21"/>
      <c r="I617" s="21"/>
      <c r="J617" s="9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3.2">
      <c r="A618" s="21"/>
      <c r="B618" s="21"/>
      <c r="C618" s="21"/>
      <c r="D618" s="21"/>
      <c r="E618" s="21"/>
      <c r="F618" s="91"/>
      <c r="G618" s="21"/>
      <c r="H618" s="21"/>
      <c r="I618" s="21"/>
      <c r="J618" s="9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3.2">
      <c r="A619" s="21"/>
      <c r="B619" s="21"/>
      <c r="C619" s="21"/>
      <c r="D619" s="21"/>
      <c r="E619" s="21"/>
      <c r="F619" s="91"/>
      <c r="G619" s="21"/>
      <c r="H619" s="21"/>
      <c r="I619" s="21"/>
      <c r="J619" s="9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3.2">
      <c r="A620" s="21"/>
      <c r="B620" s="21"/>
      <c r="C620" s="21"/>
      <c r="D620" s="21"/>
      <c r="E620" s="21"/>
      <c r="F620" s="91"/>
      <c r="G620" s="21"/>
      <c r="H620" s="21"/>
      <c r="I620" s="21"/>
      <c r="J620" s="9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3.2">
      <c r="A621" s="21"/>
      <c r="B621" s="21"/>
      <c r="C621" s="21"/>
      <c r="D621" s="21"/>
      <c r="E621" s="21"/>
      <c r="F621" s="91"/>
      <c r="G621" s="21"/>
      <c r="H621" s="21"/>
      <c r="I621" s="21"/>
      <c r="J621" s="9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3.2">
      <c r="A622" s="21"/>
      <c r="B622" s="21"/>
      <c r="C622" s="21"/>
      <c r="D622" s="21"/>
      <c r="E622" s="21"/>
      <c r="F622" s="91"/>
      <c r="G622" s="21"/>
      <c r="H622" s="21"/>
      <c r="I622" s="21"/>
      <c r="J622" s="9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3.2">
      <c r="A623" s="21"/>
      <c r="B623" s="21"/>
      <c r="C623" s="21"/>
      <c r="D623" s="21"/>
      <c r="E623" s="21"/>
      <c r="F623" s="91"/>
      <c r="G623" s="21"/>
      <c r="H623" s="21"/>
      <c r="I623" s="21"/>
      <c r="J623" s="9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3.2">
      <c r="A624" s="21"/>
      <c r="B624" s="21"/>
      <c r="C624" s="21"/>
      <c r="D624" s="21"/>
      <c r="E624" s="21"/>
      <c r="F624" s="91"/>
      <c r="G624" s="21"/>
      <c r="H624" s="21"/>
      <c r="I624" s="21"/>
      <c r="J624" s="9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3.2">
      <c r="A625" s="21"/>
      <c r="B625" s="21"/>
      <c r="C625" s="21"/>
      <c r="D625" s="21"/>
      <c r="E625" s="21"/>
      <c r="F625" s="91"/>
      <c r="G625" s="21"/>
      <c r="H625" s="21"/>
      <c r="I625" s="21"/>
      <c r="J625" s="9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3.2">
      <c r="A626" s="21"/>
      <c r="B626" s="21"/>
      <c r="C626" s="21"/>
      <c r="D626" s="21"/>
      <c r="E626" s="21"/>
      <c r="F626" s="91"/>
      <c r="G626" s="21"/>
      <c r="H626" s="21"/>
      <c r="I626" s="21"/>
      <c r="J626" s="9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3.2">
      <c r="A627" s="21"/>
      <c r="B627" s="21"/>
      <c r="C627" s="21"/>
      <c r="D627" s="21"/>
      <c r="E627" s="21"/>
      <c r="F627" s="91"/>
      <c r="G627" s="21"/>
      <c r="H627" s="21"/>
      <c r="I627" s="21"/>
      <c r="J627" s="9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3.2">
      <c r="A628" s="21"/>
      <c r="B628" s="21"/>
      <c r="C628" s="21"/>
      <c r="D628" s="21"/>
      <c r="E628" s="21"/>
      <c r="F628" s="91"/>
      <c r="G628" s="21"/>
      <c r="H628" s="21"/>
      <c r="I628" s="21"/>
      <c r="J628" s="9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3.2">
      <c r="A629" s="21"/>
      <c r="B629" s="21"/>
      <c r="C629" s="21"/>
      <c r="D629" s="21"/>
      <c r="E629" s="21"/>
      <c r="F629" s="91"/>
      <c r="G629" s="21"/>
      <c r="H629" s="21"/>
      <c r="I629" s="21"/>
      <c r="J629" s="9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3.2">
      <c r="A630" s="21"/>
      <c r="B630" s="21"/>
      <c r="C630" s="21"/>
      <c r="D630" s="21"/>
      <c r="E630" s="21"/>
      <c r="F630" s="91"/>
      <c r="G630" s="21"/>
      <c r="H630" s="21"/>
      <c r="I630" s="21"/>
      <c r="J630" s="9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3.2">
      <c r="A631" s="21"/>
      <c r="B631" s="21"/>
      <c r="C631" s="21"/>
      <c r="D631" s="21"/>
      <c r="E631" s="21"/>
      <c r="F631" s="91"/>
      <c r="G631" s="21"/>
      <c r="H631" s="21"/>
      <c r="I631" s="21"/>
      <c r="J631" s="9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3.2">
      <c r="A632" s="21"/>
      <c r="B632" s="21"/>
      <c r="C632" s="21"/>
      <c r="D632" s="21"/>
      <c r="E632" s="21"/>
      <c r="F632" s="91"/>
      <c r="G632" s="21"/>
      <c r="H632" s="21"/>
      <c r="I632" s="21"/>
      <c r="J632" s="9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3.2">
      <c r="A633" s="21"/>
      <c r="B633" s="21"/>
      <c r="C633" s="21"/>
      <c r="D633" s="21"/>
      <c r="E633" s="21"/>
      <c r="F633" s="91"/>
      <c r="G633" s="21"/>
      <c r="H633" s="21"/>
      <c r="I633" s="21"/>
      <c r="J633" s="9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3.2">
      <c r="A634" s="21"/>
      <c r="B634" s="21"/>
      <c r="C634" s="21"/>
      <c r="D634" s="21"/>
      <c r="E634" s="21"/>
      <c r="F634" s="91"/>
      <c r="G634" s="21"/>
      <c r="H634" s="21"/>
      <c r="I634" s="21"/>
      <c r="J634" s="9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3.2">
      <c r="A635" s="21"/>
      <c r="B635" s="21"/>
      <c r="C635" s="21"/>
      <c r="D635" s="21"/>
      <c r="E635" s="21"/>
      <c r="F635" s="91"/>
      <c r="G635" s="21"/>
      <c r="H635" s="21"/>
      <c r="I635" s="21"/>
      <c r="J635" s="9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3.2">
      <c r="A636" s="21"/>
      <c r="B636" s="21"/>
      <c r="C636" s="21"/>
      <c r="D636" s="21"/>
      <c r="E636" s="21"/>
      <c r="F636" s="91"/>
      <c r="G636" s="21"/>
      <c r="H636" s="21"/>
      <c r="I636" s="21"/>
      <c r="J636" s="9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3.2">
      <c r="A637" s="21"/>
      <c r="B637" s="21"/>
      <c r="C637" s="21"/>
      <c r="D637" s="21"/>
      <c r="E637" s="21"/>
      <c r="F637" s="91"/>
      <c r="G637" s="21"/>
      <c r="H637" s="21"/>
      <c r="I637" s="21"/>
      <c r="J637" s="9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3.2">
      <c r="A638" s="21"/>
      <c r="B638" s="21"/>
      <c r="C638" s="21"/>
      <c r="D638" s="21"/>
      <c r="E638" s="21"/>
      <c r="F638" s="91"/>
      <c r="G638" s="21"/>
      <c r="H638" s="21"/>
      <c r="I638" s="21"/>
      <c r="J638" s="9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3.2">
      <c r="A639" s="21"/>
      <c r="B639" s="21"/>
      <c r="C639" s="21"/>
      <c r="D639" s="21"/>
      <c r="E639" s="21"/>
      <c r="F639" s="91"/>
      <c r="G639" s="21"/>
      <c r="H639" s="21"/>
      <c r="I639" s="21"/>
      <c r="J639" s="9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3.2">
      <c r="A640" s="21"/>
      <c r="B640" s="21"/>
      <c r="C640" s="21"/>
      <c r="D640" s="21"/>
      <c r="E640" s="21"/>
      <c r="F640" s="91"/>
      <c r="G640" s="21"/>
      <c r="H640" s="21"/>
      <c r="I640" s="21"/>
      <c r="J640" s="9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3.2">
      <c r="A641" s="21"/>
      <c r="B641" s="21"/>
      <c r="C641" s="21"/>
      <c r="D641" s="21"/>
      <c r="E641" s="21"/>
      <c r="F641" s="91"/>
      <c r="G641" s="21"/>
      <c r="H641" s="21"/>
      <c r="I641" s="21"/>
      <c r="J641" s="9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3.2">
      <c r="A642" s="21"/>
      <c r="B642" s="21"/>
      <c r="C642" s="21"/>
      <c r="D642" s="21"/>
      <c r="E642" s="21"/>
      <c r="F642" s="91"/>
      <c r="G642" s="21"/>
      <c r="H642" s="21"/>
      <c r="I642" s="21"/>
      <c r="J642" s="9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3.2">
      <c r="A643" s="21"/>
      <c r="B643" s="21"/>
      <c r="C643" s="21"/>
      <c r="D643" s="21"/>
      <c r="E643" s="21"/>
      <c r="F643" s="91"/>
      <c r="G643" s="21"/>
      <c r="H643" s="21"/>
      <c r="I643" s="21"/>
      <c r="J643" s="9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3.2">
      <c r="A644" s="21"/>
      <c r="B644" s="21"/>
      <c r="C644" s="21"/>
      <c r="D644" s="21"/>
      <c r="E644" s="21"/>
      <c r="F644" s="91"/>
      <c r="G644" s="21"/>
      <c r="H644" s="21"/>
      <c r="I644" s="21"/>
      <c r="J644" s="9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3.2">
      <c r="A645" s="21"/>
      <c r="B645" s="21"/>
      <c r="C645" s="21"/>
      <c r="D645" s="21"/>
      <c r="E645" s="21"/>
      <c r="F645" s="91"/>
      <c r="G645" s="21"/>
      <c r="H645" s="21"/>
      <c r="I645" s="21"/>
      <c r="J645" s="9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3.2">
      <c r="A646" s="21"/>
      <c r="B646" s="21"/>
      <c r="C646" s="21"/>
      <c r="D646" s="21"/>
      <c r="E646" s="21"/>
      <c r="F646" s="91"/>
      <c r="G646" s="21"/>
      <c r="H646" s="21"/>
      <c r="I646" s="21"/>
      <c r="J646" s="9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3.2">
      <c r="A647" s="21"/>
      <c r="B647" s="21"/>
      <c r="C647" s="21"/>
      <c r="D647" s="21"/>
      <c r="E647" s="21"/>
      <c r="F647" s="91"/>
      <c r="G647" s="21"/>
      <c r="H647" s="21"/>
      <c r="I647" s="21"/>
      <c r="J647" s="9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3.2">
      <c r="A648" s="21"/>
      <c r="B648" s="21"/>
      <c r="C648" s="21"/>
      <c r="D648" s="21"/>
      <c r="E648" s="21"/>
      <c r="F648" s="91"/>
      <c r="G648" s="21"/>
      <c r="H648" s="21"/>
      <c r="I648" s="21"/>
      <c r="J648" s="9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3.2">
      <c r="A649" s="21"/>
      <c r="B649" s="21"/>
      <c r="C649" s="21"/>
      <c r="D649" s="21"/>
      <c r="E649" s="21"/>
      <c r="F649" s="91"/>
      <c r="G649" s="21"/>
      <c r="H649" s="21"/>
      <c r="I649" s="21"/>
      <c r="J649" s="9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3.2">
      <c r="A650" s="21"/>
      <c r="B650" s="21"/>
      <c r="C650" s="21"/>
      <c r="D650" s="21"/>
      <c r="E650" s="21"/>
      <c r="F650" s="91"/>
      <c r="G650" s="21"/>
      <c r="H650" s="21"/>
      <c r="I650" s="21"/>
      <c r="J650" s="9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3.2">
      <c r="A651" s="21"/>
      <c r="B651" s="21"/>
      <c r="C651" s="21"/>
      <c r="D651" s="21"/>
      <c r="E651" s="21"/>
      <c r="F651" s="91"/>
      <c r="G651" s="21"/>
      <c r="H651" s="21"/>
      <c r="I651" s="21"/>
      <c r="J651" s="9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3.2">
      <c r="A652" s="21"/>
      <c r="B652" s="21"/>
      <c r="C652" s="21"/>
      <c r="D652" s="21"/>
      <c r="E652" s="21"/>
      <c r="F652" s="91"/>
      <c r="G652" s="21"/>
      <c r="H652" s="21"/>
      <c r="I652" s="21"/>
      <c r="J652" s="9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3.2">
      <c r="A653" s="21"/>
      <c r="B653" s="21"/>
      <c r="C653" s="21"/>
      <c r="D653" s="21"/>
      <c r="E653" s="21"/>
      <c r="F653" s="91"/>
      <c r="G653" s="21"/>
      <c r="H653" s="21"/>
      <c r="I653" s="21"/>
      <c r="J653" s="9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3.2">
      <c r="A654" s="21"/>
      <c r="B654" s="21"/>
      <c r="C654" s="21"/>
      <c r="D654" s="21"/>
      <c r="E654" s="21"/>
      <c r="F654" s="91"/>
      <c r="G654" s="21"/>
      <c r="H654" s="21"/>
      <c r="I654" s="21"/>
      <c r="J654" s="9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3.2">
      <c r="A655" s="21"/>
      <c r="B655" s="21"/>
      <c r="C655" s="21"/>
      <c r="D655" s="21"/>
      <c r="E655" s="21"/>
      <c r="F655" s="91"/>
      <c r="G655" s="21"/>
      <c r="H655" s="21"/>
      <c r="I655" s="21"/>
      <c r="J655" s="9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3.2">
      <c r="A656" s="21"/>
      <c r="B656" s="21"/>
      <c r="C656" s="21"/>
      <c r="D656" s="21"/>
      <c r="E656" s="21"/>
      <c r="F656" s="91"/>
      <c r="G656" s="21"/>
      <c r="H656" s="21"/>
      <c r="I656" s="21"/>
      <c r="J656" s="9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3.2">
      <c r="A657" s="21"/>
      <c r="B657" s="21"/>
      <c r="C657" s="21"/>
      <c r="D657" s="21"/>
      <c r="E657" s="21"/>
      <c r="F657" s="91"/>
      <c r="G657" s="21"/>
      <c r="H657" s="21"/>
      <c r="I657" s="21"/>
      <c r="J657" s="9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3.2">
      <c r="A658" s="21"/>
      <c r="B658" s="21"/>
      <c r="C658" s="21"/>
      <c r="D658" s="21"/>
      <c r="E658" s="21"/>
      <c r="F658" s="91"/>
      <c r="G658" s="21"/>
      <c r="H658" s="21"/>
      <c r="I658" s="21"/>
      <c r="J658" s="9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3.2">
      <c r="A659" s="21"/>
      <c r="B659" s="21"/>
      <c r="C659" s="21"/>
      <c r="D659" s="21"/>
      <c r="E659" s="21"/>
      <c r="F659" s="91"/>
      <c r="G659" s="21"/>
      <c r="H659" s="21"/>
      <c r="I659" s="21"/>
      <c r="J659" s="9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3.2">
      <c r="A660" s="21"/>
      <c r="B660" s="21"/>
      <c r="C660" s="21"/>
      <c r="D660" s="21"/>
      <c r="E660" s="21"/>
      <c r="F660" s="91"/>
      <c r="G660" s="21"/>
      <c r="H660" s="21"/>
      <c r="I660" s="21"/>
      <c r="J660" s="9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3.2">
      <c r="A661" s="21"/>
      <c r="B661" s="21"/>
      <c r="C661" s="21"/>
      <c r="D661" s="21"/>
      <c r="E661" s="21"/>
      <c r="F661" s="91"/>
      <c r="G661" s="21"/>
      <c r="H661" s="21"/>
      <c r="I661" s="21"/>
      <c r="J661" s="9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3.2">
      <c r="A662" s="21"/>
      <c r="B662" s="21"/>
      <c r="C662" s="21"/>
      <c r="D662" s="21"/>
      <c r="E662" s="21"/>
      <c r="F662" s="91"/>
      <c r="G662" s="21"/>
      <c r="H662" s="21"/>
      <c r="I662" s="21"/>
      <c r="J662" s="9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3.2">
      <c r="A663" s="21"/>
      <c r="B663" s="21"/>
      <c r="C663" s="21"/>
      <c r="D663" s="21"/>
      <c r="E663" s="21"/>
      <c r="F663" s="91"/>
      <c r="G663" s="21"/>
      <c r="H663" s="21"/>
      <c r="I663" s="21"/>
      <c r="J663" s="9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3.2">
      <c r="A664" s="21"/>
      <c r="B664" s="21"/>
      <c r="C664" s="21"/>
      <c r="D664" s="21"/>
      <c r="E664" s="21"/>
      <c r="F664" s="91"/>
      <c r="G664" s="21"/>
      <c r="H664" s="21"/>
      <c r="I664" s="21"/>
      <c r="J664" s="9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3.2">
      <c r="A665" s="21"/>
      <c r="B665" s="21"/>
      <c r="C665" s="21"/>
      <c r="D665" s="21"/>
      <c r="E665" s="21"/>
      <c r="F665" s="91"/>
      <c r="G665" s="21"/>
      <c r="H665" s="21"/>
      <c r="I665" s="21"/>
      <c r="J665" s="9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3.2">
      <c r="A666" s="21"/>
      <c r="B666" s="21"/>
      <c r="C666" s="21"/>
      <c r="D666" s="21"/>
      <c r="E666" s="21"/>
      <c r="F666" s="91"/>
      <c r="G666" s="21"/>
      <c r="H666" s="21"/>
      <c r="I666" s="21"/>
      <c r="J666" s="9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3.2">
      <c r="A667" s="21"/>
      <c r="B667" s="21"/>
      <c r="C667" s="21"/>
      <c r="D667" s="21"/>
      <c r="E667" s="21"/>
      <c r="F667" s="91"/>
      <c r="G667" s="21"/>
      <c r="H667" s="21"/>
      <c r="I667" s="21"/>
      <c r="J667" s="9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3.2">
      <c r="A668" s="21"/>
      <c r="B668" s="21"/>
      <c r="C668" s="21"/>
      <c r="D668" s="21"/>
      <c r="E668" s="21"/>
      <c r="F668" s="91"/>
      <c r="G668" s="21"/>
      <c r="H668" s="21"/>
      <c r="I668" s="21"/>
      <c r="J668" s="9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3.2">
      <c r="A669" s="21"/>
      <c r="B669" s="21"/>
      <c r="C669" s="21"/>
      <c r="D669" s="21"/>
      <c r="E669" s="21"/>
      <c r="F669" s="91"/>
      <c r="G669" s="21"/>
      <c r="H669" s="21"/>
      <c r="I669" s="21"/>
      <c r="J669" s="9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3.2">
      <c r="A670" s="21"/>
      <c r="B670" s="21"/>
      <c r="C670" s="21"/>
      <c r="D670" s="21"/>
      <c r="E670" s="21"/>
      <c r="F670" s="91"/>
      <c r="G670" s="21"/>
      <c r="H670" s="21"/>
      <c r="I670" s="21"/>
      <c r="J670" s="9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3.2">
      <c r="A671" s="21"/>
      <c r="B671" s="21"/>
      <c r="C671" s="21"/>
      <c r="D671" s="21"/>
      <c r="E671" s="21"/>
      <c r="F671" s="91"/>
      <c r="G671" s="21"/>
      <c r="H671" s="21"/>
      <c r="I671" s="21"/>
      <c r="J671" s="9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3.2">
      <c r="A672" s="21"/>
      <c r="B672" s="21"/>
      <c r="C672" s="21"/>
      <c r="D672" s="21"/>
      <c r="E672" s="21"/>
      <c r="F672" s="91"/>
      <c r="G672" s="21"/>
      <c r="H672" s="21"/>
      <c r="I672" s="21"/>
      <c r="J672" s="9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3.2">
      <c r="A673" s="21"/>
      <c r="B673" s="21"/>
      <c r="C673" s="21"/>
      <c r="D673" s="21"/>
      <c r="E673" s="21"/>
      <c r="F673" s="91"/>
      <c r="G673" s="21"/>
      <c r="H673" s="21"/>
      <c r="I673" s="21"/>
      <c r="J673" s="9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3.2">
      <c r="A674" s="21"/>
      <c r="B674" s="21"/>
      <c r="C674" s="21"/>
      <c r="D674" s="21"/>
      <c r="E674" s="21"/>
      <c r="F674" s="91"/>
      <c r="G674" s="21"/>
      <c r="H674" s="21"/>
      <c r="I674" s="21"/>
      <c r="J674" s="9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3.2">
      <c r="A675" s="21"/>
      <c r="B675" s="21"/>
      <c r="C675" s="21"/>
      <c r="D675" s="21"/>
      <c r="E675" s="21"/>
      <c r="F675" s="91"/>
      <c r="G675" s="21"/>
      <c r="H675" s="21"/>
      <c r="I675" s="21"/>
      <c r="J675" s="9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3.2">
      <c r="A676" s="21"/>
      <c r="B676" s="21"/>
      <c r="C676" s="21"/>
      <c r="D676" s="21"/>
      <c r="E676" s="21"/>
      <c r="F676" s="91"/>
      <c r="G676" s="21"/>
      <c r="H676" s="21"/>
      <c r="I676" s="21"/>
      <c r="J676" s="9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3.2">
      <c r="A677" s="21"/>
      <c r="B677" s="21"/>
      <c r="C677" s="21"/>
      <c r="D677" s="21"/>
      <c r="E677" s="21"/>
      <c r="F677" s="91"/>
      <c r="G677" s="21"/>
      <c r="H677" s="21"/>
      <c r="I677" s="21"/>
      <c r="J677" s="9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3.2">
      <c r="A678" s="21"/>
      <c r="B678" s="21"/>
      <c r="C678" s="21"/>
      <c r="D678" s="21"/>
      <c r="E678" s="21"/>
      <c r="F678" s="91"/>
      <c r="G678" s="21"/>
      <c r="H678" s="21"/>
      <c r="I678" s="21"/>
      <c r="J678" s="9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3.2">
      <c r="A679" s="21"/>
      <c r="B679" s="21"/>
      <c r="C679" s="21"/>
      <c r="D679" s="21"/>
      <c r="E679" s="21"/>
      <c r="F679" s="91"/>
      <c r="G679" s="21"/>
      <c r="H679" s="21"/>
      <c r="I679" s="21"/>
      <c r="J679" s="9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3.2">
      <c r="A680" s="21"/>
      <c r="B680" s="21"/>
      <c r="C680" s="21"/>
      <c r="D680" s="21"/>
      <c r="E680" s="21"/>
      <c r="F680" s="91"/>
      <c r="G680" s="21"/>
      <c r="H680" s="21"/>
      <c r="I680" s="21"/>
      <c r="J680" s="9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3.2">
      <c r="A681" s="21"/>
      <c r="B681" s="21"/>
      <c r="C681" s="21"/>
      <c r="D681" s="21"/>
      <c r="E681" s="21"/>
      <c r="F681" s="91"/>
      <c r="G681" s="21"/>
      <c r="H681" s="21"/>
      <c r="I681" s="21"/>
      <c r="J681" s="9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3.2">
      <c r="A682" s="21"/>
      <c r="B682" s="21"/>
      <c r="C682" s="21"/>
      <c r="D682" s="21"/>
      <c r="E682" s="21"/>
      <c r="F682" s="91"/>
      <c r="G682" s="21"/>
      <c r="H682" s="21"/>
      <c r="I682" s="21"/>
      <c r="J682" s="9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3.2">
      <c r="A683" s="21"/>
      <c r="B683" s="21"/>
      <c r="C683" s="21"/>
      <c r="D683" s="21"/>
      <c r="E683" s="21"/>
      <c r="F683" s="91"/>
      <c r="G683" s="21"/>
      <c r="H683" s="21"/>
      <c r="I683" s="21"/>
      <c r="J683" s="9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3.2">
      <c r="A684" s="21"/>
      <c r="B684" s="21"/>
      <c r="C684" s="21"/>
      <c r="D684" s="21"/>
      <c r="E684" s="21"/>
      <c r="F684" s="91"/>
      <c r="G684" s="21"/>
      <c r="H684" s="21"/>
      <c r="I684" s="21"/>
      <c r="J684" s="9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3.2">
      <c r="A685" s="21"/>
      <c r="B685" s="21"/>
      <c r="C685" s="21"/>
      <c r="D685" s="21"/>
      <c r="E685" s="21"/>
      <c r="F685" s="91"/>
      <c r="G685" s="21"/>
      <c r="H685" s="21"/>
      <c r="I685" s="21"/>
      <c r="J685" s="9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3.2">
      <c r="A686" s="21"/>
      <c r="B686" s="21"/>
      <c r="C686" s="21"/>
      <c r="D686" s="21"/>
      <c r="E686" s="21"/>
      <c r="F686" s="91"/>
      <c r="G686" s="21"/>
      <c r="H686" s="21"/>
      <c r="I686" s="21"/>
      <c r="J686" s="9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3.2">
      <c r="A687" s="21"/>
      <c r="B687" s="21"/>
      <c r="C687" s="21"/>
      <c r="D687" s="21"/>
      <c r="E687" s="21"/>
      <c r="F687" s="91"/>
      <c r="G687" s="21"/>
      <c r="H687" s="21"/>
      <c r="I687" s="21"/>
      <c r="J687" s="9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3.2">
      <c r="A688" s="21"/>
      <c r="B688" s="21"/>
      <c r="C688" s="21"/>
      <c r="D688" s="21"/>
      <c r="E688" s="21"/>
      <c r="F688" s="91"/>
      <c r="G688" s="21"/>
      <c r="H688" s="21"/>
      <c r="I688" s="21"/>
      <c r="J688" s="9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3.2">
      <c r="A689" s="21"/>
      <c r="B689" s="21"/>
      <c r="C689" s="21"/>
      <c r="D689" s="21"/>
      <c r="E689" s="21"/>
      <c r="F689" s="91"/>
      <c r="G689" s="21"/>
      <c r="H689" s="21"/>
      <c r="I689" s="21"/>
      <c r="J689" s="9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3.2">
      <c r="A690" s="21"/>
      <c r="B690" s="21"/>
      <c r="C690" s="21"/>
      <c r="D690" s="21"/>
      <c r="E690" s="21"/>
      <c r="F690" s="91"/>
      <c r="G690" s="21"/>
      <c r="H690" s="21"/>
      <c r="I690" s="21"/>
      <c r="J690" s="9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3.2">
      <c r="A691" s="21"/>
      <c r="B691" s="21"/>
      <c r="C691" s="21"/>
      <c r="D691" s="21"/>
      <c r="E691" s="21"/>
      <c r="F691" s="91"/>
      <c r="G691" s="21"/>
      <c r="H691" s="21"/>
      <c r="I691" s="21"/>
      <c r="J691" s="9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3.2">
      <c r="A692" s="21"/>
      <c r="B692" s="21"/>
      <c r="C692" s="21"/>
      <c r="D692" s="21"/>
      <c r="E692" s="21"/>
      <c r="F692" s="91"/>
      <c r="G692" s="21"/>
      <c r="H692" s="21"/>
      <c r="I692" s="21"/>
      <c r="J692" s="9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3.2">
      <c r="A693" s="21"/>
      <c r="B693" s="21"/>
      <c r="C693" s="21"/>
      <c r="D693" s="21"/>
      <c r="E693" s="21"/>
      <c r="F693" s="91"/>
      <c r="G693" s="21"/>
      <c r="H693" s="21"/>
      <c r="I693" s="21"/>
      <c r="J693" s="9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3.2">
      <c r="A694" s="21"/>
      <c r="B694" s="21"/>
      <c r="C694" s="21"/>
      <c r="D694" s="21"/>
      <c r="E694" s="21"/>
      <c r="F694" s="91"/>
      <c r="G694" s="21"/>
      <c r="H694" s="21"/>
      <c r="I694" s="21"/>
      <c r="J694" s="9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3.2">
      <c r="A695" s="21"/>
      <c r="B695" s="21"/>
      <c r="C695" s="21"/>
      <c r="D695" s="21"/>
      <c r="E695" s="21"/>
      <c r="F695" s="91"/>
      <c r="G695" s="21"/>
      <c r="H695" s="21"/>
      <c r="I695" s="21"/>
      <c r="J695" s="9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3.2">
      <c r="A696" s="21"/>
      <c r="B696" s="21"/>
      <c r="C696" s="21"/>
      <c r="D696" s="21"/>
      <c r="E696" s="21"/>
      <c r="F696" s="91"/>
      <c r="G696" s="21"/>
      <c r="H696" s="21"/>
      <c r="I696" s="21"/>
      <c r="J696" s="9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3.2">
      <c r="A697" s="21"/>
      <c r="B697" s="21"/>
      <c r="C697" s="21"/>
      <c r="D697" s="21"/>
      <c r="E697" s="21"/>
      <c r="F697" s="91"/>
      <c r="G697" s="21"/>
      <c r="H697" s="21"/>
      <c r="I697" s="21"/>
      <c r="J697" s="9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3.2">
      <c r="A698" s="21"/>
      <c r="B698" s="21"/>
      <c r="C698" s="21"/>
      <c r="D698" s="21"/>
      <c r="E698" s="21"/>
      <c r="F698" s="91"/>
      <c r="G698" s="21"/>
      <c r="H698" s="21"/>
      <c r="I698" s="21"/>
      <c r="J698" s="9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3.2">
      <c r="A699" s="21"/>
      <c r="B699" s="21"/>
      <c r="C699" s="21"/>
      <c r="D699" s="21"/>
      <c r="E699" s="21"/>
      <c r="F699" s="91"/>
      <c r="G699" s="21"/>
      <c r="H699" s="21"/>
      <c r="I699" s="21"/>
      <c r="J699" s="9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3.2">
      <c r="A700" s="21"/>
      <c r="B700" s="21"/>
      <c r="C700" s="21"/>
      <c r="D700" s="21"/>
      <c r="E700" s="21"/>
      <c r="F700" s="91"/>
      <c r="G700" s="21"/>
      <c r="H700" s="21"/>
      <c r="I700" s="21"/>
      <c r="J700" s="9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3.2">
      <c r="A701" s="21"/>
      <c r="B701" s="21"/>
      <c r="C701" s="21"/>
      <c r="D701" s="21"/>
      <c r="E701" s="21"/>
      <c r="F701" s="91"/>
      <c r="G701" s="21"/>
      <c r="H701" s="21"/>
      <c r="I701" s="21"/>
      <c r="J701" s="9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3.2">
      <c r="A702" s="21"/>
      <c r="B702" s="21"/>
      <c r="C702" s="21"/>
      <c r="D702" s="21"/>
      <c r="E702" s="21"/>
      <c r="F702" s="91"/>
      <c r="G702" s="21"/>
      <c r="H702" s="21"/>
      <c r="I702" s="21"/>
      <c r="J702" s="9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3.2">
      <c r="A703" s="21"/>
      <c r="B703" s="21"/>
      <c r="C703" s="21"/>
      <c r="D703" s="21"/>
      <c r="E703" s="21"/>
      <c r="F703" s="91"/>
      <c r="G703" s="21"/>
      <c r="H703" s="21"/>
      <c r="I703" s="21"/>
      <c r="J703" s="9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3.2">
      <c r="A704" s="21"/>
      <c r="B704" s="21"/>
      <c r="C704" s="21"/>
      <c r="D704" s="21"/>
      <c r="E704" s="21"/>
      <c r="F704" s="91"/>
      <c r="G704" s="21"/>
      <c r="H704" s="21"/>
      <c r="I704" s="21"/>
      <c r="J704" s="9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3.2">
      <c r="A705" s="21"/>
      <c r="B705" s="21"/>
      <c r="C705" s="21"/>
      <c r="D705" s="21"/>
      <c r="E705" s="21"/>
      <c r="F705" s="91"/>
      <c r="G705" s="21"/>
      <c r="H705" s="21"/>
      <c r="I705" s="21"/>
      <c r="J705" s="9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3.2">
      <c r="A706" s="21"/>
      <c r="B706" s="21"/>
      <c r="C706" s="21"/>
      <c r="D706" s="21"/>
      <c r="E706" s="21"/>
      <c r="F706" s="91"/>
      <c r="G706" s="21"/>
      <c r="H706" s="21"/>
      <c r="I706" s="21"/>
      <c r="J706" s="9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3.2">
      <c r="A707" s="21"/>
      <c r="B707" s="21"/>
      <c r="C707" s="21"/>
      <c r="D707" s="21"/>
      <c r="E707" s="21"/>
      <c r="F707" s="91"/>
      <c r="G707" s="21"/>
      <c r="H707" s="21"/>
      <c r="I707" s="21"/>
      <c r="J707" s="9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3.2">
      <c r="A708" s="21"/>
      <c r="B708" s="21"/>
      <c r="C708" s="21"/>
      <c r="D708" s="21"/>
      <c r="E708" s="21"/>
      <c r="F708" s="91"/>
      <c r="G708" s="21"/>
      <c r="H708" s="21"/>
      <c r="I708" s="21"/>
      <c r="J708" s="9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3.2">
      <c r="A709" s="21"/>
      <c r="B709" s="21"/>
      <c r="C709" s="21"/>
      <c r="D709" s="21"/>
      <c r="E709" s="21"/>
      <c r="F709" s="91"/>
      <c r="G709" s="21"/>
      <c r="H709" s="21"/>
      <c r="I709" s="21"/>
      <c r="J709" s="9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3.2">
      <c r="A710" s="21"/>
      <c r="B710" s="21"/>
      <c r="C710" s="21"/>
      <c r="D710" s="21"/>
      <c r="E710" s="21"/>
      <c r="F710" s="91"/>
      <c r="G710" s="21"/>
      <c r="H710" s="21"/>
      <c r="I710" s="21"/>
      <c r="J710" s="9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3.2">
      <c r="A711" s="21"/>
      <c r="B711" s="21"/>
      <c r="C711" s="21"/>
      <c r="D711" s="21"/>
      <c r="E711" s="21"/>
      <c r="F711" s="91"/>
      <c r="G711" s="21"/>
      <c r="H711" s="21"/>
      <c r="I711" s="21"/>
      <c r="J711" s="9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3.2">
      <c r="A712" s="21"/>
      <c r="B712" s="21"/>
      <c r="C712" s="21"/>
      <c r="D712" s="21"/>
      <c r="E712" s="21"/>
      <c r="F712" s="91"/>
      <c r="G712" s="21"/>
      <c r="H712" s="21"/>
      <c r="I712" s="21"/>
      <c r="J712" s="9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3.2">
      <c r="A713" s="21"/>
      <c r="B713" s="21"/>
      <c r="C713" s="21"/>
      <c r="D713" s="21"/>
      <c r="E713" s="21"/>
      <c r="F713" s="91"/>
      <c r="G713" s="21"/>
      <c r="H713" s="21"/>
      <c r="I713" s="21"/>
      <c r="J713" s="9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3.2">
      <c r="A714" s="21"/>
      <c r="B714" s="21"/>
      <c r="C714" s="21"/>
      <c r="D714" s="21"/>
      <c r="E714" s="21"/>
      <c r="F714" s="91"/>
      <c r="G714" s="21"/>
      <c r="H714" s="21"/>
      <c r="I714" s="21"/>
      <c r="J714" s="9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3.2">
      <c r="A715" s="21"/>
      <c r="B715" s="21"/>
      <c r="C715" s="21"/>
      <c r="D715" s="21"/>
      <c r="E715" s="21"/>
      <c r="F715" s="91"/>
      <c r="G715" s="21"/>
      <c r="H715" s="21"/>
      <c r="I715" s="21"/>
      <c r="J715" s="9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3.2">
      <c r="A716" s="21"/>
      <c r="B716" s="21"/>
      <c r="C716" s="21"/>
      <c r="D716" s="21"/>
      <c r="E716" s="21"/>
      <c r="F716" s="91"/>
      <c r="G716" s="21"/>
      <c r="H716" s="21"/>
      <c r="I716" s="21"/>
      <c r="J716" s="9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3.2">
      <c r="A717" s="21"/>
      <c r="B717" s="21"/>
      <c r="C717" s="21"/>
      <c r="D717" s="21"/>
      <c r="E717" s="21"/>
      <c r="F717" s="91"/>
      <c r="G717" s="21"/>
      <c r="H717" s="21"/>
      <c r="I717" s="21"/>
      <c r="J717" s="9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3.2">
      <c r="A718" s="21"/>
      <c r="B718" s="21"/>
      <c r="C718" s="21"/>
      <c r="D718" s="21"/>
      <c r="E718" s="21"/>
      <c r="F718" s="91"/>
      <c r="G718" s="21"/>
      <c r="H718" s="21"/>
      <c r="I718" s="21"/>
      <c r="J718" s="9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3.2">
      <c r="A719" s="21"/>
      <c r="B719" s="21"/>
      <c r="C719" s="21"/>
      <c r="D719" s="21"/>
      <c r="E719" s="21"/>
      <c r="F719" s="91"/>
      <c r="G719" s="21"/>
      <c r="H719" s="21"/>
      <c r="I719" s="21"/>
      <c r="J719" s="9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3.2">
      <c r="A720" s="21"/>
      <c r="B720" s="21"/>
      <c r="C720" s="21"/>
      <c r="D720" s="21"/>
      <c r="E720" s="21"/>
      <c r="F720" s="91"/>
      <c r="G720" s="21"/>
      <c r="H720" s="21"/>
      <c r="I720" s="21"/>
      <c r="J720" s="9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3.2">
      <c r="A721" s="21"/>
      <c r="B721" s="21"/>
      <c r="C721" s="21"/>
      <c r="D721" s="21"/>
      <c r="E721" s="21"/>
      <c r="F721" s="91"/>
      <c r="G721" s="21"/>
      <c r="H721" s="21"/>
      <c r="I721" s="21"/>
      <c r="J721" s="9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3.2">
      <c r="A722" s="21"/>
      <c r="B722" s="21"/>
      <c r="C722" s="21"/>
      <c r="D722" s="21"/>
      <c r="E722" s="21"/>
      <c r="F722" s="91"/>
      <c r="G722" s="21"/>
      <c r="H722" s="21"/>
      <c r="I722" s="21"/>
      <c r="J722" s="9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3.2">
      <c r="A723" s="21"/>
      <c r="B723" s="21"/>
      <c r="C723" s="21"/>
      <c r="D723" s="21"/>
      <c r="E723" s="21"/>
      <c r="F723" s="91"/>
      <c r="G723" s="21"/>
      <c r="H723" s="21"/>
      <c r="I723" s="21"/>
      <c r="J723" s="9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3.2">
      <c r="A724" s="21"/>
      <c r="B724" s="21"/>
      <c r="C724" s="21"/>
      <c r="D724" s="21"/>
      <c r="E724" s="21"/>
      <c r="F724" s="91"/>
      <c r="G724" s="21"/>
      <c r="H724" s="21"/>
      <c r="I724" s="21"/>
      <c r="J724" s="9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3.2">
      <c r="A725" s="21"/>
      <c r="B725" s="21"/>
      <c r="C725" s="21"/>
      <c r="D725" s="21"/>
      <c r="E725" s="21"/>
      <c r="F725" s="91"/>
      <c r="G725" s="21"/>
      <c r="H725" s="21"/>
      <c r="I725" s="21"/>
      <c r="J725" s="9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3.2">
      <c r="A726" s="21"/>
      <c r="B726" s="21"/>
      <c r="C726" s="21"/>
      <c r="D726" s="21"/>
      <c r="E726" s="21"/>
      <c r="F726" s="91"/>
      <c r="G726" s="21"/>
      <c r="H726" s="21"/>
      <c r="I726" s="21"/>
      <c r="J726" s="9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3.2">
      <c r="A727" s="21"/>
      <c r="B727" s="21"/>
      <c r="C727" s="21"/>
      <c r="D727" s="21"/>
      <c r="E727" s="21"/>
      <c r="F727" s="91"/>
      <c r="G727" s="21"/>
      <c r="H727" s="21"/>
      <c r="I727" s="21"/>
      <c r="J727" s="9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3.2">
      <c r="A728" s="21"/>
      <c r="B728" s="21"/>
      <c r="C728" s="21"/>
      <c r="D728" s="21"/>
      <c r="E728" s="21"/>
      <c r="F728" s="91"/>
      <c r="G728" s="21"/>
      <c r="H728" s="21"/>
      <c r="I728" s="21"/>
      <c r="J728" s="9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3.2">
      <c r="A729" s="21"/>
      <c r="B729" s="21"/>
      <c r="C729" s="21"/>
      <c r="D729" s="21"/>
      <c r="E729" s="21"/>
      <c r="F729" s="91"/>
      <c r="G729" s="21"/>
      <c r="H729" s="21"/>
      <c r="I729" s="21"/>
      <c r="J729" s="9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3.2">
      <c r="A730" s="21"/>
      <c r="B730" s="21"/>
      <c r="C730" s="21"/>
      <c r="D730" s="21"/>
      <c r="E730" s="21"/>
      <c r="F730" s="91"/>
      <c r="G730" s="21"/>
      <c r="H730" s="21"/>
      <c r="I730" s="21"/>
      <c r="J730" s="9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3.2">
      <c r="A731" s="21"/>
      <c r="B731" s="21"/>
      <c r="C731" s="21"/>
      <c r="D731" s="21"/>
      <c r="E731" s="21"/>
      <c r="F731" s="91"/>
      <c r="G731" s="21"/>
      <c r="H731" s="21"/>
      <c r="I731" s="21"/>
      <c r="J731" s="9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3.2">
      <c r="A732" s="21"/>
      <c r="B732" s="21"/>
      <c r="C732" s="21"/>
      <c r="D732" s="21"/>
      <c r="E732" s="21"/>
      <c r="F732" s="91"/>
      <c r="G732" s="21"/>
      <c r="H732" s="21"/>
      <c r="I732" s="21"/>
      <c r="J732" s="9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3.2">
      <c r="A733" s="21"/>
      <c r="B733" s="21"/>
      <c r="C733" s="21"/>
      <c r="D733" s="21"/>
      <c r="E733" s="21"/>
      <c r="F733" s="91"/>
      <c r="G733" s="21"/>
      <c r="H733" s="21"/>
      <c r="I733" s="21"/>
      <c r="J733" s="9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3.2">
      <c r="A734" s="21"/>
      <c r="B734" s="21"/>
      <c r="C734" s="21"/>
      <c r="D734" s="21"/>
      <c r="E734" s="21"/>
      <c r="F734" s="91"/>
      <c r="G734" s="21"/>
      <c r="H734" s="21"/>
      <c r="I734" s="21"/>
      <c r="J734" s="9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3.2">
      <c r="A735" s="21"/>
      <c r="B735" s="21"/>
      <c r="C735" s="21"/>
      <c r="D735" s="21"/>
      <c r="E735" s="21"/>
      <c r="F735" s="91"/>
      <c r="G735" s="21"/>
      <c r="H735" s="21"/>
      <c r="I735" s="21"/>
      <c r="J735" s="9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3.2">
      <c r="A736" s="21"/>
      <c r="B736" s="21"/>
      <c r="C736" s="21"/>
      <c r="D736" s="21"/>
      <c r="E736" s="21"/>
      <c r="F736" s="91"/>
      <c r="G736" s="21"/>
      <c r="H736" s="21"/>
      <c r="I736" s="21"/>
      <c r="J736" s="9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3.2">
      <c r="A737" s="21"/>
      <c r="B737" s="21"/>
      <c r="C737" s="21"/>
      <c r="D737" s="21"/>
      <c r="E737" s="21"/>
      <c r="F737" s="91"/>
      <c r="G737" s="21"/>
      <c r="H737" s="21"/>
      <c r="I737" s="21"/>
      <c r="J737" s="9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3.2">
      <c r="A738" s="21"/>
      <c r="B738" s="21"/>
      <c r="C738" s="21"/>
      <c r="D738" s="21"/>
      <c r="E738" s="21"/>
      <c r="F738" s="91"/>
      <c r="G738" s="21"/>
      <c r="H738" s="21"/>
      <c r="I738" s="21"/>
      <c r="J738" s="9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3.2">
      <c r="A739" s="21"/>
      <c r="B739" s="21"/>
      <c r="C739" s="21"/>
      <c r="D739" s="21"/>
      <c r="E739" s="21"/>
      <c r="F739" s="91"/>
      <c r="G739" s="21"/>
      <c r="H739" s="21"/>
      <c r="I739" s="21"/>
      <c r="J739" s="9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3.2">
      <c r="A740" s="21"/>
      <c r="B740" s="21"/>
      <c r="C740" s="21"/>
      <c r="D740" s="21"/>
      <c r="E740" s="21"/>
      <c r="F740" s="91"/>
      <c r="G740" s="21"/>
      <c r="H740" s="21"/>
      <c r="I740" s="21"/>
      <c r="J740" s="9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3.2">
      <c r="A741" s="21"/>
      <c r="B741" s="21"/>
      <c r="C741" s="21"/>
      <c r="D741" s="21"/>
      <c r="E741" s="21"/>
      <c r="F741" s="91"/>
      <c r="G741" s="21"/>
      <c r="H741" s="21"/>
      <c r="I741" s="21"/>
      <c r="J741" s="9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3.2">
      <c r="A742" s="21"/>
      <c r="B742" s="21"/>
      <c r="C742" s="21"/>
      <c r="D742" s="21"/>
      <c r="E742" s="21"/>
      <c r="F742" s="91"/>
      <c r="G742" s="21"/>
      <c r="H742" s="21"/>
      <c r="I742" s="21"/>
      <c r="J742" s="9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3.2">
      <c r="A743" s="21"/>
      <c r="B743" s="21"/>
      <c r="C743" s="21"/>
      <c r="D743" s="21"/>
      <c r="E743" s="21"/>
      <c r="F743" s="91"/>
      <c r="G743" s="21"/>
      <c r="H743" s="21"/>
      <c r="I743" s="21"/>
      <c r="J743" s="9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3.2">
      <c r="A744" s="21"/>
      <c r="B744" s="21"/>
      <c r="C744" s="21"/>
      <c r="D744" s="21"/>
      <c r="E744" s="21"/>
      <c r="F744" s="91"/>
      <c r="G744" s="21"/>
      <c r="H744" s="21"/>
      <c r="I744" s="21"/>
      <c r="J744" s="9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3.2">
      <c r="A745" s="21"/>
      <c r="B745" s="21"/>
      <c r="C745" s="21"/>
      <c r="D745" s="21"/>
      <c r="E745" s="21"/>
      <c r="F745" s="91"/>
      <c r="G745" s="21"/>
      <c r="H745" s="21"/>
      <c r="I745" s="21"/>
      <c r="J745" s="9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3.2">
      <c r="A746" s="21"/>
      <c r="B746" s="21"/>
      <c r="C746" s="21"/>
      <c r="D746" s="21"/>
      <c r="E746" s="21"/>
      <c r="F746" s="91"/>
      <c r="G746" s="21"/>
      <c r="H746" s="21"/>
      <c r="I746" s="21"/>
      <c r="J746" s="9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3.2">
      <c r="A747" s="21"/>
      <c r="B747" s="21"/>
      <c r="C747" s="21"/>
      <c r="D747" s="21"/>
      <c r="E747" s="21"/>
      <c r="F747" s="91"/>
      <c r="G747" s="21"/>
      <c r="H747" s="21"/>
      <c r="I747" s="21"/>
      <c r="J747" s="9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3.2">
      <c r="A748" s="21"/>
      <c r="B748" s="21"/>
      <c r="C748" s="21"/>
      <c r="D748" s="21"/>
      <c r="E748" s="21"/>
      <c r="F748" s="91"/>
      <c r="G748" s="21"/>
      <c r="H748" s="21"/>
      <c r="I748" s="21"/>
      <c r="J748" s="9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3.2">
      <c r="A749" s="21"/>
      <c r="B749" s="21"/>
      <c r="C749" s="21"/>
      <c r="D749" s="21"/>
      <c r="E749" s="21"/>
      <c r="F749" s="91"/>
      <c r="G749" s="21"/>
      <c r="H749" s="21"/>
      <c r="I749" s="21"/>
      <c r="J749" s="9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3.2">
      <c r="A750" s="21"/>
      <c r="B750" s="21"/>
      <c r="C750" s="21"/>
      <c r="D750" s="21"/>
      <c r="E750" s="21"/>
      <c r="F750" s="91"/>
      <c r="G750" s="21"/>
      <c r="H750" s="21"/>
      <c r="I750" s="21"/>
      <c r="J750" s="9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3.2">
      <c r="A751" s="21"/>
      <c r="B751" s="21"/>
      <c r="C751" s="21"/>
      <c r="D751" s="21"/>
      <c r="E751" s="21"/>
      <c r="F751" s="91"/>
      <c r="G751" s="21"/>
      <c r="H751" s="21"/>
      <c r="I751" s="21"/>
      <c r="J751" s="9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3.2">
      <c r="A752" s="21"/>
      <c r="B752" s="21"/>
      <c r="C752" s="21"/>
      <c r="D752" s="21"/>
      <c r="E752" s="21"/>
      <c r="F752" s="91"/>
      <c r="G752" s="21"/>
      <c r="H752" s="21"/>
      <c r="I752" s="21"/>
      <c r="J752" s="9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3.2">
      <c r="A753" s="21"/>
      <c r="B753" s="21"/>
      <c r="C753" s="21"/>
      <c r="D753" s="21"/>
      <c r="E753" s="21"/>
      <c r="F753" s="91"/>
      <c r="G753" s="21"/>
      <c r="H753" s="21"/>
      <c r="I753" s="21"/>
      <c r="J753" s="9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3.2">
      <c r="A754" s="21"/>
      <c r="B754" s="21"/>
      <c r="C754" s="21"/>
      <c r="D754" s="21"/>
      <c r="E754" s="21"/>
      <c r="F754" s="91"/>
      <c r="G754" s="21"/>
      <c r="H754" s="21"/>
      <c r="I754" s="21"/>
      <c r="J754" s="9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3.2">
      <c r="A755" s="21"/>
      <c r="B755" s="21"/>
      <c r="C755" s="21"/>
      <c r="D755" s="21"/>
      <c r="E755" s="21"/>
      <c r="F755" s="91"/>
      <c r="G755" s="21"/>
      <c r="H755" s="21"/>
      <c r="I755" s="21"/>
      <c r="J755" s="9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3.2">
      <c r="A756" s="21"/>
      <c r="B756" s="21"/>
      <c r="C756" s="21"/>
      <c r="D756" s="21"/>
      <c r="E756" s="21"/>
      <c r="F756" s="91"/>
      <c r="G756" s="21"/>
      <c r="H756" s="21"/>
      <c r="I756" s="21"/>
      <c r="J756" s="9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3.2">
      <c r="A757" s="21"/>
      <c r="B757" s="21"/>
      <c r="C757" s="21"/>
      <c r="D757" s="21"/>
      <c r="E757" s="21"/>
      <c r="F757" s="91"/>
      <c r="G757" s="21"/>
      <c r="H757" s="21"/>
      <c r="I757" s="21"/>
      <c r="J757" s="9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3.2">
      <c r="A758" s="21"/>
      <c r="B758" s="21"/>
      <c r="C758" s="21"/>
      <c r="D758" s="21"/>
      <c r="E758" s="21"/>
      <c r="F758" s="91"/>
      <c r="G758" s="21"/>
      <c r="H758" s="21"/>
      <c r="I758" s="21"/>
      <c r="J758" s="9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3.2">
      <c r="A759" s="21"/>
      <c r="B759" s="21"/>
      <c r="C759" s="21"/>
      <c r="D759" s="21"/>
      <c r="E759" s="21"/>
      <c r="F759" s="91"/>
      <c r="G759" s="21"/>
      <c r="H759" s="21"/>
      <c r="I759" s="21"/>
      <c r="J759" s="9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3.2">
      <c r="A760" s="21"/>
      <c r="B760" s="21"/>
      <c r="C760" s="21"/>
      <c r="D760" s="21"/>
      <c r="E760" s="21"/>
      <c r="F760" s="91"/>
      <c r="G760" s="21"/>
      <c r="H760" s="21"/>
      <c r="I760" s="21"/>
      <c r="J760" s="9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3.2">
      <c r="A761" s="21"/>
      <c r="B761" s="21"/>
      <c r="C761" s="21"/>
      <c r="D761" s="21"/>
      <c r="E761" s="21"/>
      <c r="F761" s="91"/>
      <c r="G761" s="21"/>
      <c r="H761" s="21"/>
      <c r="I761" s="21"/>
      <c r="J761" s="9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3.2">
      <c r="A762" s="21"/>
      <c r="B762" s="21"/>
      <c r="C762" s="21"/>
      <c r="D762" s="21"/>
      <c r="E762" s="21"/>
      <c r="F762" s="91"/>
      <c r="G762" s="21"/>
      <c r="H762" s="21"/>
      <c r="I762" s="21"/>
      <c r="J762" s="9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3.2">
      <c r="A763" s="21"/>
      <c r="B763" s="21"/>
      <c r="C763" s="21"/>
      <c r="D763" s="21"/>
      <c r="E763" s="21"/>
      <c r="F763" s="91"/>
      <c r="G763" s="21"/>
      <c r="H763" s="21"/>
      <c r="I763" s="21"/>
      <c r="J763" s="9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3.2">
      <c r="A764" s="21"/>
      <c r="B764" s="21"/>
      <c r="C764" s="21"/>
      <c r="D764" s="21"/>
      <c r="E764" s="21"/>
      <c r="F764" s="91"/>
      <c r="G764" s="21"/>
      <c r="H764" s="21"/>
      <c r="I764" s="21"/>
      <c r="J764" s="9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3.2">
      <c r="A765" s="21"/>
      <c r="B765" s="21"/>
      <c r="C765" s="21"/>
      <c r="D765" s="21"/>
      <c r="E765" s="21"/>
      <c r="F765" s="91"/>
      <c r="G765" s="21"/>
      <c r="H765" s="21"/>
      <c r="I765" s="21"/>
      <c r="J765" s="9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3.2">
      <c r="A766" s="21"/>
      <c r="B766" s="21"/>
      <c r="C766" s="21"/>
      <c r="D766" s="21"/>
      <c r="E766" s="21"/>
      <c r="F766" s="91"/>
      <c r="G766" s="21"/>
      <c r="H766" s="21"/>
      <c r="I766" s="21"/>
      <c r="J766" s="9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3.2">
      <c r="A767" s="21"/>
      <c r="B767" s="21"/>
      <c r="C767" s="21"/>
      <c r="D767" s="21"/>
      <c r="E767" s="21"/>
      <c r="F767" s="91"/>
      <c r="G767" s="21"/>
      <c r="H767" s="21"/>
      <c r="I767" s="21"/>
      <c r="J767" s="9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3.2">
      <c r="A768" s="21"/>
      <c r="B768" s="21"/>
      <c r="C768" s="21"/>
      <c r="D768" s="21"/>
      <c r="E768" s="21"/>
      <c r="F768" s="91"/>
      <c r="G768" s="21"/>
      <c r="H768" s="21"/>
      <c r="I768" s="21"/>
      <c r="J768" s="9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3.2">
      <c r="A769" s="21"/>
      <c r="B769" s="21"/>
      <c r="C769" s="21"/>
      <c r="D769" s="21"/>
      <c r="E769" s="21"/>
      <c r="F769" s="91"/>
      <c r="G769" s="21"/>
      <c r="H769" s="21"/>
      <c r="I769" s="21"/>
      <c r="J769" s="9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3.2">
      <c r="A770" s="21"/>
      <c r="B770" s="21"/>
      <c r="C770" s="21"/>
      <c r="D770" s="21"/>
      <c r="E770" s="21"/>
      <c r="F770" s="91"/>
      <c r="G770" s="21"/>
      <c r="H770" s="21"/>
      <c r="I770" s="21"/>
      <c r="J770" s="9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3.2">
      <c r="A771" s="21"/>
      <c r="B771" s="21"/>
      <c r="C771" s="21"/>
      <c r="D771" s="21"/>
      <c r="E771" s="21"/>
      <c r="F771" s="91"/>
      <c r="G771" s="21"/>
      <c r="H771" s="21"/>
      <c r="I771" s="21"/>
      <c r="J771" s="9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3.2">
      <c r="A772" s="21"/>
      <c r="B772" s="21"/>
      <c r="C772" s="21"/>
      <c r="D772" s="21"/>
      <c r="E772" s="21"/>
      <c r="F772" s="91"/>
      <c r="G772" s="21"/>
      <c r="H772" s="21"/>
      <c r="I772" s="21"/>
      <c r="J772" s="9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3.2">
      <c r="A773" s="21"/>
      <c r="B773" s="21"/>
      <c r="C773" s="21"/>
      <c r="D773" s="21"/>
      <c r="E773" s="21"/>
      <c r="F773" s="91"/>
      <c r="G773" s="21"/>
      <c r="H773" s="21"/>
      <c r="I773" s="21"/>
      <c r="J773" s="9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3.2">
      <c r="A774" s="21"/>
      <c r="B774" s="21"/>
      <c r="C774" s="21"/>
      <c r="D774" s="21"/>
      <c r="E774" s="21"/>
      <c r="F774" s="91"/>
      <c r="G774" s="21"/>
      <c r="H774" s="21"/>
      <c r="I774" s="21"/>
      <c r="J774" s="9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3.2">
      <c r="A775" s="21"/>
      <c r="B775" s="21"/>
      <c r="C775" s="21"/>
      <c r="D775" s="21"/>
      <c r="E775" s="21"/>
      <c r="F775" s="91"/>
      <c r="G775" s="21"/>
      <c r="H775" s="21"/>
      <c r="I775" s="21"/>
      <c r="J775" s="9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3.2">
      <c r="A776" s="21"/>
      <c r="B776" s="21"/>
      <c r="C776" s="21"/>
      <c r="D776" s="21"/>
      <c r="E776" s="21"/>
      <c r="F776" s="91"/>
      <c r="G776" s="21"/>
      <c r="H776" s="21"/>
      <c r="I776" s="21"/>
      <c r="J776" s="9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3.2">
      <c r="A777" s="21"/>
      <c r="B777" s="21"/>
      <c r="C777" s="21"/>
      <c r="D777" s="21"/>
      <c r="E777" s="21"/>
      <c r="F777" s="91"/>
      <c r="G777" s="21"/>
      <c r="H777" s="21"/>
      <c r="I777" s="21"/>
      <c r="J777" s="9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3.2">
      <c r="A778" s="21"/>
      <c r="B778" s="21"/>
      <c r="C778" s="21"/>
      <c r="D778" s="21"/>
      <c r="E778" s="21"/>
      <c r="F778" s="91"/>
      <c r="G778" s="21"/>
      <c r="H778" s="21"/>
      <c r="I778" s="21"/>
      <c r="J778" s="9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3.2">
      <c r="A779" s="21"/>
      <c r="B779" s="21"/>
      <c r="C779" s="21"/>
      <c r="D779" s="21"/>
      <c r="E779" s="21"/>
      <c r="F779" s="91"/>
      <c r="G779" s="21"/>
      <c r="H779" s="21"/>
      <c r="I779" s="21"/>
      <c r="J779" s="9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3.2">
      <c r="A780" s="21"/>
      <c r="B780" s="21"/>
      <c r="C780" s="21"/>
      <c r="D780" s="21"/>
      <c r="E780" s="21"/>
      <c r="F780" s="91"/>
      <c r="G780" s="21"/>
      <c r="H780" s="21"/>
      <c r="I780" s="21"/>
      <c r="J780" s="9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3.2">
      <c r="A781" s="21"/>
      <c r="B781" s="21"/>
      <c r="C781" s="21"/>
      <c r="D781" s="21"/>
      <c r="E781" s="21"/>
      <c r="F781" s="91"/>
      <c r="G781" s="21"/>
      <c r="H781" s="21"/>
      <c r="I781" s="21"/>
      <c r="J781" s="9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3.2">
      <c r="A782" s="21"/>
      <c r="B782" s="21"/>
      <c r="C782" s="21"/>
      <c r="D782" s="21"/>
      <c r="E782" s="21"/>
      <c r="F782" s="91"/>
      <c r="G782" s="21"/>
      <c r="H782" s="21"/>
      <c r="I782" s="21"/>
      <c r="J782" s="9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3.2">
      <c r="A783" s="21"/>
      <c r="B783" s="21"/>
      <c r="C783" s="21"/>
      <c r="D783" s="21"/>
      <c r="E783" s="21"/>
      <c r="F783" s="91"/>
      <c r="G783" s="21"/>
      <c r="H783" s="21"/>
      <c r="I783" s="21"/>
      <c r="J783" s="9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3.2">
      <c r="A784" s="21"/>
      <c r="B784" s="21"/>
      <c r="C784" s="21"/>
      <c r="D784" s="21"/>
      <c r="E784" s="21"/>
      <c r="F784" s="91"/>
      <c r="G784" s="21"/>
      <c r="H784" s="21"/>
      <c r="I784" s="21"/>
      <c r="J784" s="9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3.2">
      <c r="A785" s="21"/>
      <c r="B785" s="21"/>
      <c r="C785" s="21"/>
      <c r="D785" s="21"/>
      <c r="E785" s="21"/>
      <c r="F785" s="91"/>
      <c r="G785" s="21"/>
      <c r="H785" s="21"/>
      <c r="I785" s="21"/>
      <c r="J785" s="9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3.2">
      <c r="A786" s="21"/>
      <c r="B786" s="21"/>
      <c r="C786" s="21"/>
      <c r="D786" s="21"/>
      <c r="E786" s="21"/>
      <c r="F786" s="91"/>
      <c r="G786" s="21"/>
      <c r="H786" s="21"/>
      <c r="I786" s="21"/>
      <c r="J786" s="9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3.2">
      <c r="A787" s="21"/>
      <c r="B787" s="21"/>
      <c r="C787" s="21"/>
      <c r="D787" s="21"/>
      <c r="E787" s="21"/>
      <c r="F787" s="91"/>
      <c r="G787" s="21"/>
      <c r="H787" s="21"/>
      <c r="I787" s="21"/>
      <c r="J787" s="9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3.2">
      <c r="A788" s="21"/>
      <c r="B788" s="21"/>
      <c r="C788" s="21"/>
      <c r="D788" s="21"/>
      <c r="E788" s="21"/>
      <c r="F788" s="91"/>
      <c r="G788" s="21"/>
      <c r="H788" s="21"/>
      <c r="I788" s="21"/>
      <c r="J788" s="9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3.2">
      <c r="A789" s="21"/>
      <c r="B789" s="21"/>
      <c r="C789" s="21"/>
      <c r="D789" s="21"/>
      <c r="E789" s="21"/>
      <c r="F789" s="91"/>
      <c r="G789" s="21"/>
      <c r="H789" s="21"/>
      <c r="I789" s="21"/>
      <c r="J789" s="9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3.2">
      <c r="A790" s="21"/>
      <c r="B790" s="21"/>
      <c r="C790" s="21"/>
      <c r="D790" s="21"/>
      <c r="E790" s="21"/>
      <c r="F790" s="91"/>
      <c r="G790" s="21"/>
      <c r="H790" s="21"/>
      <c r="I790" s="21"/>
      <c r="J790" s="9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3.2">
      <c r="A791" s="21"/>
      <c r="B791" s="21"/>
      <c r="C791" s="21"/>
      <c r="D791" s="21"/>
      <c r="E791" s="21"/>
      <c r="F791" s="91"/>
      <c r="G791" s="21"/>
      <c r="H791" s="21"/>
      <c r="I791" s="21"/>
      <c r="J791" s="9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3.2">
      <c r="A792" s="21"/>
      <c r="B792" s="21"/>
      <c r="C792" s="21"/>
      <c r="D792" s="21"/>
      <c r="E792" s="21"/>
      <c r="F792" s="91"/>
      <c r="G792" s="21"/>
      <c r="H792" s="21"/>
      <c r="I792" s="21"/>
      <c r="J792" s="9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3.2">
      <c r="A793" s="21"/>
      <c r="B793" s="21"/>
      <c r="C793" s="21"/>
      <c r="D793" s="21"/>
      <c r="E793" s="21"/>
      <c r="F793" s="91"/>
      <c r="G793" s="21"/>
      <c r="H793" s="21"/>
      <c r="I793" s="21"/>
      <c r="J793" s="9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3.2">
      <c r="A794" s="21"/>
      <c r="B794" s="21"/>
      <c r="C794" s="21"/>
      <c r="D794" s="21"/>
      <c r="E794" s="21"/>
      <c r="F794" s="91"/>
      <c r="G794" s="21"/>
      <c r="H794" s="21"/>
      <c r="I794" s="21"/>
      <c r="J794" s="9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3.2">
      <c r="A795" s="21"/>
      <c r="B795" s="21"/>
      <c r="C795" s="21"/>
      <c r="D795" s="21"/>
      <c r="E795" s="21"/>
      <c r="F795" s="91"/>
      <c r="G795" s="21"/>
      <c r="H795" s="21"/>
      <c r="I795" s="21"/>
      <c r="J795" s="9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3.2">
      <c r="A796" s="21"/>
      <c r="B796" s="21"/>
      <c r="C796" s="21"/>
      <c r="D796" s="21"/>
      <c r="E796" s="21"/>
      <c r="F796" s="91"/>
      <c r="G796" s="21"/>
      <c r="H796" s="21"/>
      <c r="I796" s="21"/>
      <c r="J796" s="9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3.2">
      <c r="A797" s="21"/>
      <c r="B797" s="21"/>
      <c r="C797" s="21"/>
      <c r="D797" s="21"/>
      <c r="E797" s="21"/>
      <c r="F797" s="91"/>
      <c r="G797" s="21"/>
      <c r="H797" s="21"/>
      <c r="I797" s="21"/>
      <c r="J797" s="9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3.2">
      <c r="A798" s="21"/>
      <c r="B798" s="21"/>
      <c r="C798" s="21"/>
      <c r="D798" s="21"/>
      <c r="E798" s="21"/>
      <c r="F798" s="91"/>
      <c r="G798" s="21"/>
      <c r="H798" s="21"/>
      <c r="I798" s="21"/>
      <c r="J798" s="9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3.2">
      <c r="A799" s="21"/>
      <c r="B799" s="21"/>
      <c r="C799" s="21"/>
      <c r="D799" s="21"/>
      <c r="E799" s="21"/>
      <c r="F799" s="91"/>
      <c r="G799" s="21"/>
      <c r="H799" s="21"/>
      <c r="I799" s="21"/>
      <c r="J799" s="9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3.2">
      <c r="A800" s="21"/>
      <c r="B800" s="21"/>
      <c r="C800" s="21"/>
      <c r="D800" s="21"/>
      <c r="E800" s="21"/>
      <c r="F800" s="91"/>
      <c r="G800" s="21"/>
      <c r="H800" s="21"/>
      <c r="I800" s="21"/>
      <c r="J800" s="9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3.2">
      <c r="A801" s="21"/>
      <c r="B801" s="21"/>
      <c r="C801" s="21"/>
      <c r="D801" s="21"/>
      <c r="E801" s="21"/>
      <c r="F801" s="91"/>
      <c r="G801" s="21"/>
      <c r="H801" s="21"/>
      <c r="I801" s="21"/>
      <c r="J801" s="9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3.2">
      <c r="A802" s="21"/>
      <c r="B802" s="21"/>
      <c r="C802" s="21"/>
      <c r="D802" s="21"/>
      <c r="E802" s="21"/>
      <c r="F802" s="91"/>
      <c r="G802" s="21"/>
      <c r="H802" s="21"/>
      <c r="I802" s="21"/>
      <c r="J802" s="9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3.2">
      <c r="A803" s="21"/>
      <c r="B803" s="21"/>
      <c r="C803" s="21"/>
      <c r="D803" s="21"/>
      <c r="E803" s="21"/>
      <c r="F803" s="91"/>
      <c r="G803" s="21"/>
      <c r="H803" s="21"/>
      <c r="I803" s="21"/>
      <c r="J803" s="9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3.2">
      <c r="A804" s="21"/>
      <c r="B804" s="21"/>
      <c r="C804" s="21"/>
      <c r="D804" s="21"/>
      <c r="E804" s="21"/>
      <c r="F804" s="91"/>
      <c r="G804" s="21"/>
      <c r="H804" s="21"/>
      <c r="I804" s="21"/>
      <c r="J804" s="9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3.2">
      <c r="A805" s="21"/>
      <c r="B805" s="21"/>
      <c r="C805" s="21"/>
      <c r="D805" s="21"/>
      <c r="E805" s="21"/>
      <c r="F805" s="91"/>
      <c r="G805" s="21"/>
      <c r="H805" s="21"/>
      <c r="I805" s="21"/>
      <c r="J805" s="9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3.2">
      <c r="A806" s="21"/>
      <c r="B806" s="21"/>
      <c r="C806" s="21"/>
      <c r="D806" s="21"/>
      <c r="E806" s="21"/>
      <c r="F806" s="91"/>
      <c r="G806" s="21"/>
      <c r="H806" s="21"/>
      <c r="I806" s="21"/>
      <c r="J806" s="9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3.2">
      <c r="A807" s="21"/>
      <c r="B807" s="21"/>
      <c r="C807" s="21"/>
      <c r="D807" s="21"/>
      <c r="E807" s="21"/>
      <c r="F807" s="91"/>
      <c r="G807" s="21"/>
      <c r="H807" s="21"/>
      <c r="I807" s="21"/>
      <c r="J807" s="9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3.2">
      <c r="A808" s="21"/>
      <c r="B808" s="21"/>
      <c r="C808" s="21"/>
      <c r="D808" s="21"/>
      <c r="E808" s="21"/>
      <c r="F808" s="91"/>
      <c r="G808" s="21"/>
      <c r="H808" s="21"/>
      <c r="I808" s="21"/>
      <c r="J808" s="9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3.2">
      <c r="A809" s="21"/>
      <c r="B809" s="21"/>
      <c r="C809" s="21"/>
      <c r="D809" s="21"/>
      <c r="E809" s="21"/>
      <c r="F809" s="91"/>
      <c r="G809" s="21"/>
      <c r="H809" s="21"/>
      <c r="I809" s="21"/>
      <c r="J809" s="9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3.2">
      <c r="A810" s="21"/>
      <c r="B810" s="21"/>
      <c r="C810" s="21"/>
      <c r="D810" s="21"/>
      <c r="E810" s="21"/>
      <c r="F810" s="91"/>
      <c r="G810" s="21"/>
      <c r="H810" s="21"/>
      <c r="I810" s="21"/>
      <c r="J810" s="9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3.2">
      <c r="A811" s="21"/>
      <c r="B811" s="21"/>
      <c r="C811" s="21"/>
      <c r="D811" s="21"/>
      <c r="E811" s="21"/>
      <c r="F811" s="91"/>
      <c r="G811" s="21"/>
      <c r="H811" s="21"/>
      <c r="I811" s="21"/>
      <c r="J811" s="9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3.2">
      <c r="A812" s="21"/>
      <c r="B812" s="21"/>
      <c r="C812" s="21"/>
      <c r="D812" s="21"/>
      <c r="E812" s="21"/>
      <c r="F812" s="91"/>
      <c r="G812" s="21"/>
      <c r="H812" s="21"/>
      <c r="I812" s="21"/>
      <c r="J812" s="9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3.2">
      <c r="A813" s="21"/>
      <c r="B813" s="21"/>
      <c r="C813" s="21"/>
      <c r="D813" s="21"/>
      <c r="E813" s="21"/>
      <c r="F813" s="91"/>
      <c r="G813" s="21"/>
      <c r="H813" s="21"/>
      <c r="I813" s="21"/>
      <c r="J813" s="9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3.2">
      <c r="A814" s="21"/>
      <c r="B814" s="21"/>
      <c r="C814" s="21"/>
      <c r="D814" s="21"/>
      <c r="E814" s="21"/>
      <c r="F814" s="91"/>
      <c r="G814" s="21"/>
      <c r="H814" s="21"/>
      <c r="I814" s="21"/>
      <c r="J814" s="9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3.2">
      <c r="A815" s="21"/>
      <c r="B815" s="21"/>
      <c r="C815" s="21"/>
      <c r="D815" s="21"/>
      <c r="E815" s="21"/>
      <c r="F815" s="91"/>
      <c r="G815" s="21"/>
      <c r="H815" s="21"/>
      <c r="I815" s="21"/>
      <c r="J815" s="9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3.2">
      <c r="A816" s="21"/>
      <c r="B816" s="21"/>
      <c r="C816" s="21"/>
      <c r="D816" s="21"/>
      <c r="E816" s="21"/>
      <c r="F816" s="91"/>
      <c r="G816" s="21"/>
      <c r="H816" s="21"/>
      <c r="I816" s="21"/>
      <c r="J816" s="9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3.2">
      <c r="A817" s="21"/>
      <c r="B817" s="21"/>
      <c r="C817" s="21"/>
      <c r="D817" s="21"/>
      <c r="E817" s="21"/>
      <c r="F817" s="91"/>
      <c r="G817" s="21"/>
      <c r="H817" s="21"/>
      <c r="I817" s="21"/>
      <c r="J817" s="9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3.2">
      <c r="A818" s="21"/>
      <c r="B818" s="21"/>
      <c r="C818" s="21"/>
      <c r="D818" s="21"/>
      <c r="E818" s="21"/>
      <c r="F818" s="91"/>
      <c r="G818" s="21"/>
      <c r="H818" s="21"/>
      <c r="I818" s="21"/>
      <c r="J818" s="9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3.2">
      <c r="A819" s="21"/>
      <c r="B819" s="21"/>
      <c r="C819" s="21"/>
      <c r="D819" s="21"/>
      <c r="E819" s="21"/>
      <c r="F819" s="91"/>
      <c r="G819" s="21"/>
      <c r="H819" s="21"/>
      <c r="I819" s="21"/>
      <c r="J819" s="9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3.2">
      <c r="A820" s="21"/>
      <c r="B820" s="21"/>
      <c r="C820" s="21"/>
      <c r="D820" s="21"/>
      <c r="E820" s="21"/>
      <c r="F820" s="91"/>
      <c r="G820" s="21"/>
      <c r="H820" s="21"/>
      <c r="I820" s="21"/>
      <c r="J820" s="9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3.2">
      <c r="A821" s="21"/>
      <c r="B821" s="21"/>
      <c r="C821" s="21"/>
      <c r="D821" s="21"/>
      <c r="E821" s="21"/>
      <c r="F821" s="91"/>
      <c r="G821" s="21"/>
      <c r="H821" s="21"/>
      <c r="I821" s="21"/>
      <c r="J821" s="9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3.2">
      <c r="A822" s="21"/>
      <c r="B822" s="21"/>
      <c r="C822" s="21"/>
      <c r="D822" s="21"/>
      <c r="E822" s="21"/>
      <c r="F822" s="91"/>
      <c r="G822" s="21"/>
      <c r="H822" s="21"/>
      <c r="I822" s="21"/>
      <c r="J822" s="9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3.2">
      <c r="A823" s="21"/>
      <c r="B823" s="21"/>
      <c r="C823" s="21"/>
      <c r="D823" s="21"/>
      <c r="E823" s="21"/>
      <c r="F823" s="91"/>
      <c r="G823" s="21"/>
      <c r="H823" s="21"/>
      <c r="I823" s="21"/>
      <c r="J823" s="9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3.2">
      <c r="A824" s="21"/>
      <c r="B824" s="21"/>
      <c r="C824" s="21"/>
      <c r="D824" s="21"/>
      <c r="E824" s="21"/>
      <c r="F824" s="91"/>
      <c r="G824" s="21"/>
      <c r="H824" s="21"/>
      <c r="I824" s="21"/>
      <c r="J824" s="9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3.2">
      <c r="A825" s="21"/>
      <c r="B825" s="21"/>
      <c r="C825" s="21"/>
      <c r="D825" s="21"/>
      <c r="E825" s="21"/>
      <c r="F825" s="91"/>
      <c r="G825" s="21"/>
      <c r="H825" s="21"/>
      <c r="I825" s="21"/>
      <c r="J825" s="9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3.2">
      <c r="A826" s="21"/>
      <c r="B826" s="21"/>
      <c r="C826" s="21"/>
      <c r="D826" s="21"/>
      <c r="E826" s="21"/>
      <c r="F826" s="91"/>
      <c r="G826" s="21"/>
      <c r="H826" s="21"/>
      <c r="I826" s="21"/>
      <c r="J826" s="9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3.2">
      <c r="A827" s="21"/>
      <c r="B827" s="21"/>
      <c r="C827" s="21"/>
      <c r="D827" s="21"/>
      <c r="E827" s="21"/>
      <c r="F827" s="91"/>
      <c r="G827" s="21"/>
      <c r="H827" s="21"/>
      <c r="I827" s="21"/>
      <c r="J827" s="9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3.2">
      <c r="A828" s="21"/>
      <c r="B828" s="21"/>
      <c r="C828" s="21"/>
      <c r="D828" s="21"/>
      <c r="E828" s="21"/>
      <c r="F828" s="91"/>
      <c r="G828" s="21"/>
      <c r="H828" s="21"/>
      <c r="I828" s="21"/>
      <c r="J828" s="9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3.2">
      <c r="A829" s="21"/>
      <c r="B829" s="21"/>
      <c r="C829" s="21"/>
      <c r="D829" s="21"/>
      <c r="E829" s="21"/>
      <c r="F829" s="91"/>
      <c r="G829" s="21"/>
      <c r="H829" s="21"/>
      <c r="I829" s="21"/>
      <c r="J829" s="9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3.2">
      <c r="A830" s="21"/>
      <c r="B830" s="21"/>
      <c r="C830" s="21"/>
      <c r="D830" s="21"/>
      <c r="E830" s="21"/>
      <c r="F830" s="91"/>
      <c r="G830" s="21"/>
      <c r="H830" s="21"/>
      <c r="I830" s="21"/>
      <c r="J830" s="9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3.2">
      <c r="A831" s="21"/>
      <c r="B831" s="21"/>
      <c r="C831" s="21"/>
      <c r="D831" s="21"/>
      <c r="E831" s="21"/>
      <c r="F831" s="91"/>
      <c r="G831" s="21"/>
      <c r="H831" s="21"/>
      <c r="I831" s="21"/>
      <c r="J831" s="9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3.2">
      <c r="A832" s="21"/>
      <c r="B832" s="21"/>
      <c r="C832" s="21"/>
      <c r="D832" s="21"/>
      <c r="E832" s="21"/>
      <c r="F832" s="91"/>
      <c r="G832" s="21"/>
      <c r="H832" s="21"/>
      <c r="I832" s="21"/>
      <c r="J832" s="9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3.2">
      <c r="A833" s="21"/>
      <c r="B833" s="21"/>
      <c r="C833" s="21"/>
      <c r="D833" s="21"/>
      <c r="E833" s="21"/>
      <c r="F833" s="91"/>
      <c r="G833" s="21"/>
      <c r="H833" s="21"/>
      <c r="I833" s="21"/>
      <c r="J833" s="9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3.2">
      <c r="A834" s="21"/>
      <c r="B834" s="21"/>
      <c r="C834" s="21"/>
      <c r="D834" s="21"/>
      <c r="E834" s="21"/>
      <c r="F834" s="91"/>
      <c r="G834" s="21"/>
      <c r="H834" s="21"/>
      <c r="I834" s="21"/>
      <c r="J834" s="9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3.2">
      <c r="A835" s="21"/>
      <c r="B835" s="21"/>
      <c r="C835" s="21"/>
      <c r="D835" s="21"/>
      <c r="E835" s="21"/>
      <c r="F835" s="91"/>
      <c r="G835" s="21"/>
      <c r="H835" s="21"/>
      <c r="I835" s="21"/>
      <c r="J835" s="9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3.2">
      <c r="A836" s="21"/>
      <c r="B836" s="21"/>
      <c r="C836" s="21"/>
      <c r="D836" s="21"/>
      <c r="E836" s="21"/>
      <c r="F836" s="91"/>
      <c r="G836" s="21"/>
      <c r="H836" s="21"/>
      <c r="I836" s="21"/>
      <c r="J836" s="9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3.2">
      <c r="A837" s="58"/>
      <c r="B837" s="58"/>
      <c r="C837" s="58"/>
      <c r="D837" s="58"/>
      <c r="E837" s="58"/>
      <c r="F837" s="56"/>
      <c r="G837" s="58"/>
      <c r="H837" s="58"/>
      <c r="I837" s="58"/>
      <c r="J837" s="56"/>
      <c r="K837" s="58"/>
    </row>
    <row r="838" spans="1:30" ht="13.2">
      <c r="A838" s="58"/>
      <c r="B838" s="58"/>
      <c r="C838" s="58"/>
      <c r="D838" s="58"/>
      <c r="E838" s="58"/>
      <c r="F838" s="56"/>
      <c r="G838" s="58"/>
      <c r="H838" s="58"/>
      <c r="I838" s="58"/>
      <c r="J838" s="56"/>
      <c r="K838" s="58"/>
    </row>
    <row r="839" spans="1:30" ht="13.2">
      <c r="A839" s="58"/>
      <c r="B839" s="58"/>
      <c r="C839" s="58"/>
      <c r="D839" s="58"/>
      <c r="E839" s="58"/>
      <c r="F839" s="56"/>
      <c r="G839" s="58"/>
      <c r="H839" s="58"/>
      <c r="I839" s="58"/>
      <c r="J839" s="56"/>
      <c r="K839" s="58"/>
    </row>
    <row r="840" spans="1:30" ht="13.2">
      <c r="A840" s="58"/>
      <c r="B840" s="58"/>
      <c r="C840" s="58"/>
      <c r="D840" s="58"/>
      <c r="E840" s="58"/>
      <c r="F840" s="56"/>
      <c r="G840" s="58"/>
      <c r="H840" s="58"/>
      <c r="I840" s="58"/>
      <c r="J840" s="56"/>
      <c r="K840" s="58"/>
    </row>
    <row r="841" spans="1:30" ht="13.2">
      <c r="A841" s="58"/>
      <c r="B841" s="58"/>
      <c r="C841" s="58"/>
      <c r="D841" s="58"/>
      <c r="E841" s="58"/>
      <c r="F841" s="56"/>
      <c r="G841" s="58"/>
      <c r="H841" s="58"/>
      <c r="I841" s="58"/>
      <c r="J841" s="56"/>
      <c r="K841" s="58"/>
    </row>
    <row r="842" spans="1:30" ht="13.2">
      <c r="A842" s="58"/>
      <c r="B842" s="58"/>
      <c r="C842" s="58"/>
      <c r="D842" s="58"/>
      <c r="E842" s="58"/>
      <c r="F842" s="56"/>
      <c r="G842" s="58"/>
      <c r="H842" s="58"/>
      <c r="I842" s="58"/>
      <c r="J842" s="56"/>
      <c r="K842" s="58"/>
    </row>
    <row r="843" spans="1:30" ht="13.2">
      <c r="A843" s="58"/>
      <c r="B843" s="58"/>
      <c r="C843" s="58"/>
      <c r="D843" s="58"/>
      <c r="E843" s="58"/>
      <c r="F843" s="56"/>
      <c r="G843" s="58"/>
      <c r="H843" s="58"/>
      <c r="I843" s="58"/>
      <c r="J843" s="56"/>
      <c r="K843" s="58"/>
    </row>
    <row r="844" spans="1:30" ht="13.2">
      <c r="A844" s="58"/>
      <c r="B844" s="58"/>
      <c r="C844" s="58"/>
      <c r="D844" s="58"/>
      <c r="E844" s="58"/>
      <c r="F844" s="56"/>
      <c r="G844" s="58"/>
      <c r="H844" s="58"/>
      <c r="I844" s="58"/>
      <c r="J844" s="56"/>
      <c r="K844" s="58"/>
    </row>
    <row r="845" spans="1:30" ht="13.2">
      <c r="A845" s="58"/>
      <c r="B845" s="58"/>
      <c r="C845" s="58"/>
      <c r="D845" s="58"/>
      <c r="E845" s="58"/>
      <c r="F845" s="56"/>
      <c r="G845" s="58"/>
      <c r="H845" s="58"/>
      <c r="I845" s="58"/>
      <c r="J845" s="56"/>
      <c r="K845" s="58"/>
    </row>
    <row r="846" spans="1:30" ht="13.2">
      <c r="A846" s="58"/>
      <c r="B846" s="58"/>
      <c r="C846" s="58"/>
      <c r="D846" s="58"/>
      <c r="E846" s="58"/>
      <c r="F846" s="56"/>
      <c r="G846" s="58"/>
      <c r="H846" s="58"/>
      <c r="I846" s="58"/>
      <c r="J846" s="56"/>
      <c r="K846" s="58"/>
    </row>
    <row r="847" spans="1:30" ht="13.2">
      <c r="A847" s="58"/>
      <c r="B847" s="58"/>
      <c r="C847" s="58"/>
      <c r="D847" s="58"/>
      <c r="E847" s="58"/>
      <c r="F847" s="56"/>
      <c r="G847" s="58"/>
      <c r="H847" s="58"/>
      <c r="I847" s="58"/>
      <c r="J847" s="56"/>
      <c r="K847" s="58"/>
    </row>
    <row r="848" spans="1:30" ht="13.2">
      <c r="A848" s="75"/>
      <c r="B848" s="75"/>
      <c r="C848" s="75"/>
      <c r="D848" s="75"/>
      <c r="E848" s="75"/>
      <c r="F848" s="71"/>
      <c r="G848" s="75"/>
      <c r="H848" s="75"/>
      <c r="I848" s="75"/>
      <c r="J848" s="71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</row>
    <row r="849" spans="1:30" ht="13.2">
      <c r="A849" s="75"/>
      <c r="B849" s="75"/>
      <c r="C849" s="75"/>
      <c r="D849" s="75"/>
      <c r="E849" s="75"/>
      <c r="F849" s="71"/>
      <c r="G849" s="75"/>
      <c r="H849" s="75"/>
      <c r="I849" s="75"/>
      <c r="J849" s="71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</row>
    <row r="850" spans="1:30" ht="13.2">
      <c r="A850" s="75"/>
      <c r="B850" s="75"/>
      <c r="C850" s="75"/>
      <c r="D850" s="75"/>
      <c r="E850" s="75"/>
      <c r="F850" s="71"/>
      <c r="G850" s="75"/>
      <c r="H850" s="75"/>
      <c r="I850" s="75"/>
      <c r="J850" s="71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</row>
    <row r="851" spans="1:30" ht="13.2">
      <c r="A851" s="75"/>
      <c r="B851" s="75"/>
      <c r="C851" s="75"/>
      <c r="D851" s="75"/>
      <c r="E851" s="75"/>
      <c r="F851" s="71"/>
      <c r="G851" s="75"/>
      <c r="H851" s="75"/>
      <c r="I851" s="75"/>
      <c r="J851" s="71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</row>
    <row r="852" spans="1:30" ht="13.2">
      <c r="A852" s="75"/>
      <c r="B852" s="75"/>
      <c r="C852" s="75"/>
      <c r="D852" s="75"/>
      <c r="E852" s="75"/>
      <c r="F852" s="71"/>
      <c r="G852" s="75"/>
      <c r="H852" s="75"/>
      <c r="I852" s="75"/>
      <c r="J852" s="71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</row>
    <row r="853" spans="1:30" ht="13.2">
      <c r="A853" s="75"/>
      <c r="B853" s="75"/>
      <c r="C853" s="75"/>
      <c r="D853" s="75"/>
      <c r="E853" s="75"/>
      <c r="F853" s="71"/>
      <c r="G853" s="75"/>
      <c r="H853" s="75"/>
      <c r="I853" s="75"/>
      <c r="J853" s="71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</row>
    <row r="854" spans="1:30" ht="13.2">
      <c r="A854" s="75"/>
      <c r="B854" s="75"/>
      <c r="C854" s="75"/>
      <c r="D854" s="75"/>
      <c r="E854" s="75"/>
      <c r="F854" s="71"/>
      <c r="G854" s="75"/>
      <c r="H854" s="75"/>
      <c r="I854" s="75"/>
      <c r="J854" s="71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</row>
    <row r="855" spans="1:30" ht="13.2">
      <c r="A855" s="75"/>
      <c r="B855" s="75"/>
      <c r="C855" s="75"/>
      <c r="D855" s="75"/>
      <c r="E855" s="75"/>
      <c r="F855" s="71"/>
      <c r="G855" s="75"/>
      <c r="H855" s="75"/>
      <c r="I855" s="75"/>
      <c r="J855" s="71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</row>
    <row r="856" spans="1:30" ht="13.2">
      <c r="A856" s="75"/>
      <c r="B856" s="75"/>
      <c r="C856" s="75"/>
      <c r="D856" s="75"/>
      <c r="E856" s="75"/>
      <c r="F856" s="71"/>
      <c r="G856" s="75"/>
      <c r="H856" s="75"/>
      <c r="I856" s="75"/>
      <c r="J856" s="71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</row>
    <row r="857" spans="1:30" ht="13.2">
      <c r="A857" s="75"/>
      <c r="B857" s="75"/>
      <c r="C857" s="75"/>
      <c r="D857" s="75"/>
      <c r="E857" s="75"/>
      <c r="F857" s="71"/>
      <c r="G857" s="75"/>
      <c r="H857" s="75"/>
      <c r="I857" s="75"/>
      <c r="J857" s="71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</row>
    <row r="858" spans="1:30" ht="13.2">
      <c r="A858" s="75"/>
      <c r="B858" s="75"/>
      <c r="C858" s="75"/>
      <c r="D858" s="75"/>
      <c r="E858" s="75"/>
      <c r="F858" s="71"/>
      <c r="G858" s="75"/>
      <c r="H858" s="75"/>
      <c r="I858" s="75"/>
      <c r="J858" s="71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</row>
    <row r="859" spans="1:30" ht="13.2">
      <c r="A859" s="75"/>
      <c r="B859" s="75"/>
      <c r="C859" s="75"/>
      <c r="D859" s="75"/>
      <c r="E859" s="75"/>
      <c r="F859" s="71"/>
      <c r="G859" s="75"/>
      <c r="H859" s="75"/>
      <c r="I859" s="75"/>
      <c r="J859" s="71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</row>
    <row r="860" spans="1:30" ht="13.2">
      <c r="A860" s="75"/>
      <c r="B860" s="75"/>
      <c r="C860" s="75"/>
      <c r="D860" s="75"/>
      <c r="E860" s="75"/>
      <c r="F860" s="71"/>
      <c r="G860" s="75"/>
      <c r="H860" s="75"/>
      <c r="I860" s="75"/>
      <c r="J860" s="71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</row>
    <row r="861" spans="1:30" ht="13.2">
      <c r="A861" s="75"/>
      <c r="B861" s="75"/>
      <c r="C861" s="75"/>
      <c r="D861" s="75"/>
      <c r="E861" s="75"/>
      <c r="F861" s="71"/>
      <c r="G861" s="75"/>
      <c r="H861" s="75"/>
      <c r="I861" s="75"/>
      <c r="J861" s="71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</row>
    <row r="862" spans="1:30" ht="13.2">
      <c r="A862" s="75"/>
      <c r="B862" s="75"/>
      <c r="C862" s="75"/>
      <c r="D862" s="75"/>
      <c r="E862" s="75"/>
      <c r="F862" s="71"/>
      <c r="G862" s="75"/>
      <c r="H862" s="75"/>
      <c r="I862" s="75"/>
      <c r="J862" s="71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</row>
    <row r="863" spans="1:30" ht="13.2">
      <c r="A863" s="75"/>
      <c r="B863" s="75"/>
      <c r="C863" s="75"/>
      <c r="D863" s="75"/>
      <c r="E863" s="75"/>
      <c r="F863" s="71"/>
      <c r="G863" s="75"/>
      <c r="H863" s="75"/>
      <c r="I863" s="75"/>
      <c r="J863" s="71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</row>
    <row r="864" spans="1:30" ht="13.2">
      <c r="A864" s="75"/>
      <c r="B864" s="75"/>
      <c r="C864" s="75"/>
      <c r="D864" s="75"/>
      <c r="E864" s="75"/>
      <c r="F864" s="71"/>
      <c r="G864" s="75"/>
      <c r="H864" s="75"/>
      <c r="I864" s="75"/>
      <c r="J864" s="71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</row>
    <row r="865" spans="1:30" ht="13.2">
      <c r="A865" s="75"/>
      <c r="B865" s="75"/>
      <c r="C865" s="75"/>
      <c r="D865" s="75"/>
      <c r="E865" s="75"/>
      <c r="F865" s="71"/>
      <c r="G865" s="75"/>
      <c r="H865" s="75"/>
      <c r="I865" s="75"/>
      <c r="J865" s="71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</row>
    <row r="866" spans="1:30" ht="13.2">
      <c r="A866" s="21"/>
      <c r="B866" s="21"/>
      <c r="C866" s="21"/>
      <c r="D866" s="21"/>
      <c r="E866" s="21"/>
      <c r="F866" s="91"/>
      <c r="G866" s="21"/>
      <c r="H866" s="21"/>
      <c r="I866" s="21"/>
      <c r="J866" s="9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3.2">
      <c r="A867" s="21"/>
      <c r="B867" s="21"/>
      <c r="C867" s="21"/>
      <c r="D867" s="21"/>
      <c r="E867" s="21"/>
      <c r="F867" s="91"/>
      <c r="G867" s="21"/>
      <c r="H867" s="21"/>
      <c r="I867" s="21"/>
      <c r="J867" s="9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3.2">
      <c r="A868" s="21"/>
      <c r="B868" s="21"/>
      <c r="C868" s="21"/>
      <c r="D868" s="21"/>
      <c r="E868" s="21"/>
      <c r="F868" s="91"/>
      <c r="G868" s="21"/>
      <c r="H868" s="21"/>
      <c r="I868" s="21"/>
      <c r="J868" s="9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3.2">
      <c r="A869" s="21"/>
      <c r="B869" s="21"/>
      <c r="C869" s="21"/>
      <c r="D869" s="21"/>
      <c r="E869" s="21"/>
      <c r="F869" s="91"/>
      <c r="G869" s="21"/>
      <c r="H869" s="21"/>
      <c r="I869" s="21"/>
      <c r="J869" s="9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3.2">
      <c r="A870" s="21"/>
      <c r="B870" s="21"/>
      <c r="C870" s="21"/>
      <c r="D870" s="21"/>
      <c r="E870" s="21"/>
      <c r="F870" s="91"/>
      <c r="G870" s="21"/>
      <c r="H870" s="21"/>
      <c r="I870" s="21"/>
      <c r="J870" s="9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3.2">
      <c r="A871" s="21"/>
      <c r="B871" s="21"/>
      <c r="C871" s="21"/>
      <c r="D871" s="21"/>
      <c r="E871" s="21"/>
      <c r="F871" s="91"/>
      <c r="G871" s="21"/>
      <c r="H871" s="21"/>
      <c r="I871" s="21"/>
      <c r="J871" s="9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3.2">
      <c r="A872" s="21"/>
      <c r="B872" s="21"/>
      <c r="C872" s="21"/>
      <c r="D872" s="21"/>
      <c r="E872" s="21"/>
      <c r="F872" s="91"/>
      <c r="G872" s="21"/>
      <c r="H872" s="21"/>
      <c r="I872" s="21"/>
      <c r="J872" s="9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3.2">
      <c r="A873" s="21"/>
      <c r="B873" s="21"/>
      <c r="C873" s="21"/>
      <c r="D873" s="21"/>
      <c r="E873" s="21"/>
      <c r="F873" s="91"/>
      <c r="G873" s="21"/>
      <c r="H873" s="21"/>
      <c r="I873" s="21"/>
      <c r="J873" s="9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3.2">
      <c r="A874" s="21"/>
      <c r="B874" s="21"/>
      <c r="C874" s="21"/>
      <c r="D874" s="21"/>
      <c r="E874" s="21"/>
      <c r="F874" s="91"/>
      <c r="G874" s="21"/>
      <c r="H874" s="21"/>
      <c r="I874" s="21"/>
      <c r="J874" s="9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3.2">
      <c r="A875" s="21"/>
      <c r="B875" s="21"/>
      <c r="C875" s="21"/>
      <c r="D875" s="21"/>
      <c r="E875" s="21"/>
      <c r="F875" s="91"/>
      <c r="G875" s="21"/>
      <c r="H875" s="21"/>
      <c r="I875" s="21"/>
      <c r="J875" s="9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3.2">
      <c r="A876" s="21"/>
      <c r="B876" s="21"/>
      <c r="C876" s="21"/>
      <c r="D876" s="21"/>
      <c r="E876" s="21"/>
      <c r="F876" s="91"/>
      <c r="G876" s="21"/>
      <c r="H876" s="21"/>
      <c r="I876" s="21"/>
      <c r="J876" s="9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3.2">
      <c r="A877" s="21"/>
      <c r="B877" s="21"/>
      <c r="C877" s="21"/>
      <c r="D877" s="21"/>
      <c r="E877" s="21"/>
      <c r="F877" s="91"/>
      <c r="G877" s="21"/>
      <c r="H877" s="21"/>
      <c r="I877" s="21"/>
      <c r="J877" s="9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3.2">
      <c r="A878" s="21"/>
      <c r="B878" s="21"/>
      <c r="C878" s="21"/>
      <c r="D878" s="21"/>
      <c r="E878" s="21"/>
      <c r="F878" s="91"/>
      <c r="G878" s="21"/>
      <c r="H878" s="21"/>
      <c r="I878" s="21"/>
      <c r="J878" s="9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3.2">
      <c r="A879" s="21"/>
      <c r="B879" s="21"/>
      <c r="C879" s="21"/>
      <c r="D879" s="21"/>
      <c r="E879" s="21"/>
      <c r="F879" s="91"/>
      <c r="G879" s="21"/>
      <c r="H879" s="21"/>
      <c r="I879" s="21"/>
      <c r="J879" s="9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3.2">
      <c r="A880" s="21"/>
      <c r="B880" s="21"/>
      <c r="C880" s="21"/>
      <c r="D880" s="21"/>
      <c r="E880" s="21"/>
      <c r="F880" s="91"/>
      <c r="G880" s="21"/>
      <c r="H880" s="21"/>
      <c r="I880" s="21"/>
      <c r="J880" s="9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3.2">
      <c r="A881" s="21"/>
      <c r="B881" s="21"/>
      <c r="C881" s="21"/>
      <c r="D881" s="21"/>
      <c r="E881" s="21"/>
      <c r="F881" s="91"/>
      <c r="G881" s="21"/>
      <c r="H881" s="21"/>
      <c r="I881" s="21"/>
      <c r="J881" s="9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3.2">
      <c r="A882" s="21"/>
      <c r="B882" s="21"/>
      <c r="C882" s="21"/>
      <c r="D882" s="21"/>
      <c r="E882" s="21"/>
      <c r="F882" s="91"/>
      <c r="G882" s="21"/>
      <c r="H882" s="21"/>
      <c r="I882" s="21"/>
      <c r="J882" s="9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3.2">
      <c r="A883" s="21"/>
      <c r="B883" s="21"/>
      <c r="C883" s="21"/>
      <c r="D883" s="21"/>
      <c r="E883" s="21"/>
      <c r="F883" s="91"/>
      <c r="G883" s="21"/>
      <c r="H883" s="21"/>
      <c r="I883" s="21"/>
      <c r="J883" s="9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3.2">
      <c r="A884" s="21"/>
      <c r="B884" s="21"/>
      <c r="C884" s="21"/>
      <c r="D884" s="21"/>
      <c r="E884" s="21"/>
      <c r="F884" s="91"/>
      <c r="G884" s="21"/>
      <c r="H884" s="21"/>
      <c r="I884" s="21"/>
      <c r="J884" s="9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3.2">
      <c r="A885" s="21"/>
      <c r="B885" s="21"/>
      <c r="C885" s="21"/>
      <c r="D885" s="21"/>
      <c r="E885" s="21"/>
      <c r="F885" s="91"/>
      <c r="G885" s="21"/>
      <c r="H885" s="21"/>
      <c r="I885" s="21"/>
      <c r="J885" s="9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3.2">
      <c r="A886" s="21"/>
      <c r="B886" s="21"/>
      <c r="C886" s="21"/>
      <c r="D886" s="21"/>
      <c r="E886" s="21"/>
      <c r="F886" s="91"/>
      <c r="G886" s="21"/>
      <c r="H886" s="21"/>
      <c r="I886" s="21"/>
      <c r="J886" s="9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3.2">
      <c r="A887" s="21"/>
      <c r="B887" s="21"/>
      <c r="C887" s="21"/>
      <c r="D887" s="21"/>
      <c r="E887" s="21"/>
      <c r="F887" s="91"/>
      <c r="G887" s="21"/>
      <c r="H887" s="21"/>
      <c r="I887" s="21"/>
      <c r="J887" s="9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3.2">
      <c r="A888" s="21"/>
      <c r="B888" s="21"/>
      <c r="C888" s="21"/>
      <c r="D888" s="21"/>
      <c r="E888" s="21"/>
      <c r="F888" s="91"/>
      <c r="G888" s="21"/>
      <c r="H888" s="21"/>
      <c r="I888" s="21"/>
      <c r="J888" s="9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3.2">
      <c r="A889" s="21"/>
      <c r="B889" s="21"/>
      <c r="C889" s="21"/>
      <c r="D889" s="21"/>
      <c r="E889" s="21"/>
      <c r="F889" s="91"/>
      <c r="G889" s="21"/>
      <c r="H889" s="21"/>
      <c r="I889" s="21"/>
      <c r="J889" s="9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3.2">
      <c r="A890" s="21"/>
      <c r="B890" s="21"/>
      <c r="C890" s="21"/>
      <c r="D890" s="21"/>
      <c r="E890" s="21"/>
      <c r="F890" s="91"/>
      <c r="G890" s="21"/>
      <c r="H890" s="21"/>
      <c r="I890" s="21"/>
      <c r="J890" s="9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3.2">
      <c r="A891" s="21"/>
      <c r="B891" s="21"/>
      <c r="C891" s="21"/>
      <c r="D891" s="21"/>
      <c r="E891" s="21"/>
      <c r="F891" s="91"/>
      <c r="G891" s="21"/>
      <c r="H891" s="21"/>
      <c r="I891" s="21"/>
      <c r="J891" s="9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3.2">
      <c r="A892" s="21"/>
      <c r="B892" s="21"/>
      <c r="C892" s="21"/>
      <c r="D892" s="21"/>
      <c r="E892" s="21"/>
      <c r="F892" s="91"/>
      <c r="G892" s="21"/>
      <c r="H892" s="21"/>
      <c r="I892" s="21"/>
      <c r="J892" s="9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3.2">
      <c r="A893" s="21"/>
      <c r="B893" s="21"/>
      <c r="C893" s="21"/>
      <c r="D893" s="21"/>
      <c r="E893" s="21"/>
      <c r="F893" s="91"/>
      <c r="G893" s="21"/>
      <c r="H893" s="21"/>
      <c r="I893" s="21"/>
      <c r="J893" s="9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3.2">
      <c r="A894" s="21"/>
      <c r="B894" s="21"/>
      <c r="C894" s="21"/>
      <c r="D894" s="21"/>
      <c r="E894" s="21"/>
      <c r="F894" s="91"/>
      <c r="G894" s="21"/>
      <c r="H894" s="21"/>
      <c r="I894" s="21"/>
      <c r="J894" s="9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3.2">
      <c r="A895" s="21"/>
      <c r="B895" s="21"/>
      <c r="C895" s="21"/>
      <c r="D895" s="21"/>
      <c r="E895" s="21"/>
      <c r="F895" s="91"/>
      <c r="G895" s="21"/>
      <c r="H895" s="21"/>
      <c r="I895" s="21"/>
      <c r="J895" s="9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3.2">
      <c r="A896" s="21"/>
      <c r="B896" s="21"/>
      <c r="C896" s="21"/>
      <c r="D896" s="21"/>
      <c r="E896" s="21"/>
      <c r="F896" s="91"/>
      <c r="G896" s="21"/>
      <c r="H896" s="21"/>
      <c r="I896" s="21"/>
      <c r="J896" s="9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3.2">
      <c r="A897" s="21"/>
      <c r="B897" s="21"/>
      <c r="C897" s="21"/>
      <c r="D897" s="21"/>
      <c r="E897" s="21"/>
      <c r="F897" s="91"/>
      <c r="G897" s="21"/>
      <c r="H897" s="21"/>
      <c r="I897" s="21"/>
      <c r="J897" s="9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3.2">
      <c r="A898" s="21"/>
      <c r="B898" s="21"/>
      <c r="C898" s="21"/>
      <c r="D898" s="21"/>
      <c r="E898" s="21"/>
      <c r="F898" s="91"/>
      <c r="G898" s="21"/>
      <c r="H898" s="21"/>
      <c r="I898" s="21"/>
      <c r="J898" s="9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3.2">
      <c r="A899" s="21"/>
      <c r="B899" s="21"/>
      <c r="C899" s="21"/>
      <c r="D899" s="21"/>
      <c r="E899" s="21"/>
      <c r="F899" s="91"/>
      <c r="G899" s="21"/>
      <c r="H899" s="21"/>
      <c r="I899" s="21"/>
      <c r="J899" s="9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3.2">
      <c r="A900" s="21"/>
      <c r="B900" s="21"/>
      <c r="C900" s="21"/>
      <c r="D900" s="21"/>
      <c r="E900" s="21"/>
      <c r="F900" s="91"/>
      <c r="G900" s="21"/>
      <c r="H900" s="21"/>
      <c r="I900" s="21"/>
      <c r="J900" s="9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3.2">
      <c r="A901" s="21"/>
      <c r="B901" s="21"/>
      <c r="C901" s="21"/>
      <c r="D901" s="21"/>
      <c r="E901" s="21"/>
      <c r="F901" s="91"/>
      <c r="G901" s="21"/>
      <c r="H901" s="21"/>
      <c r="I901" s="21"/>
      <c r="J901" s="9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3.2">
      <c r="A902" s="21"/>
      <c r="B902" s="21"/>
      <c r="C902" s="21"/>
      <c r="D902" s="21"/>
      <c r="E902" s="21"/>
      <c r="F902" s="91"/>
      <c r="G902" s="21"/>
      <c r="H902" s="21"/>
      <c r="I902" s="21"/>
      <c r="J902" s="9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3.2">
      <c r="A903" s="21"/>
      <c r="B903" s="21"/>
      <c r="C903" s="21"/>
      <c r="D903" s="21"/>
      <c r="E903" s="21"/>
      <c r="F903" s="91"/>
      <c r="G903" s="21"/>
      <c r="H903" s="21"/>
      <c r="I903" s="21"/>
      <c r="J903" s="9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3.2">
      <c r="A904" s="21"/>
      <c r="B904" s="21"/>
      <c r="C904" s="21"/>
      <c r="D904" s="21"/>
      <c r="E904" s="21"/>
      <c r="F904" s="91"/>
      <c r="G904" s="21"/>
      <c r="H904" s="21"/>
      <c r="I904" s="21"/>
      <c r="J904" s="9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3.2">
      <c r="A905" s="21"/>
      <c r="B905" s="21"/>
      <c r="C905" s="21"/>
      <c r="D905" s="21"/>
      <c r="E905" s="21"/>
      <c r="F905" s="91"/>
      <c r="G905" s="21"/>
      <c r="H905" s="21"/>
      <c r="I905" s="21"/>
      <c r="J905" s="9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3.2">
      <c r="A906" s="21"/>
      <c r="B906" s="21"/>
      <c r="C906" s="21"/>
      <c r="D906" s="21"/>
      <c r="E906" s="21"/>
      <c r="F906" s="91"/>
      <c r="G906" s="21"/>
      <c r="H906" s="21"/>
      <c r="I906" s="21"/>
      <c r="J906" s="9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3.2">
      <c r="A907" s="21"/>
      <c r="B907" s="21"/>
      <c r="C907" s="21"/>
      <c r="D907" s="21"/>
      <c r="E907" s="21"/>
      <c r="F907" s="91"/>
      <c r="G907" s="21"/>
      <c r="H907" s="21"/>
      <c r="I907" s="21"/>
      <c r="J907" s="9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3.2">
      <c r="A908" s="21"/>
      <c r="B908" s="21"/>
      <c r="C908" s="21"/>
      <c r="D908" s="21"/>
      <c r="E908" s="21"/>
      <c r="F908" s="91"/>
      <c r="G908" s="21"/>
      <c r="H908" s="21"/>
      <c r="I908" s="21"/>
      <c r="J908" s="9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3.2">
      <c r="A909" s="21"/>
      <c r="B909" s="21"/>
      <c r="C909" s="21"/>
      <c r="D909" s="21"/>
      <c r="E909" s="21"/>
      <c r="F909" s="91"/>
      <c r="G909" s="21"/>
      <c r="H909" s="21"/>
      <c r="I909" s="21"/>
      <c r="J909" s="9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3.2">
      <c r="A910" s="21"/>
      <c r="B910" s="21"/>
      <c r="C910" s="21"/>
      <c r="D910" s="21"/>
      <c r="E910" s="21"/>
      <c r="F910" s="91"/>
      <c r="G910" s="21"/>
      <c r="H910" s="21"/>
      <c r="I910" s="21"/>
      <c r="J910" s="9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3.2">
      <c r="A911" s="21"/>
      <c r="B911" s="21"/>
      <c r="C911" s="21"/>
      <c r="D911" s="21"/>
      <c r="E911" s="21"/>
      <c r="F911" s="91"/>
      <c r="G911" s="21"/>
      <c r="H911" s="21"/>
      <c r="I911" s="21"/>
      <c r="J911" s="9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3.2">
      <c r="A912" s="21"/>
      <c r="B912" s="21"/>
      <c r="C912" s="21"/>
      <c r="D912" s="21"/>
      <c r="E912" s="21"/>
      <c r="F912" s="91"/>
      <c r="G912" s="21"/>
      <c r="H912" s="21"/>
      <c r="I912" s="21"/>
      <c r="J912" s="9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3.2">
      <c r="A913" s="21"/>
      <c r="B913" s="21"/>
      <c r="C913" s="21"/>
      <c r="D913" s="21"/>
      <c r="E913" s="21"/>
      <c r="F913" s="91"/>
      <c r="G913" s="21"/>
      <c r="H913" s="21"/>
      <c r="I913" s="21"/>
      <c r="J913" s="9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3.2">
      <c r="A914" s="21"/>
      <c r="B914" s="21"/>
      <c r="C914" s="21"/>
      <c r="D914" s="21"/>
      <c r="E914" s="21"/>
      <c r="F914" s="91"/>
      <c r="G914" s="21"/>
      <c r="H914" s="21"/>
      <c r="I914" s="21"/>
      <c r="J914" s="9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3.2">
      <c r="A915" s="21"/>
      <c r="B915" s="21"/>
      <c r="C915" s="21"/>
      <c r="D915" s="21"/>
      <c r="E915" s="21"/>
      <c r="F915" s="91"/>
      <c r="G915" s="21"/>
      <c r="H915" s="21"/>
      <c r="I915" s="21"/>
      <c r="J915" s="9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3.2">
      <c r="A916" s="21"/>
      <c r="B916" s="21"/>
      <c r="C916" s="21"/>
      <c r="D916" s="21"/>
      <c r="E916" s="21"/>
      <c r="F916" s="91"/>
      <c r="G916" s="21"/>
      <c r="H916" s="21"/>
      <c r="I916" s="21"/>
      <c r="J916" s="9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3.2">
      <c r="A917" s="21"/>
      <c r="B917" s="21"/>
      <c r="C917" s="21"/>
      <c r="D917" s="21"/>
      <c r="E917" s="21"/>
      <c r="F917" s="91"/>
      <c r="G917" s="21"/>
      <c r="H917" s="21"/>
      <c r="I917" s="21"/>
      <c r="J917" s="9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3.2">
      <c r="A918" s="21"/>
      <c r="B918" s="21"/>
      <c r="C918" s="21"/>
      <c r="D918" s="21"/>
      <c r="E918" s="21"/>
      <c r="F918" s="91"/>
      <c r="G918" s="21"/>
      <c r="H918" s="21"/>
      <c r="I918" s="21"/>
      <c r="J918" s="9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3.2">
      <c r="A919" s="21"/>
      <c r="B919" s="21"/>
      <c r="C919" s="21"/>
      <c r="D919" s="21"/>
      <c r="E919" s="21"/>
      <c r="F919" s="91"/>
      <c r="G919" s="21"/>
      <c r="H919" s="21"/>
      <c r="I919" s="21"/>
      <c r="J919" s="9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3.2">
      <c r="A920" s="21"/>
      <c r="B920" s="21"/>
      <c r="C920" s="21"/>
      <c r="D920" s="21"/>
      <c r="E920" s="21"/>
      <c r="F920" s="91"/>
      <c r="G920" s="21"/>
      <c r="H920" s="21"/>
      <c r="I920" s="21"/>
      <c r="J920" s="9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3.2">
      <c r="A921" s="21"/>
      <c r="B921" s="21"/>
      <c r="C921" s="21"/>
      <c r="D921" s="21"/>
      <c r="E921" s="21"/>
      <c r="F921" s="91"/>
      <c r="G921" s="21"/>
      <c r="H921" s="21"/>
      <c r="I921" s="21"/>
      <c r="J921" s="9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3.2">
      <c r="A922" s="21"/>
      <c r="B922" s="21"/>
      <c r="C922" s="21"/>
      <c r="D922" s="21"/>
      <c r="E922" s="21"/>
      <c r="F922" s="91"/>
      <c r="G922" s="21"/>
      <c r="H922" s="21"/>
      <c r="I922" s="21"/>
      <c r="J922" s="9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3.2">
      <c r="A923" s="21"/>
      <c r="B923" s="21"/>
      <c r="C923" s="21"/>
      <c r="D923" s="21"/>
      <c r="E923" s="21"/>
      <c r="F923" s="91"/>
      <c r="G923" s="21"/>
      <c r="H923" s="21"/>
      <c r="I923" s="21"/>
      <c r="J923" s="9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3.2">
      <c r="A924" s="21"/>
      <c r="B924" s="21"/>
      <c r="C924" s="21"/>
      <c r="D924" s="21"/>
      <c r="E924" s="21"/>
      <c r="F924" s="91"/>
      <c r="G924" s="21"/>
      <c r="H924" s="21"/>
      <c r="I924" s="21"/>
      <c r="J924" s="9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3.2">
      <c r="A925" s="21"/>
      <c r="B925" s="21"/>
      <c r="C925" s="21"/>
      <c r="D925" s="21"/>
      <c r="E925" s="21"/>
      <c r="F925" s="91"/>
      <c r="G925" s="21"/>
      <c r="H925" s="21"/>
      <c r="I925" s="21"/>
      <c r="J925" s="9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3.2">
      <c r="A926" s="21"/>
      <c r="B926" s="21"/>
      <c r="C926" s="21"/>
      <c r="D926" s="21"/>
      <c r="E926" s="21"/>
      <c r="F926" s="91"/>
      <c r="G926" s="21"/>
      <c r="H926" s="21"/>
      <c r="I926" s="21"/>
      <c r="J926" s="9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3.2">
      <c r="A927" s="21"/>
      <c r="B927" s="21"/>
      <c r="C927" s="21"/>
      <c r="D927" s="21"/>
      <c r="E927" s="21"/>
      <c r="F927" s="91"/>
      <c r="G927" s="21"/>
      <c r="H927" s="21"/>
      <c r="I927" s="21"/>
      <c r="J927" s="9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3.2">
      <c r="A928" s="21"/>
      <c r="B928" s="21"/>
      <c r="C928" s="21"/>
      <c r="D928" s="21"/>
      <c r="E928" s="21"/>
      <c r="F928" s="91"/>
      <c r="G928" s="21"/>
      <c r="H928" s="21"/>
      <c r="I928" s="21"/>
      <c r="J928" s="9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3.2">
      <c r="A929" s="21"/>
      <c r="B929" s="21"/>
      <c r="C929" s="21"/>
      <c r="D929" s="21"/>
      <c r="E929" s="21"/>
      <c r="F929" s="91"/>
      <c r="G929" s="21"/>
      <c r="H929" s="21"/>
      <c r="I929" s="21"/>
      <c r="J929" s="9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3.2">
      <c r="A930" s="21"/>
      <c r="B930" s="21"/>
      <c r="C930" s="21"/>
      <c r="D930" s="21"/>
      <c r="E930" s="21"/>
      <c r="F930" s="91"/>
      <c r="G930" s="21"/>
      <c r="H930" s="21"/>
      <c r="I930" s="21"/>
      <c r="J930" s="9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3.2">
      <c r="A931" s="21"/>
      <c r="B931" s="21"/>
      <c r="C931" s="21"/>
      <c r="D931" s="21"/>
      <c r="E931" s="21"/>
      <c r="F931" s="91"/>
      <c r="G931" s="21"/>
      <c r="H931" s="21"/>
      <c r="I931" s="21"/>
      <c r="J931" s="9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3.2">
      <c r="A932" s="21"/>
      <c r="B932" s="21"/>
      <c r="C932" s="21"/>
      <c r="D932" s="21"/>
      <c r="E932" s="21"/>
      <c r="F932" s="91"/>
      <c r="G932" s="21"/>
      <c r="H932" s="21"/>
      <c r="I932" s="21"/>
      <c r="J932" s="9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3.2">
      <c r="A933" s="21"/>
      <c r="B933" s="21"/>
      <c r="C933" s="21"/>
      <c r="D933" s="21"/>
      <c r="E933" s="21"/>
      <c r="F933" s="91"/>
      <c r="G933" s="21"/>
      <c r="H933" s="21"/>
      <c r="I933" s="21"/>
      <c r="J933" s="9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3.2">
      <c r="A934" s="21"/>
      <c r="B934" s="21"/>
      <c r="C934" s="21"/>
      <c r="D934" s="21"/>
      <c r="E934" s="21"/>
      <c r="F934" s="91"/>
      <c r="G934" s="21"/>
      <c r="H934" s="21"/>
      <c r="I934" s="21"/>
      <c r="J934" s="9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3.2">
      <c r="A935" s="21"/>
      <c r="B935" s="21"/>
      <c r="C935" s="21"/>
      <c r="D935" s="21"/>
      <c r="E935" s="21"/>
      <c r="F935" s="91"/>
      <c r="G935" s="21"/>
      <c r="H935" s="21"/>
      <c r="I935" s="21"/>
      <c r="J935" s="9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3.2">
      <c r="A936" s="21"/>
      <c r="B936" s="21"/>
      <c r="C936" s="21"/>
      <c r="D936" s="21"/>
      <c r="E936" s="21"/>
      <c r="F936" s="91"/>
      <c r="G936" s="21"/>
      <c r="H936" s="21"/>
      <c r="I936" s="21"/>
      <c r="J936" s="9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3.2">
      <c r="A937" s="21"/>
      <c r="B937" s="21"/>
      <c r="C937" s="21"/>
      <c r="D937" s="21"/>
      <c r="E937" s="21"/>
      <c r="F937" s="91"/>
      <c r="G937" s="21"/>
      <c r="H937" s="21"/>
      <c r="I937" s="21"/>
      <c r="J937" s="9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3.2">
      <c r="A938" s="21"/>
      <c r="B938" s="21"/>
      <c r="C938" s="21"/>
      <c r="D938" s="21"/>
      <c r="E938" s="21"/>
      <c r="F938" s="91"/>
      <c r="G938" s="21"/>
      <c r="H938" s="21"/>
      <c r="I938" s="21"/>
      <c r="J938" s="9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3.2">
      <c r="A939" s="21"/>
      <c r="B939" s="21"/>
      <c r="C939" s="21"/>
      <c r="D939" s="21"/>
      <c r="E939" s="21"/>
      <c r="F939" s="91"/>
      <c r="G939" s="21"/>
      <c r="H939" s="21"/>
      <c r="I939" s="21"/>
      <c r="J939" s="9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3.2">
      <c r="A940" s="21"/>
      <c r="B940" s="21"/>
      <c r="C940" s="21"/>
      <c r="D940" s="21"/>
      <c r="E940" s="21"/>
      <c r="F940" s="91"/>
      <c r="G940" s="21"/>
      <c r="H940" s="21"/>
      <c r="I940" s="21"/>
      <c r="J940" s="9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3.2">
      <c r="A941" s="21"/>
      <c r="B941" s="21"/>
      <c r="C941" s="21"/>
      <c r="D941" s="21"/>
      <c r="E941" s="21"/>
      <c r="F941" s="91"/>
      <c r="G941" s="21"/>
      <c r="H941" s="21"/>
      <c r="I941" s="21"/>
      <c r="J941" s="9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3.2">
      <c r="A942" s="21"/>
      <c r="B942" s="21"/>
      <c r="C942" s="21"/>
      <c r="D942" s="21"/>
      <c r="E942" s="21"/>
      <c r="F942" s="91"/>
      <c r="G942" s="21"/>
      <c r="H942" s="21"/>
      <c r="I942" s="21"/>
      <c r="J942" s="9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3.2">
      <c r="A943" s="21"/>
      <c r="B943" s="21"/>
      <c r="C943" s="21"/>
      <c r="D943" s="21"/>
      <c r="E943" s="21"/>
      <c r="F943" s="91"/>
      <c r="G943" s="21"/>
      <c r="H943" s="21"/>
      <c r="I943" s="21"/>
      <c r="J943" s="9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3.2">
      <c r="A944" s="21"/>
      <c r="B944" s="21"/>
      <c r="C944" s="21"/>
      <c r="D944" s="21"/>
      <c r="E944" s="21"/>
      <c r="F944" s="91"/>
      <c r="G944" s="21"/>
      <c r="H944" s="21"/>
      <c r="I944" s="21"/>
      <c r="J944" s="9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3.2">
      <c r="A945" s="21"/>
      <c r="B945" s="21"/>
      <c r="C945" s="21"/>
      <c r="D945" s="21"/>
      <c r="E945" s="21"/>
      <c r="F945" s="91"/>
      <c r="G945" s="21"/>
      <c r="H945" s="21"/>
      <c r="I945" s="21"/>
      <c r="J945" s="9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3.2">
      <c r="A946" s="21"/>
      <c r="B946" s="21"/>
      <c r="C946" s="21"/>
      <c r="D946" s="21"/>
      <c r="E946" s="21"/>
      <c r="F946" s="91"/>
      <c r="G946" s="21"/>
      <c r="H946" s="21"/>
      <c r="I946" s="21"/>
      <c r="J946" s="9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3.2">
      <c r="A947" s="21"/>
      <c r="B947" s="21"/>
      <c r="C947" s="21"/>
      <c r="D947" s="21"/>
      <c r="E947" s="21"/>
      <c r="F947" s="91"/>
      <c r="G947" s="21"/>
      <c r="H947" s="21"/>
      <c r="I947" s="21"/>
      <c r="J947" s="9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3.2">
      <c r="A948" s="21"/>
      <c r="B948" s="21"/>
      <c r="C948" s="21"/>
      <c r="D948" s="21"/>
      <c r="E948" s="21"/>
      <c r="F948" s="91"/>
      <c r="G948" s="21"/>
      <c r="H948" s="21"/>
      <c r="I948" s="21"/>
      <c r="J948" s="9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3.2">
      <c r="A949" s="21"/>
      <c r="B949" s="21"/>
      <c r="C949" s="21"/>
      <c r="D949" s="21"/>
      <c r="E949" s="21"/>
      <c r="F949" s="91"/>
      <c r="G949" s="21"/>
      <c r="H949" s="21"/>
      <c r="I949" s="21"/>
      <c r="J949" s="9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3.2">
      <c r="A950" s="21"/>
      <c r="B950" s="21"/>
      <c r="C950" s="21"/>
      <c r="D950" s="21"/>
      <c r="E950" s="21"/>
      <c r="F950" s="91"/>
      <c r="G950" s="21"/>
      <c r="H950" s="21"/>
      <c r="I950" s="21"/>
      <c r="J950" s="9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3.2">
      <c r="A951" s="21"/>
      <c r="B951" s="21"/>
      <c r="C951" s="21"/>
      <c r="D951" s="21"/>
      <c r="E951" s="21"/>
      <c r="F951" s="91"/>
      <c r="G951" s="21"/>
      <c r="H951" s="21"/>
      <c r="I951" s="21"/>
      <c r="J951" s="9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3.2">
      <c r="A952" s="21"/>
      <c r="B952" s="21"/>
      <c r="C952" s="21"/>
      <c r="D952" s="21"/>
      <c r="E952" s="21"/>
      <c r="F952" s="91"/>
      <c r="G952" s="21"/>
      <c r="H952" s="21"/>
      <c r="I952" s="21"/>
      <c r="J952" s="9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3.2">
      <c r="A953" s="21"/>
      <c r="B953" s="21"/>
      <c r="C953" s="21"/>
      <c r="D953" s="21"/>
      <c r="E953" s="21"/>
      <c r="F953" s="91"/>
      <c r="G953" s="21"/>
      <c r="H953" s="21"/>
      <c r="I953" s="21"/>
      <c r="J953" s="9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3.2">
      <c r="A954" s="21"/>
      <c r="B954" s="21"/>
      <c r="C954" s="21"/>
      <c r="D954" s="21"/>
      <c r="E954" s="21"/>
      <c r="F954" s="91"/>
      <c r="G954" s="21"/>
      <c r="H954" s="21"/>
      <c r="I954" s="21"/>
      <c r="J954" s="9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3.2">
      <c r="A955" s="21"/>
      <c r="B955" s="21"/>
      <c r="C955" s="21"/>
      <c r="D955" s="21"/>
      <c r="E955" s="21"/>
      <c r="F955" s="91"/>
      <c r="G955" s="21"/>
      <c r="H955" s="21"/>
      <c r="I955" s="21"/>
      <c r="J955" s="9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3.2">
      <c r="A956" s="21"/>
      <c r="B956" s="21"/>
      <c r="C956" s="21"/>
      <c r="D956" s="21"/>
      <c r="E956" s="21"/>
      <c r="F956" s="91"/>
      <c r="G956" s="21"/>
      <c r="H956" s="21"/>
      <c r="I956" s="21"/>
      <c r="J956" s="9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3.2">
      <c r="A957" s="21"/>
      <c r="B957" s="21"/>
      <c r="C957" s="21"/>
      <c r="D957" s="21"/>
      <c r="E957" s="21"/>
      <c r="F957" s="91"/>
      <c r="G957" s="21"/>
      <c r="H957" s="21"/>
      <c r="I957" s="21"/>
      <c r="J957" s="9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3.2">
      <c r="A958" s="21"/>
      <c r="B958" s="21"/>
      <c r="C958" s="21"/>
      <c r="D958" s="21"/>
      <c r="E958" s="21"/>
      <c r="F958" s="91"/>
      <c r="G958" s="21"/>
      <c r="H958" s="21"/>
      <c r="I958" s="21"/>
      <c r="J958" s="9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3.2">
      <c r="A959" s="21"/>
      <c r="B959" s="21"/>
      <c r="C959" s="21"/>
      <c r="D959" s="21"/>
      <c r="E959" s="21"/>
      <c r="F959" s="91"/>
      <c r="G959" s="21"/>
      <c r="H959" s="21"/>
      <c r="I959" s="21"/>
      <c r="J959" s="9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3.2">
      <c r="A960" s="21"/>
      <c r="B960" s="21"/>
      <c r="C960" s="21"/>
      <c r="D960" s="21"/>
      <c r="E960" s="21"/>
      <c r="F960" s="91"/>
      <c r="G960" s="21"/>
      <c r="H960" s="21"/>
      <c r="I960" s="21"/>
      <c r="J960" s="9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3.2">
      <c r="A961" s="21"/>
      <c r="B961" s="21"/>
      <c r="C961" s="21"/>
      <c r="D961" s="21"/>
      <c r="E961" s="21"/>
      <c r="F961" s="91"/>
      <c r="G961" s="21"/>
      <c r="H961" s="21"/>
      <c r="I961" s="21"/>
      <c r="J961" s="9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3.2">
      <c r="A962" s="21"/>
      <c r="B962" s="21"/>
      <c r="C962" s="21"/>
      <c r="D962" s="21"/>
      <c r="E962" s="21"/>
      <c r="F962" s="91"/>
      <c r="G962" s="21"/>
      <c r="H962" s="21"/>
      <c r="I962" s="21"/>
      <c r="J962" s="9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3.2">
      <c r="A963" s="21"/>
      <c r="B963" s="21"/>
      <c r="C963" s="21"/>
      <c r="D963" s="21"/>
      <c r="E963" s="21"/>
      <c r="F963" s="91"/>
      <c r="G963" s="21"/>
      <c r="H963" s="21"/>
      <c r="I963" s="21"/>
      <c r="J963" s="9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3.2">
      <c r="A964" s="21"/>
      <c r="B964" s="21"/>
      <c r="C964" s="21"/>
      <c r="D964" s="21"/>
      <c r="E964" s="21"/>
      <c r="F964" s="91"/>
      <c r="G964" s="21"/>
      <c r="H964" s="21"/>
      <c r="I964" s="21"/>
      <c r="J964" s="9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3.2">
      <c r="A965" s="21"/>
      <c r="B965" s="21"/>
      <c r="C965" s="21"/>
      <c r="D965" s="21"/>
      <c r="E965" s="21"/>
      <c r="F965" s="91"/>
      <c r="G965" s="21"/>
      <c r="H965" s="21"/>
      <c r="I965" s="21"/>
      <c r="J965" s="9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3.2">
      <c r="A966" s="21"/>
      <c r="B966" s="21"/>
      <c r="C966" s="21"/>
      <c r="D966" s="21"/>
      <c r="E966" s="21"/>
      <c r="F966" s="91"/>
      <c r="G966" s="21"/>
      <c r="H966" s="21"/>
      <c r="I966" s="21"/>
      <c r="J966" s="9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3.2">
      <c r="A967" s="21"/>
      <c r="B967" s="21"/>
      <c r="C967" s="21"/>
      <c r="D967" s="21"/>
      <c r="E967" s="21"/>
      <c r="F967" s="91"/>
      <c r="G967" s="21"/>
      <c r="H967" s="21"/>
      <c r="I967" s="21"/>
      <c r="J967" s="9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3.2">
      <c r="A968" s="21"/>
      <c r="B968" s="21"/>
      <c r="C968" s="21"/>
      <c r="D968" s="21"/>
      <c r="E968" s="21"/>
      <c r="F968" s="91"/>
      <c r="G968" s="21"/>
      <c r="H968" s="21"/>
      <c r="I968" s="21"/>
      <c r="J968" s="9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3.2">
      <c r="A969" s="21"/>
      <c r="B969" s="21"/>
      <c r="C969" s="21"/>
      <c r="D969" s="21"/>
      <c r="E969" s="21"/>
      <c r="F969" s="91"/>
      <c r="G969" s="21"/>
      <c r="H969" s="21"/>
      <c r="I969" s="21"/>
      <c r="J969" s="9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3.2">
      <c r="A970" s="21"/>
      <c r="B970" s="21"/>
      <c r="C970" s="21"/>
      <c r="D970" s="21"/>
      <c r="E970" s="21"/>
      <c r="F970" s="91"/>
      <c r="G970" s="21"/>
      <c r="H970" s="21"/>
      <c r="I970" s="21"/>
      <c r="J970" s="9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3.2">
      <c r="A971" s="21"/>
      <c r="B971" s="21"/>
      <c r="C971" s="21"/>
      <c r="D971" s="21"/>
      <c r="E971" s="21"/>
      <c r="F971" s="91"/>
      <c r="G971" s="21"/>
      <c r="H971" s="21"/>
      <c r="I971" s="21"/>
      <c r="J971" s="9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3.2">
      <c r="A972" s="21"/>
      <c r="B972" s="21"/>
      <c r="C972" s="21"/>
      <c r="D972" s="21"/>
      <c r="E972" s="21"/>
      <c r="F972" s="91"/>
      <c r="G972" s="21"/>
      <c r="H972" s="21"/>
      <c r="I972" s="21"/>
      <c r="J972" s="9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3.2">
      <c r="A973" s="21"/>
      <c r="B973" s="21"/>
      <c r="C973" s="21"/>
      <c r="D973" s="21"/>
      <c r="E973" s="21"/>
      <c r="F973" s="91"/>
      <c r="G973" s="21"/>
      <c r="H973" s="21"/>
      <c r="I973" s="21"/>
      <c r="J973" s="9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3.2">
      <c r="A974" s="21"/>
      <c r="B974" s="21"/>
      <c r="C974" s="21"/>
      <c r="D974" s="21"/>
      <c r="E974" s="21"/>
      <c r="F974" s="91"/>
      <c r="G974" s="21"/>
      <c r="H974" s="21"/>
      <c r="I974" s="21"/>
      <c r="J974" s="9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3.2">
      <c r="A975" s="21"/>
      <c r="B975" s="21"/>
      <c r="C975" s="21"/>
      <c r="D975" s="21"/>
      <c r="E975" s="21"/>
      <c r="F975" s="91"/>
      <c r="G975" s="21"/>
      <c r="H975" s="21"/>
      <c r="I975" s="21"/>
      <c r="J975" s="9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3.2">
      <c r="A976" s="21"/>
      <c r="B976" s="21"/>
      <c r="C976" s="21"/>
      <c r="D976" s="21"/>
      <c r="E976" s="21"/>
      <c r="F976" s="91"/>
      <c r="G976" s="21"/>
      <c r="H976" s="21"/>
      <c r="I976" s="21"/>
      <c r="J976" s="9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3.2">
      <c r="A977" s="21"/>
      <c r="B977" s="21"/>
      <c r="C977" s="21"/>
      <c r="D977" s="21"/>
      <c r="E977" s="21"/>
      <c r="F977" s="91"/>
      <c r="G977" s="21"/>
      <c r="H977" s="21"/>
      <c r="I977" s="21"/>
      <c r="J977" s="9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3.2">
      <c r="A978" s="21"/>
      <c r="B978" s="21"/>
      <c r="C978" s="21"/>
      <c r="D978" s="21"/>
      <c r="E978" s="21"/>
      <c r="F978" s="91"/>
      <c r="G978" s="21"/>
      <c r="H978" s="21"/>
      <c r="I978" s="21"/>
      <c r="J978" s="9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3.2">
      <c r="A979" s="21"/>
      <c r="B979" s="21"/>
      <c r="C979" s="21"/>
      <c r="D979" s="21"/>
      <c r="E979" s="21"/>
      <c r="F979" s="91"/>
      <c r="G979" s="21"/>
      <c r="H979" s="21"/>
      <c r="I979" s="21"/>
      <c r="J979" s="9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3.2">
      <c r="A980" s="21"/>
      <c r="B980" s="21"/>
      <c r="C980" s="21"/>
      <c r="D980" s="21"/>
      <c r="E980" s="21"/>
      <c r="F980" s="91"/>
      <c r="G980" s="21"/>
      <c r="H980" s="21"/>
      <c r="I980" s="21"/>
      <c r="J980" s="9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3.2">
      <c r="A981" s="21"/>
      <c r="B981" s="21"/>
      <c r="C981" s="21"/>
      <c r="D981" s="21"/>
      <c r="E981" s="21"/>
      <c r="F981" s="91"/>
      <c r="G981" s="21"/>
      <c r="H981" s="21"/>
      <c r="I981" s="21"/>
      <c r="J981" s="9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3.2">
      <c r="A982" s="21"/>
      <c r="B982" s="21"/>
      <c r="C982" s="21"/>
      <c r="D982" s="21"/>
      <c r="E982" s="21"/>
      <c r="F982" s="91"/>
      <c r="G982" s="21"/>
      <c r="H982" s="21"/>
      <c r="I982" s="21"/>
      <c r="J982" s="9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3.2">
      <c r="A983" s="21"/>
      <c r="B983" s="21"/>
      <c r="C983" s="21"/>
      <c r="D983" s="21"/>
      <c r="E983" s="21"/>
      <c r="F983" s="91"/>
      <c r="G983" s="21"/>
      <c r="H983" s="21"/>
      <c r="I983" s="21"/>
      <c r="J983" s="9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3.2">
      <c r="A984" s="21"/>
      <c r="B984" s="21"/>
      <c r="C984" s="21"/>
      <c r="D984" s="21"/>
      <c r="E984" s="21"/>
      <c r="F984" s="91"/>
      <c r="G984" s="21"/>
      <c r="H984" s="21"/>
      <c r="I984" s="21"/>
      <c r="J984" s="9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3.2">
      <c r="A985" s="21"/>
      <c r="B985" s="21"/>
      <c r="C985" s="21"/>
      <c r="D985" s="21"/>
      <c r="E985" s="21"/>
      <c r="F985" s="91"/>
      <c r="G985" s="21"/>
      <c r="H985" s="21"/>
      <c r="I985" s="21"/>
      <c r="J985" s="9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3.2">
      <c r="A986" s="21"/>
      <c r="B986" s="21"/>
      <c r="C986" s="21"/>
      <c r="D986" s="21"/>
      <c r="E986" s="21"/>
      <c r="F986" s="91"/>
      <c r="G986" s="21"/>
      <c r="H986" s="21"/>
      <c r="I986" s="21"/>
      <c r="J986" s="9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3.2">
      <c r="A987" s="21"/>
      <c r="B987" s="21"/>
      <c r="C987" s="21"/>
      <c r="D987" s="21"/>
      <c r="E987" s="21"/>
      <c r="F987" s="91"/>
      <c r="G987" s="21"/>
      <c r="H987" s="21"/>
      <c r="I987" s="21"/>
      <c r="J987" s="9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3.2">
      <c r="A988" s="21"/>
      <c r="B988" s="21"/>
      <c r="C988" s="21"/>
      <c r="D988" s="21"/>
      <c r="E988" s="21"/>
      <c r="F988" s="91"/>
      <c r="G988" s="21"/>
      <c r="H988" s="21"/>
      <c r="I988" s="21"/>
      <c r="J988" s="9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3.2">
      <c r="A989" s="21"/>
      <c r="B989" s="21"/>
      <c r="C989" s="21"/>
      <c r="D989" s="21"/>
      <c r="E989" s="21"/>
      <c r="F989" s="91"/>
      <c r="G989" s="21"/>
      <c r="H989" s="21"/>
      <c r="I989" s="21"/>
      <c r="J989" s="9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3.2">
      <c r="A990" s="21"/>
      <c r="B990" s="21"/>
      <c r="C990" s="21"/>
      <c r="D990" s="21"/>
      <c r="E990" s="21"/>
      <c r="F990" s="91"/>
      <c r="G990" s="21"/>
      <c r="H990" s="21"/>
      <c r="I990" s="21"/>
      <c r="J990" s="9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3.2">
      <c r="A991" s="21"/>
      <c r="B991" s="21"/>
      <c r="C991" s="21"/>
      <c r="D991" s="21"/>
      <c r="E991" s="21"/>
      <c r="F991" s="91"/>
      <c r="G991" s="21"/>
      <c r="H991" s="21"/>
      <c r="I991" s="21"/>
      <c r="J991" s="9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3.2">
      <c r="A992" s="21"/>
      <c r="B992" s="21"/>
      <c r="C992" s="21"/>
      <c r="D992" s="21"/>
      <c r="E992" s="21"/>
      <c r="F992" s="91"/>
      <c r="G992" s="21"/>
      <c r="H992" s="21"/>
      <c r="I992" s="21"/>
      <c r="J992" s="9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3.2">
      <c r="A993" s="21"/>
      <c r="B993" s="21"/>
      <c r="C993" s="21"/>
      <c r="D993" s="21"/>
      <c r="E993" s="21"/>
      <c r="F993" s="91"/>
      <c r="G993" s="21"/>
      <c r="H993" s="21"/>
      <c r="I993" s="21"/>
      <c r="J993" s="9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3.2">
      <c r="A994" s="21"/>
      <c r="B994" s="21"/>
      <c r="C994" s="21"/>
      <c r="D994" s="21"/>
      <c r="E994" s="21"/>
      <c r="F994" s="91"/>
      <c r="G994" s="21"/>
      <c r="H994" s="21"/>
      <c r="I994" s="21"/>
      <c r="J994" s="9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3.2">
      <c r="A995" s="21"/>
      <c r="B995" s="21"/>
      <c r="C995" s="21"/>
      <c r="D995" s="21"/>
      <c r="E995" s="21"/>
      <c r="F995" s="91"/>
      <c r="G995" s="21"/>
      <c r="H995" s="21"/>
      <c r="I995" s="21"/>
      <c r="J995" s="9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3.2">
      <c r="A996" s="21"/>
      <c r="B996" s="21"/>
      <c r="C996" s="21"/>
      <c r="D996" s="21"/>
      <c r="E996" s="21"/>
      <c r="F996" s="91"/>
      <c r="G996" s="21"/>
      <c r="H996" s="21"/>
      <c r="I996" s="21"/>
      <c r="J996" s="9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3.2">
      <c r="A997" s="21"/>
      <c r="B997" s="21"/>
      <c r="C997" s="21"/>
      <c r="D997" s="21"/>
      <c r="E997" s="21"/>
      <c r="F997" s="91"/>
      <c r="G997" s="21"/>
      <c r="H997" s="21"/>
      <c r="I997" s="21"/>
      <c r="J997" s="9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3.2">
      <c r="A998" s="21"/>
      <c r="B998" s="21"/>
      <c r="C998" s="21"/>
      <c r="D998" s="21"/>
      <c r="E998" s="21"/>
      <c r="F998" s="91"/>
      <c r="G998" s="21"/>
      <c r="H998" s="21"/>
      <c r="I998" s="21"/>
      <c r="J998" s="9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3.2">
      <c r="A999" s="21"/>
      <c r="B999" s="21"/>
      <c r="C999" s="21"/>
      <c r="D999" s="21"/>
      <c r="E999" s="21"/>
      <c r="F999" s="91"/>
      <c r="G999" s="21"/>
      <c r="H999" s="21"/>
      <c r="I999" s="21"/>
      <c r="J999" s="9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3.2">
      <c r="A1000" s="21"/>
      <c r="B1000" s="21"/>
      <c r="C1000" s="21"/>
      <c r="D1000" s="21"/>
      <c r="E1000" s="21"/>
      <c r="F1000" s="91"/>
      <c r="G1000" s="21"/>
      <c r="H1000" s="21"/>
      <c r="I1000" s="21"/>
      <c r="J1000" s="9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3.2">
      <c r="A1001" s="21"/>
      <c r="B1001" s="21"/>
      <c r="C1001" s="21"/>
      <c r="D1001" s="21"/>
      <c r="E1001" s="21"/>
      <c r="F1001" s="91"/>
      <c r="G1001" s="21"/>
      <c r="H1001" s="21"/>
      <c r="I1001" s="21"/>
      <c r="J1001" s="9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spans="1:30" ht="13.2">
      <c r="A1002" s="21"/>
      <c r="B1002" s="21"/>
      <c r="C1002" s="21"/>
      <c r="D1002" s="21"/>
      <c r="E1002" s="21"/>
      <c r="F1002" s="91"/>
      <c r="G1002" s="21"/>
      <c r="H1002" s="21"/>
      <c r="I1002" s="21"/>
      <c r="J1002" s="9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spans="1:30" ht="13.2">
      <c r="A1003" s="21"/>
      <c r="B1003" s="21"/>
      <c r="C1003" s="21"/>
      <c r="D1003" s="21"/>
      <c r="E1003" s="21"/>
      <c r="F1003" s="91"/>
      <c r="G1003" s="21"/>
      <c r="H1003" s="21"/>
      <c r="I1003" s="21"/>
      <c r="J1003" s="9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spans="1:30" ht="13.2">
      <c r="A1004" s="21"/>
      <c r="B1004" s="21"/>
      <c r="C1004" s="21"/>
      <c r="D1004" s="21"/>
      <c r="E1004" s="21"/>
      <c r="F1004" s="91"/>
      <c r="G1004" s="21"/>
      <c r="H1004" s="21"/>
      <c r="I1004" s="21"/>
      <c r="J1004" s="9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spans="1:30" ht="13.2">
      <c r="A1005" s="21"/>
      <c r="B1005" s="21"/>
      <c r="C1005" s="21"/>
      <c r="D1005" s="21"/>
      <c r="E1005" s="21"/>
      <c r="F1005" s="91"/>
      <c r="G1005" s="21"/>
      <c r="H1005" s="21"/>
      <c r="I1005" s="21"/>
      <c r="J1005" s="9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spans="1:30" ht="13.2">
      <c r="A1006" s="21"/>
      <c r="B1006" s="21"/>
      <c r="C1006" s="21"/>
      <c r="D1006" s="21"/>
      <c r="E1006" s="21"/>
      <c r="F1006" s="91"/>
      <c r="G1006" s="21"/>
      <c r="H1006" s="21"/>
      <c r="I1006" s="21"/>
      <c r="J1006" s="9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spans="1:30" ht="13.2">
      <c r="A1007" s="21"/>
      <c r="B1007" s="21"/>
      <c r="C1007" s="21"/>
      <c r="D1007" s="21"/>
      <c r="E1007" s="21"/>
      <c r="F1007" s="91"/>
      <c r="G1007" s="21"/>
      <c r="H1007" s="21"/>
      <c r="I1007" s="21"/>
      <c r="J1007" s="9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spans="1:30" ht="13.2">
      <c r="A1008" s="21"/>
      <c r="B1008" s="21"/>
      <c r="C1008" s="21"/>
      <c r="D1008" s="21"/>
      <c r="E1008" s="21"/>
      <c r="F1008" s="91"/>
      <c r="G1008" s="21"/>
      <c r="H1008" s="21"/>
      <c r="I1008" s="21"/>
      <c r="J1008" s="9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spans="1:30" ht="13.2">
      <c r="A1009" s="21"/>
      <c r="B1009" s="21"/>
      <c r="C1009" s="21"/>
      <c r="D1009" s="21"/>
      <c r="E1009" s="21"/>
      <c r="F1009" s="91"/>
      <c r="G1009" s="21"/>
      <c r="H1009" s="21"/>
      <c r="I1009" s="21"/>
      <c r="J1009" s="9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spans="1:30" ht="13.2">
      <c r="A1010" s="21"/>
      <c r="B1010" s="21"/>
      <c r="C1010" s="21"/>
      <c r="D1010" s="21"/>
      <c r="E1010" s="21"/>
      <c r="F1010" s="91"/>
      <c r="G1010" s="21"/>
      <c r="H1010" s="21"/>
      <c r="I1010" s="21"/>
      <c r="J1010" s="9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spans="1:30" ht="13.2">
      <c r="A1011" s="21"/>
      <c r="B1011" s="21"/>
      <c r="C1011" s="21"/>
      <c r="D1011" s="21"/>
      <c r="E1011" s="21"/>
      <c r="F1011" s="91"/>
      <c r="G1011" s="21"/>
      <c r="H1011" s="21"/>
      <c r="I1011" s="21"/>
      <c r="J1011" s="9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spans="1:30" ht="13.2">
      <c r="A1012" s="21"/>
      <c r="B1012" s="21"/>
      <c r="C1012" s="21"/>
      <c r="D1012" s="21"/>
      <c r="E1012" s="21"/>
      <c r="F1012" s="91"/>
      <c r="G1012" s="21"/>
      <c r="H1012" s="21"/>
      <c r="I1012" s="21"/>
      <c r="J1012" s="9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spans="1:30" ht="13.2">
      <c r="A1013" s="21"/>
      <c r="B1013" s="21"/>
      <c r="C1013" s="21"/>
      <c r="D1013" s="21"/>
      <c r="E1013" s="21"/>
      <c r="F1013" s="91"/>
      <c r="G1013" s="21"/>
      <c r="H1013" s="21"/>
      <c r="I1013" s="21"/>
      <c r="J1013" s="9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spans="1:30" ht="13.2">
      <c r="A1014" s="21"/>
      <c r="B1014" s="21"/>
      <c r="C1014" s="21"/>
      <c r="D1014" s="21"/>
      <c r="E1014" s="21"/>
      <c r="F1014" s="91"/>
      <c r="G1014" s="21"/>
      <c r="H1014" s="21"/>
      <c r="I1014" s="21"/>
      <c r="J1014" s="9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spans="1:30" ht="13.2">
      <c r="A1015" s="21"/>
      <c r="B1015" s="21"/>
      <c r="C1015" s="21"/>
      <c r="D1015" s="21"/>
      <c r="E1015" s="21"/>
      <c r="F1015" s="91"/>
      <c r="G1015" s="21"/>
      <c r="H1015" s="21"/>
      <c r="I1015" s="21"/>
      <c r="J1015" s="9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spans="1:30" ht="13.2">
      <c r="A1016" s="21"/>
      <c r="B1016" s="21"/>
      <c r="C1016" s="21"/>
      <c r="D1016" s="21"/>
      <c r="E1016" s="21"/>
      <c r="F1016" s="91"/>
      <c r="G1016" s="21"/>
      <c r="H1016" s="21"/>
      <c r="I1016" s="21"/>
      <c r="J1016" s="9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spans="1:30" ht="13.2">
      <c r="A1017" s="21"/>
      <c r="B1017" s="21"/>
      <c r="C1017" s="21"/>
      <c r="D1017" s="21"/>
      <c r="E1017" s="21"/>
      <c r="F1017" s="91"/>
      <c r="G1017" s="21"/>
      <c r="H1017" s="21"/>
      <c r="I1017" s="21"/>
      <c r="J1017" s="9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spans="1:30" ht="13.2">
      <c r="A1018" s="21"/>
      <c r="B1018" s="21"/>
      <c r="C1018" s="21"/>
      <c r="D1018" s="21"/>
      <c r="E1018" s="21"/>
      <c r="F1018" s="91"/>
      <c r="G1018" s="21"/>
      <c r="H1018" s="21"/>
      <c r="I1018" s="21"/>
      <c r="J1018" s="9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 spans="1:30" ht="13.2">
      <c r="A1019" s="21"/>
      <c r="B1019" s="21"/>
      <c r="C1019" s="21"/>
      <c r="D1019" s="21"/>
      <c r="E1019" s="21"/>
      <c r="F1019" s="91"/>
      <c r="G1019" s="21"/>
      <c r="H1019" s="21"/>
      <c r="I1019" s="21"/>
      <c r="J1019" s="9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 spans="1:30" ht="13.2">
      <c r="A1020" s="21"/>
      <c r="B1020" s="21"/>
      <c r="C1020" s="21"/>
      <c r="D1020" s="21"/>
      <c r="E1020" s="21"/>
      <c r="F1020" s="91"/>
      <c r="G1020" s="21"/>
      <c r="H1020" s="21"/>
      <c r="I1020" s="21"/>
      <c r="J1020" s="9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 spans="1:30" ht="13.2">
      <c r="A1021" s="21"/>
      <c r="B1021" s="21"/>
      <c r="C1021" s="21"/>
      <c r="D1021" s="21"/>
      <c r="E1021" s="21"/>
      <c r="F1021" s="91"/>
      <c r="G1021" s="21"/>
      <c r="H1021" s="21"/>
      <c r="I1021" s="21"/>
      <c r="J1021" s="9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 spans="1:30" ht="13.2">
      <c r="A1022" s="21"/>
      <c r="B1022" s="21"/>
      <c r="C1022" s="21"/>
      <c r="D1022" s="21"/>
      <c r="E1022" s="21"/>
      <c r="F1022" s="91"/>
      <c r="G1022" s="21"/>
      <c r="H1022" s="21"/>
      <c r="I1022" s="21"/>
      <c r="J1022" s="9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 spans="1:30" ht="13.2">
      <c r="A1023" s="21"/>
      <c r="B1023" s="21"/>
      <c r="C1023" s="21"/>
      <c r="D1023" s="21"/>
      <c r="E1023" s="21"/>
      <c r="F1023" s="91"/>
      <c r="G1023" s="21"/>
      <c r="H1023" s="21"/>
      <c r="I1023" s="21"/>
      <c r="J1023" s="9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 spans="1:30" ht="13.2">
      <c r="A1024" s="21"/>
      <c r="B1024" s="21"/>
      <c r="C1024" s="21"/>
      <c r="D1024" s="21"/>
      <c r="E1024" s="21"/>
      <c r="F1024" s="91"/>
      <c r="G1024" s="21"/>
      <c r="H1024" s="21"/>
      <c r="I1024" s="21"/>
      <c r="J1024" s="9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 spans="1:30" ht="13.2">
      <c r="A1025" s="21"/>
      <c r="B1025" s="21"/>
      <c r="C1025" s="21"/>
      <c r="D1025" s="21"/>
      <c r="E1025" s="21"/>
      <c r="F1025" s="91"/>
      <c r="G1025" s="21"/>
      <c r="H1025" s="21"/>
      <c r="I1025" s="21"/>
      <c r="J1025" s="9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 spans="1:30" ht="13.2">
      <c r="A1026" s="21"/>
      <c r="B1026" s="21"/>
      <c r="C1026" s="21"/>
      <c r="D1026" s="21"/>
      <c r="E1026" s="21"/>
      <c r="F1026" s="91"/>
      <c r="G1026" s="21"/>
      <c r="H1026" s="21"/>
      <c r="I1026" s="21"/>
      <c r="J1026" s="9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 spans="1:30" ht="13.2">
      <c r="A1027" s="21"/>
      <c r="B1027" s="21"/>
      <c r="C1027" s="21"/>
      <c r="D1027" s="21"/>
      <c r="E1027" s="21"/>
      <c r="F1027" s="91"/>
      <c r="G1027" s="21"/>
      <c r="H1027" s="21"/>
      <c r="I1027" s="21"/>
      <c r="J1027" s="9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 spans="1:30" ht="13.2">
      <c r="A1028" s="21"/>
      <c r="B1028" s="21"/>
      <c r="C1028" s="21"/>
      <c r="D1028" s="21"/>
      <c r="E1028" s="21"/>
      <c r="F1028" s="91"/>
      <c r="G1028" s="21"/>
      <c r="H1028" s="21"/>
      <c r="I1028" s="21"/>
      <c r="J1028" s="9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 spans="1:30" ht="13.2">
      <c r="A1029" s="21"/>
      <c r="B1029" s="21"/>
      <c r="C1029" s="21"/>
      <c r="D1029" s="21"/>
      <c r="E1029" s="21"/>
      <c r="F1029" s="91"/>
      <c r="G1029" s="21"/>
      <c r="H1029" s="21"/>
      <c r="I1029" s="21"/>
      <c r="J1029" s="9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 spans="1:30" ht="13.2">
      <c r="A1030" s="21"/>
      <c r="B1030" s="21"/>
      <c r="C1030" s="21"/>
      <c r="D1030" s="21"/>
      <c r="E1030" s="21"/>
      <c r="F1030" s="91"/>
      <c r="G1030" s="21"/>
      <c r="H1030" s="21"/>
      <c r="I1030" s="21"/>
      <c r="J1030" s="9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 spans="1:30" ht="13.2">
      <c r="A1031" s="21"/>
      <c r="B1031" s="21"/>
      <c r="C1031" s="21"/>
      <c r="D1031" s="21"/>
      <c r="E1031" s="21"/>
      <c r="F1031" s="91"/>
      <c r="G1031" s="21"/>
      <c r="H1031" s="21"/>
      <c r="I1031" s="21"/>
      <c r="J1031" s="9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 spans="1:30" ht="13.2">
      <c r="A1032" s="21"/>
      <c r="B1032" s="21"/>
      <c r="C1032" s="21"/>
      <c r="D1032" s="21"/>
      <c r="E1032" s="21"/>
      <c r="F1032" s="91"/>
      <c r="G1032" s="21"/>
      <c r="H1032" s="21"/>
      <c r="I1032" s="21"/>
      <c r="J1032" s="9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 spans="1:30" ht="13.2">
      <c r="A1033" s="21"/>
      <c r="B1033" s="21"/>
      <c r="C1033" s="21"/>
      <c r="D1033" s="21"/>
      <c r="E1033" s="21"/>
      <c r="F1033" s="91"/>
      <c r="G1033" s="21"/>
      <c r="H1033" s="21"/>
      <c r="I1033" s="21"/>
      <c r="J1033" s="9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 spans="1:30" ht="13.2">
      <c r="A1034" s="21"/>
      <c r="B1034" s="21"/>
      <c r="C1034" s="21"/>
      <c r="D1034" s="21"/>
      <c r="E1034" s="21"/>
      <c r="F1034" s="91"/>
      <c r="G1034" s="21"/>
      <c r="H1034" s="21"/>
      <c r="I1034" s="21"/>
      <c r="J1034" s="9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 spans="1:30" ht="13.2">
      <c r="A1035" s="21"/>
      <c r="B1035" s="21"/>
      <c r="C1035" s="21"/>
      <c r="D1035" s="21"/>
      <c r="E1035" s="21"/>
      <c r="F1035" s="91"/>
      <c r="G1035" s="21"/>
      <c r="H1035" s="21"/>
      <c r="I1035" s="21"/>
      <c r="J1035" s="9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 spans="1:30" ht="13.2">
      <c r="A1036" s="21"/>
      <c r="B1036" s="21"/>
      <c r="C1036" s="21"/>
      <c r="D1036" s="21"/>
      <c r="E1036" s="21"/>
      <c r="F1036" s="91"/>
      <c r="G1036" s="21"/>
      <c r="H1036" s="21"/>
      <c r="I1036" s="21"/>
      <c r="J1036" s="9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 spans="1:30" ht="13.2">
      <c r="A1037" s="21"/>
      <c r="B1037" s="21"/>
      <c r="C1037" s="21"/>
      <c r="D1037" s="21"/>
      <c r="E1037" s="21"/>
      <c r="F1037" s="91"/>
      <c r="G1037" s="21"/>
      <c r="H1037" s="21"/>
      <c r="I1037" s="21"/>
      <c r="J1037" s="9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 spans="1:30" ht="13.2">
      <c r="A1038" s="21"/>
      <c r="B1038" s="21"/>
      <c r="C1038" s="21"/>
      <c r="D1038" s="21"/>
      <c r="E1038" s="21"/>
      <c r="F1038" s="91"/>
      <c r="G1038" s="21"/>
      <c r="H1038" s="21"/>
      <c r="I1038" s="21"/>
      <c r="J1038" s="9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 spans="1:30" ht="13.2">
      <c r="A1039" s="21"/>
      <c r="B1039" s="21"/>
      <c r="C1039" s="21"/>
      <c r="D1039" s="21"/>
      <c r="E1039" s="21"/>
      <c r="F1039" s="91"/>
      <c r="G1039" s="21"/>
      <c r="H1039" s="21"/>
      <c r="I1039" s="21"/>
      <c r="J1039" s="9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 spans="1:30" ht="13.2">
      <c r="A1040" s="21"/>
      <c r="B1040" s="21"/>
      <c r="C1040" s="21"/>
      <c r="D1040" s="21"/>
      <c r="E1040" s="21"/>
      <c r="F1040" s="91"/>
      <c r="G1040" s="21"/>
      <c r="H1040" s="21"/>
      <c r="I1040" s="21"/>
      <c r="J1040" s="9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 spans="1:30" ht="13.2">
      <c r="A1041" s="21"/>
      <c r="B1041" s="21"/>
      <c r="C1041" s="21"/>
      <c r="D1041" s="21"/>
      <c r="E1041" s="21"/>
      <c r="F1041" s="91"/>
      <c r="G1041" s="21"/>
      <c r="H1041" s="21"/>
      <c r="I1041" s="21"/>
      <c r="J1041" s="9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 spans="1:30" ht="13.2">
      <c r="A1042" s="21"/>
      <c r="B1042" s="21"/>
      <c r="C1042" s="21"/>
      <c r="D1042" s="21"/>
      <c r="E1042" s="21"/>
      <c r="F1042" s="91"/>
      <c r="G1042" s="21"/>
      <c r="H1042" s="21"/>
      <c r="I1042" s="21"/>
      <c r="J1042" s="9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 spans="1:30" ht="13.2">
      <c r="A1043" s="21"/>
      <c r="B1043" s="21"/>
      <c r="C1043" s="21"/>
      <c r="D1043" s="21"/>
      <c r="E1043" s="21"/>
      <c r="F1043" s="91"/>
      <c r="G1043" s="21"/>
      <c r="H1043" s="21"/>
      <c r="I1043" s="21"/>
      <c r="J1043" s="9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 spans="1:30" ht="13.2">
      <c r="A1044" s="21"/>
      <c r="B1044" s="21"/>
      <c r="C1044" s="21"/>
      <c r="D1044" s="21"/>
      <c r="E1044" s="21"/>
      <c r="F1044" s="91"/>
      <c r="G1044" s="21"/>
      <c r="H1044" s="21"/>
      <c r="I1044" s="21"/>
      <c r="J1044" s="9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 spans="1:30" ht="13.2">
      <c r="A1045" s="21"/>
      <c r="B1045" s="21"/>
      <c r="C1045" s="21"/>
      <c r="D1045" s="21"/>
      <c r="E1045" s="21"/>
      <c r="F1045" s="91"/>
      <c r="G1045" s="21"/>
      <c r="H1045" s="21"/>
      <c r="I1045" s="21"/>
      <c r="J1045" s="9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 spans="1:30" ht="13.2">
      <c r="A1046" s="21"/>
      <c r="B1046" s="21"/>
      <c r="C1046" s="21"/>
      <c r="D1046" s="21"/>
      <c r="E1046" s="21"/>
      <c r="F1046" s="91"/>
      <c r="G1046" s="21"/>
      <c r="H1046" s="21"/>
      <c r="I1046" s="21"/>
      <c r="J1046" s="9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 spans="1:30" ht="13.2">
      <c r="A1047" s="21"/>
      <c r="B1047" s="21"/>
      <c r="C1047" s="21"/>
      <c r="D1047" s="21"/>
      <c r="E1047" s="21"/>
      <c r="F1047" s="91"/>
      <c r="G1047" s="21"/>
      <c r="H1047" s="21"/>
      <c r="I1047" s="21"/>
      <c r="J1047" s="9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 spans="1:30" ht="13.2">
      <c r="A1048" s="21"/>
      <c r="B1048" s="21"/>
      <c r="C1048" s="21"/>
      <c r="D1048" s="21"/>
      <c r="E1048" s="21"/>
      <c r="F1048" s="91"/>
      <c r="G1048" s="21"/>
      <c r="H1048" s="21"/>
      <c r="I1048" s="21"/>
      <c r="J1048" s="9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 spans="1:30" ht="13.2">
      <c r="A1049" s="21"/>
      <c r="B1049" s="21"/>
      <c r="C1049" s="21"/>
      <c r="D1049" s="21"/>
      <c r="E1049" s="21"/>
      <c r="F1049" s="91"/>
      <c r="G1049" s="21"/>
      <c r="H1049" s="21"/>
      <c r="I1049" s="21"/>
      <c r="J1049" s="9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 spans="1:30" ht="13.2">
      <c r="A1050" s="21"/>
      <c r="B1050" s="21"/>
      <c r="C1050" s="21"/>
      <c r="D1050" s="21"/>
      <c r="E1050" s="21"/>
      <c r="F1050" s="91"/>
      <c r="G1050" s="21"/>
      <c r="H1050" s="21"/>
      <c r="I1050" s="21"/>
      <c r="J1050" s="9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 spans="1:30" ht="13.2">
      <c r="A1051" s="21"/>
      <c r="B1051" s="21"/>
      <c r="C1051" s="21"/>
      <c r="D1051" s="21"/>
      <c r="E1051" s="21"/>
      <c r="F1051" s="91"/>
      <c r="G1051" s="21"/>
      <c r="H1051" s="21"/>
      <c r="I1051" s="21"/>
      <c r="J1051" s="9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 spans="1:30" ht="13.2">
      <c r="A1052" s="21"/>
      <c r="B1052" s="21"/>
      <c r="C1052" s="21"/>
      <c r="D1052" s="21"/>
      <c r="E1052" s="21"/>
      <c r="F1052" s="91"/>
      <c r="G1052" s="21"/>
      <c r="H1052" s="21"/>
      <c r="I1052" s="21"/>
      <c r="J1052" s="9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 spans="1:30" ht="13.2">
      <c r="A1053" s="21"/>
      <c r="B1053" s="21"/>
      <c r="C1053" s="21"/>
      <c r="D1053" s="21"/>
      <c r="E1053" s="21"/>
      <c r="F1053" s="91"/>
      <c r="G1053" s="21"/>
      <c r="H1053" s="21"/>
      <c r="I1053" s="21"/>
      <c r="J1053" s="9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 spans="1:30" ht="13.2">
      <c r="A1054" s="21"/>
      <c r="B1054" s="21"/>
      <c r="C1054" s="21"/>
      <c r="D1054" s="21"/>
      <c r="E1054" s="21"/>
      <c r="F1054" s="91"/>
      <c r="G1054" s="21"/>
      <c r="H1054" s="21"/>
      <c r="I1054" s="21"/>
      <c r="J1054" s="9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 spans="1:30" ht="13.2">
      <c r="A1055" s="21"/>
      <c r="B1055" s="21"/>
      <c r="C1055" s="21"/>
      <c r="D1055" s="21"/>
      <c r="E1055" s="21"/>
      <c r="F1055" s="91"/>
      <c r="G1055" s="21"/>
      <c r="H1055" s="21"/>
      <c r="I1055" s="21"/>
      <c r="J1055" s="9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 spans="1:30" ht="13.2">
      <c r="A1056" s="21"/>
      <c r="B1056" s="21"/>
      <c r="C1056" s="21"/>
      <c r="D1056" s="21"/>
      <c r="E1056" s="21"/>
      <c r="F1056" s="91"/>
      <c r="G1056" s="21"/>
      <c r="H1056" s="21"/>
      <c r="I1056" s="21"/>
      <c r="J1056" s="9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 spans="1:30" ht="13.2">
      <c r="A1057" s="21"/>
      <c r="B1057" s="21"/>
      <c r="C1057" s="21"/>
      <c r="D1057" s="21"/>
      <c r="E1057" s="21"/>
      <c r="F1057" s="91"/>
      <c r="G1057" s="21"/>
      <c r="H1057" s="21"/>
      <c r="I1057" s="21"/>
      <c r="J1057" s="9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 spans="1:30" ht="13.2">
      <c r="A1058" s="21"/>
      <c r="B1058" s="21"/>
      <c r="C1058" s="21"/>
      <c r="D1058" s="21"/>
      <c r="E1058" s="21"/>
      <c r="F1058" s="91"/>
      <c r="G1058" s="21"/>
      <c r="H1058" s="21"/>
      <c r="I1058" s="21"/>
      <c r="J1058" s="9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 spans="1:30" ht="13.2">
      <c r="A1059" s="21"/>
      <c r="B1059" s="21"/>
      <c r="C1059" s="21"/>
      <c r="D1059" s="21"/>
      <c r="E1059" s="21"/>
      <c r="F1059" s="91"/>
      <c r="G1059" s="21"/>
      <c r="H1059" s="21"/>
      <c r="I1059" s="21"/>
      <c r="J1059" s="9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 spans="1:30" ht="13.2">
      <c r="A1060" s="21"/>
      <c r="B1060" s="21"/>
      <c r="C1060" s="21"/>
      <c r="D1060" s="21"/>
      <c r="E1060" s="21"/>
      <c r="F1060" s="91"/>
      <c r="G1060" s="21"/>
      <c r="H1060" s="21"/>
      <c r="I1060" s="21"/>
      <c r="J1060" s="9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 spans="1:30" ht="13.2">
      <c r="A1061" s="21"/>
      <c r="B1061" s="21"/>
      <c r="C1061" s="21"/>
      <c r="D1061" s="21"/>
      <c r="E1061" s="21"/>
      <c r="F1061" s="91"/>
      <c r="G1061" s="21"/>
      <c r="H1061" s="21"/>
      <c r="I1061" s="21"/>
      <c r="J1061" s="9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 spans="1:30" ht="13.2">
      <c r="A1062" s="21"/>
      <c r="B1062" s="21"/>
      <c r="C1062" s="21"/>
      <c r="D1062" s="21"/>
      <c r="E1062" s="21"/>
      <c r="F1062" s="91"/>
      <c r="G1062" s="21"/>
      <c r="H1062" s="21"/>
      <c r="I1062" s="21"/>
      <c r="J1062" s="9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 spans="1:30" ht="13.2">
      <c r="A1063" s="21"/>
      <c r="B1063" s="21"/>
      <c r="C1063" s="21"/>
      <c r="D1063" s="21"/>
      <c r="E1063" s="21"/>
      <c r="F1063" s="91"/>
      <c r="G1063" s="21"/>
      <c r="H1063" s="21"/>
      <c r="I1063" s="21"/>
      <c r="J1063" s="9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 spans="1:30" ht="13.2">
      <c r="A1064" s="21"/>
      <c r="B1064" s="21"/>
      <c r="C1064" s="21"/>
      <c r="D1064" s="21"/>
      <c r="E1064" s="21"/>
      <c r="F1064" s="91"/>
      <c r="G1064" s="21"/>
      <c r="H1064" s="21"/>
      <c r="I1064" s="21"/>
      <c r="J1064" s="9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 spans="1:30" ht="13.2">
      <c r="A1065" s="21"/>
      <c r="B1065" s="21"/>
      <c r="C1065" s="21"/>
      <c r="D1065" s="21"/>
      <c r="E1065" s="21"/>
      <c r="F1065" s="91"/>
      <c r="G1065" s="21"/>
      <c r="H1065" s="21"/>
      <c r="I1065" s="21"/>
      <c r="J1065" s="9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 spans="1:30" ht="13.2">
      <c r="A1066" s="21"/>
      <c r="B1066" s="21"/>
      <c r="C1066" s="21"/>
      <c r="D1066" s="21"/>
      <c r="E1066" s="21"/>
      <c r="F1066" s="91"/>
      <c r="G1066" s="21"/>
      <c r="H1066" s="21"/>
      <c r="I1066" s="21"/>
      <c r="J1066" s="9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 spans="1:30" ht="13.2">
      <c r="A1067" s="21"/>
      <c r="B1067" s="21"/>
      <c r="C1067" s="21"/>
      <c r="D1067" s="21"/>
      <c r="E1067" s="21"/>
      <c r="F1067" s="91"/>
      <c r="G1067" s="21"/>
      <c r="H1067" s="21"/>
      <c r="I1067" s="21"/>
      <c r="J1067" s="9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 spans="1:30" ht="13.2">
      <c r="A1068" s="21"/>
      <c r="B1068" s="21"/>
      <c r="C1068" s="21"/>
      <c r="D1068" s="21"/>
      <c r="E1068" s="21"/>
      <c r="F1068" s="91"/>
      <c r="G1068" s="21"/>
      <c r="H1068" s="21"/>
      <c r="I1068" s="21"/>
      <c r="J1068" s="9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 spans="1:30" ht="13.2">
      <c r="A1069" s="21"/>
      <c r="B1069" s="21"/>
      <c r="C1069" s="21"/>
      <c r="D1069" s="21"/>
      <c r="E1069" s="21"/>
      <c r="F1069" s="91"/>
      <c r="G1069" s="21"/>
      <c r="H1069" s="21"/>
      <c r="I1069" s="21"/>
      <c r="J1069" s="9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 spans="1:30" ht="13.2">
      <c r="A1070" s="21"/>
      <c r="B1070" s="21"/>
      <c r="C1070" s="21"/>
      <c r="D1070" s="21"/>
      <c r="E1070" s="21"/>
      <c r="F1070" s="91"/>
      <c r="G1070" s="21"/>
      <c r="H1070" s="21"/>
      <c r="I1070" s="21"/>
      <c r="J1070" s="9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 spans="1:30" ht="13.2">
      <c r="A1071" s="21"/>
      <c r="B1071" s="21"/>
      <c r="C1071" s="21"/>
      <c r="D1071" s="21"/>
      <c r="E1071" s="21"/>
      <c r="F1071" s="91"/>
      <c r="G1071" s="21"/>
      <c r="H1071" s="21"/>
      <c r="I1071" s="21"/>
      <c r="J1071" s="9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 spans="1:30" ht="13.2">
      <c r="A1072" s="21"/>
      <c r="B1072" s="21"/>
      <c r="C1072" s="21"/>
      <c r="D1072" s="21"/>
      <c r="E1072" s="21"/>
      <c r="F1072" s="91"/>
      <c r="G1072" s="21"/>
      <c r="H1072" s="21"/>
      <c r="I1072" s="21"/>
      <c r="J1072" s="9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 spans="1:30" ht="13.2">
      <c r="A1073" s="21"/>
      <c r="B1073" s="21"/>
      <c r="C1073" s="21"/>
      <c r="D1073" s="21"/>
      <c r="E1073" s="21"/>
      <c r="F1073" s="91"/>
      <c r="G1073" s="21"/>
      <c r="H1073" s="21"/>
      <c r="I1073" s="21"/>
      <c r="J1073" s="9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 spans="1:30" ht="13.2">
      <c r="A1074" s="21"/>
      <c r="B1074" s="21"/>
      <c r="C1074" s="21"/>
      <c r="D1074" s="21"/>
      <c r="E1074" s="21"/>
      <c r="F1074" s="91"/>
      <c r="G1074" s="21"/>
      <c r="H1074" s="21"/>
      <c r="I1074" s="21"/>
      <c r="J1074" s="9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 spans="1:30" ht="13.2">
      <c r="A1075" s="21"/>
      <c r="B1075" s="21"/>
      <c r="C1075" s="21"/>
      <c r="D1075" s="21"/>
      <c r="E1075" s="21"/>
      <c r="F1075" s="91"/>
      <c r="G1075" s="21"/>
      <c r="H1075" s="21"/>
      <c r="I1075" s="21"/>
      <c r="J1075" s="9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 spans="1:30" ht="13.2">
      <c r="A1076" s="21"/>
      <c r="B1076" s="21"/>
      <c r="C1076" s="21"/>
      <c r="D1076" s="21"/>
      <c r="E1076" s="21"/>
      <c r="F1076" s="91"/>
      <c r="G1076" s="21"/>
      <c r="H1076" s="21"/>
      <c r="I1076" s="21"/>
      <c r="J1076" s="9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 spans="1:30" ht="13.2">
      <c r="A1077" s="21"/>
      <c r="B1077" s="21"/>
      <c r="C1077" s="21"/>
      <c r="D1077" s="21"/>
      <c r="E1077" s="21"/>
      <c r="F1077" s="91"/>
      <c r="G1077" s="21"/>
      <c r="H1077" s="21"/>
      <c r="I1077" s="21"/>
      <c r="J1077" s="9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 spans="1:30" ht="13.2">
      <c r="A1078" s="21"/>
      <c r="B1078" s="21"/>
      <c r="C1078" s="21"/>
      <c r="D1078" s="21"/>
      <c r="E1078" s="21"/>
      <c r="F1078" s="91"/>
      <c r="G1078" s="21"/>
      <c r="H1078" s="21"/>
      <c r="I1078" s="21"/>
      <c r="J1078" s="9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 spans="1:30" ht="13.2">
      <c r="A1079" s="21"/>
      <c r="B1079" s="21"/>
      <c r="C1079" s="21"/>
      <c r="D1079" s="21"/>
      <c r="E1079" s="21"/>
      <c r="F1079" s="91"/>
      <c r="G1079" s="21"/>
      <c r="H1079" s="21"/>
      <c r="I1079" s="21"/>
      <c r="J1079" s="9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 spans="1:30" ht="13.2">
      <c r="A1080" s="21"/>
      <c r="B1080" s="21"/>
      <c r="C1080" s="21"/>
      <c r="D1080" s="21"/>
      <c r="E1080" s="21"/>
      <c r="F1080" s="91"/>
      <c r="G1080" s="21"/>
      <c r="H1080" s="21"/>
      <c r="I1080" s="21"/>
      <c r="J1080" s="9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  <row r="1081" spans="1:30" ht="13.2">
      <c r="A1081" s="21"/>
      <c r="B1081" s="21"/>
      <c r="C1081" s="21"/>
      <c r="D1081" s="21"/>
      <c r="E1081" s="21"/>
      <c r="F1081" s="91"/>
      <c r="G1081" s="21"/>
      <c r="H1081" s="21"/>
      <c r="I1081" s="21"/>
      <c r="J1081" s="9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</row>
    <row r="1082" spans="1:30" ht="13.2">
      <c r="A1082" s="21"/>
      <c r="B1082" s="21"/>
      <c r="C1082" s="21"/>
      <c r="D1082" s="21"/>
      <c r="E1082" s="21"/>
      <c r="F1082" s="91"/>
      <c r="G1082" s="21"/>
      <c r="H1082" s="21"/>
      <c r="I1082" s="21"/>
      <c r="J1082" s="9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</row>
    <row r="1083" spans="1:30" ht="13.2">
      <c r="A1083" s="21"/>
      <c r="B1083" s="21"/>
      <c r="C1083" s="21"/>
      <c r="D1083" s="21"/>
      <c r="E1083" s="21"/>
      <c r="F1083" s="91"/>
      <c r="G1083" s="21"/>
      <c r="H1083" s="21"/>
      <c r="I1083" s="21"/>
      <c r="J1083" s="9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</row>
    <row r="1084" spans="1:30" ht="13.2">
      <c r="A1084" s="21"/>
      <c r="B1084" s="21"/>
      <c r="C1084" s="21"/>
      <c r="D1084" s="21"/>
      <c r="E1084" s="21"/>
      <c r="F1084" s="91"/>
      <c r="G1084" s="21"/>
      <c r="H1084" s="21"/>
      <c r="I1084" s="21"/>
      <c r="J1084" s="9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</row>
    <row r="1085" spans="1:30" ht="13.2">
      <c r="A1085" s="21"/>
      <c r="B1085" s="21"/>
      <c r="C1085" s="21"/>
      <c r="D1085" s="21"/>
      <c r="E1085" s="21"/>
      <c r="F1085" s="91"/>
      <c r="G1085" s="21"/>
      <c r="H1085" s="21"/>
      <c r="I1085" s="21"/>
      <c r="J1085" s="9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</row>
    <row r="1086" spans="1:30" ht="13.2">
      <c r="A1086" s="21"/>
      <c r="B1086" s="21"/>
      <c r="C1086" s="21"/>
      <c r="D1086" s="21"/>
      <c r="E1086" s="21"/>
      <c r="F1086" s="91"/>
      <c r="G1086" s="21"/>
      <c r="H1086" s="21"/>
      <c r="I1086" s="21"/>
      <c r="J1086" s="9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</row>
    <row r="1087" spans="1:30" ht="13.2">
      <c r="A1087" s="21"/>
      <c r="B1087" s="21"/>
      <c r="C1087" s="21"/>
      <c r="D1087" s="21"/>
      <c r="E1087" s="21"/>
      <c r="F1087" s="91"/>
      <c r="G1087" s="21"/>
      <c r="H1087" s="21"/>
      <c r="I1087" s="21"/>
      <c r="J1087" s="9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</row>
    <row r="1088" spans="1:30" ht="13.2">
      <c r="A1088" s="21"/>
      <c r="B1088" s="21"/>
      <c r="C1088" s="21"/>
      <c r="D1088" s="21"/>
      <c r="E1088" s="21"/>
      <c r="F1088" s="91"/>
      <c r="G1088" s="21"/>
      <c r="H1088" s="21"/>
      <c r="I1088" s="21"/>
      <c r="J1088" s="9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</row>
    <row r="1089" spans="1:30" ht="13.2">
      <c r="A1089" s="21"/>
      <c r="B1089" s="21"/>
      <c r="C1089" s="21"/>
      <c r="D1089" s="21"/>
      <c r="E1089" s="21"/>
      <c r="F1089" s="91"/>
      <c r="G1089" s="21"/>
      <c r="H1089" s="21"/>
      <c r="I1089" s="21"/>
      <c r="J1089" s="9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</row>
    <row r="1090" spans="1:30" ht="13.2">
      <c r="A1090" s="21"/>
      <c r="B1090" s="21"/>
      <c r="C1090" s="21"/>
      <c r="D1090" s="21"/>
      <c r="E1090" s="21"/>
      <c r="F1090" s="91"/>
      <c r="G1090" s="21"/>
      <c r="H1090" s="21"/>
      <c r="I1090" s="21"/>
      <c r="J1090" s="9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</row>
    <row r="1091" spans="1:30" ht="13.2">
      <c r="A1091" s="21"/>
      <c r="B1091" s="21"/>
      <c r="C1091" s="21"/>
      <c r="D1091" s="21"/>
      <c r="E1091" s="21"/>
      <c r="F1091" s="91"/>
      <c r="G1091" s="21"/>
      <c r="H1091" s="21"/>
      <c r="I1091" s="21"/>
      <c r="J1091" s="9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</row>
    <row r="1092" spans="1:30" ht="13.2">
      <c r="A1092" s="21"/>
      <c r="B1092" s="21"/>
      <c r="C1092" s="21"/>
      <c r="D1092" s="21"/>
      <c r="E1092" s="21"/>
      <c r="F1092" s="91"/>
      <c r="G1092" s="21"/>
      <c r="H1092" s="21"/>
      <c r="I1092" s="21"/>
      <c r="J1092" s="9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</row>
    <row r="1093" spans="1:30" ht="13.2">
      <c r="A1093" s="21"/>
      <c r="B1093" s="21"/>
      <c r="C1093" s="21"/>
      <c r="D1093" s="21"/>
      <c r="E1093" s="21"/>
      <c r="F1093" s="91"/>
      <c r="G1093" s="21"/>
      <c r="H1093" s="21"/>
      <c r="I1093" s="21"/>
      <c r="J1093" s="9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</row>
    <row r="1094" spans="1:30" ht="13.2">
      <c r="A1094" s="21"/>
      <c r="B1094" s="21"/>
      <c r="C1094" s="21"/>
      <c r="D1094" s="21"/>
      <c r="E1094" s="21"/>
      <c r="F1094" s="91"/>
      <c r="G1094" s="21"/>
      <c r="H1094" s="21"/>
      <c r="I1094" s="21"/>
      <c r="J1094" s="9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</row>
    <row r="1095" spans="1:30" ht="13.2">
      <c r="A1095" s="21"/>
      <c r="B1095" s="21"/>
      <c r="C1095" s="21"/>
      <c r="D1095" s="21"/>
      <c r="E1095" s="21"/>
      <c r="F1095" s="91"/>
      <c r="G1095" s="21"/>
      <c r="H1095" s="21"/>
      <c r="I1095" s="21"/>
      <c r="J1095" s="9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</row>
    <row r="1096" spans="1:30" ht="13.2">
      <c r="A1096" s="21"/>
      <c r="B1096" s="21"/>
      <c r="C1096" s="21"/>
      <c r="D1096" s="21"/>
      <c r="E1096" s="21"/>
      <c r="F1096" s="91"/>
      <c r="G1096" s="21"/>
      <c r="H1096" s="21"/>
      <c r="I1096" s="21"/>
      <c r="J1096" s="9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</row>
    <row r="1097" spans="1:30" ht="13.2">
      <c r="A1097" s="21"/>
      <c r="B1097" s="21"/>
      <c r="C1097" s="21"/>
      <c r="D1097" s="21"/>
      <c r="E1097" s="21"/>
      <c r="F1097" s="91"/>
      <c r="G1097" s="21"/>
      <c r="H1097" s="21"/>
      <c r="I1097" s="21"/>
      <c r="J1097" s="9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</row>
    <row r="1098" spans="1:30" ht="13.2">
      <c r="A1098" s="21"/>
      <c r="B1098" s="21"/>
      <c r="C1098" s="21"/>
      <c r="D1098" s="21"/>
      <c r="E1098" s="21"/>
      <c r="F1098" s="91"/>
      <c r="G1098" s="21"/>
      <c r="H1098" s="21"/>
      <c r="I1098" s="21"/>
      <c r="J1098" s="9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</row>
    <row r="1099" spans="1:30" ht="13.2">
      <c r="A1099" s="21"/>
      <c r="B1099" s="21"/>
      <c r="C1099" s="21"/>
      <c r="D1099" s="21"/>
      <c r="E1099" s="21"/>
      <c r="F1099" s="91"/>
      <c r="G1099" s="21"/>
      <c r="H1099" s="21"/>
      <c r="I1099" s="21"/>
      <c r="J1099" s="9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</row>
    <row r="1100" spans="1:30" ht="13.2">
      <c r="A1100" s="21"/>
      <c r="B1100" s="21"/>
      <c r="C1100" s="21"/>
      <c r="D1100" s="21"/>
      <c r="E1100" s="21"/>
      <c r="F1100" s="91"/>
      <c r="G1100" s="21"/>
      <c r="H1100" s="21"/>
      <c r="I1100" s="21"/>
      <c r="J1100" s="9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</row>
    <row r="1101" spans="1:30" ht="13.2">
      <c r="A1101" s="21"/>
      <c r="B1101" s="21"/>
      <c r="C1101" s="21"/>
      <c r="D1101" s="21"/>
      <c r="E1101" s="21"/>
      <c r="F1101" s="91"/>
      <c r="G1101" s="21"/>
      <c r="H1101" s="21"/>
      <c r="I1101" s="21"/>
      <c r="J1101" s="9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</row>
    <row r="1102" spans="1:30" ht="13.2">
      <c r="A1102" s="21"/>
      <c r="B1102" s="21"/>
      <c r="C1102" s="21"/>
      <c r="D1102" s="21"/>
      <c r="E1102" s="21"/>
      <c r="F1102" s="91"/>
      <c r="G1102" s="21"/>
      <c r="H1102" s="21"/>
      <c r="I1102" s="21"/>
      <c r="J1102" s="9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</row>
    <row r="1103" spans="1:30" ht="13.2">
      <c r="A1103" s="21"/>
      <c r="B1103" s="21"/>
      <c r="C1103" s="21"/>
      <c r="D1103" s="21"/>
      <c r="E1103" s="21"/>
      <c r="F1103" s="91"/>
      <c r="G1103" s="21"/>
      <c r="H1103" s="21"/>
      <c r="I1103" s="21"/>
      <c r="J1103" s="9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</row>
    <row r="1104" spans="1:30" ht="13.2">
      <c r="A1104" s="21"/>
      <c r="B1104" s="21"/>
      <c r="C1104" s="21"/>
      <c r="D1104" s="21"/>
      <c r="E1104" s="21"/>
      <c r="F1104" s="91"/>
      <c r="G1104" s="21"/>
      <c r="H1104" s="21"/>
      <c r="I1104" s="21"/>
      <c r="J1104" s="9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</row>
    <row r="1105" spans="1:30" ht="13.2">
      <c r="A1105" s="21"/>
      <c r="B1105" s="21"/>
      <c r="C1105" s="21"/>
      <c r="D1105" s="21"/>
      <c r="E1105" s="21"/>
      <c r="F1105" s="91"/>
      <c r="G1105" s="21"/>
      <c r="H1105" s="21"/>
      <c r="I1105" s="21"/>
      <c r="J1105" s="9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</row>
    <row r="1106" spans="1:30" ht="13.2">
      <c r="A1106" s="21"/>
      <c r="B1106" s="21"/>
      <c r="C1106" s="21"/>
      <c r="D1106" s="21"/>
      <c r="E1106" s="21"/>
      <c r="F1106" s="91"/>
      <c r="G1106" s="21"/>
      <c r="H1106" s="21"/>
      <c r="I1106" s="21"/>
      <c r="J1106" s="9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</row>
    <row r="1107" spans="1:30" ht="13.2">
      <c r="A1107" s="21"/>
      <c r="B1107" s="21"/>
      <c r="C1107" s="21"/>
      <c r="D1107" s="21"/>
      <c r="E1107" s="21"/>
      <c r="F1107" s="91"/>
      <c r="G1107" s="21"/>
      <c r="H1107" s="21"/>
      <c r="I1107" s="21"/>
      <c r="J1107" s="9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</row>
    <row r="1108" spans="1:30" ht="13.2">
      <c r="A1108" s="21"/>
      <c r="B1108" s="21"/>
      <c r="C1108" s="21"/>
      <c r="D1108" s="21"/>
      <c r="E1108" s="21"/>
      <c r="F1108" s="91"/>
      <c r="G1108" s="21"/>
      <c r="H1108" s="21"/>
      <c r="I1108" s="21"/>
      <c r="J1108" s="9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</row>
    <row r="1109" spans="1:30" ht="13.2">
      <c r="A1109" s="21"/>
      <c r="B1109" s="21"/>
      <c r="C1109" s="21"/>
      <c r="D1109" s="21"/>
      <c r="E1109" s="21"/>
      <c r="F1109" s="91"/>
      <c r="G1109" s="21"/>
      <c r="H1109" s="21"/>
      <c r="I1109" s="21"/>
      <c r="J1109" s="9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</row>
    <row r="1110" spans="1:30" ht="13.2">
      <c r="A1110" s="21"/>
      <c r="B1110" s="21"/>
      <c r="C1110" s="21"/>
      <c r="D1110" s="21"/>
      <c r="E1110" s="21"/>
      <c r="F1110" s="91"/>
      <c r="G1110" s="21"/>
      <c r="H1110" s="21"/>
      <c r="I1110" s="21"/>
      <c r="J1110" s="9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</row>
    <row r="1111" spans="1:30" ht="13.2">
      <c r="A1111" s="21"/>
      <c r="B1111" s="21"/>
      <c r="C1111" s="21"/>
      <c r="D1111" s="21"/>
      <c r="E1111" s="21"/>
      <c r="F1111" s="91"/>
      <c r="G1111" s="21"/>
      <c r="H1111" s="21"/>
      <c r="I1111" s="21"/>
      <c r="J1111" s="9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</row>
    <row r="1112" spans="1:30" ht="13.2">
      <c r="A1112" s="21"/>
      <c r="B1112" s="21"/>
      <c r="C1112" s="21"/>
      <c r="D1112" s="21"/>
      <c r="E1112" s="21"/>
      <c r="F1112" s="91"/>
      <c r="G1112" s="21"/>
      <c r="H1112" s="21"/>
      <c r="I1112" s="21"/>
      <c r="J1112" s="9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</row>
    <row r="1113" spans="1:30" ht="13.2">
      <c r="A1113" s="21"/>
      <c r="B1113" s="21"/>
      <c r="C1113" s="21"/>
      <c r="D1113" s="21"/>
      <c r="E1113" s="21"/>
      <c r="F1113" s="91"/>
      <c r="G1113" s="21"/>
      <c r="H1113" s="21"/>
      <c r="I1113" s="21"/>
      <c r="J1113" s="9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</row>
    <row r="1114" spans="1:30" ht="13.2">
      <c r="A1114" s="21"/>
      <c r="B1114" s="21"/>
      <c r="C1114" s="21"/>
      <c r="D1114" s="21"/>
      <c r="E1114" s="21"/>
      <c r="F1114" s="91"/>
      <c r="G1114" s="21"/>
      <c r="H1114" s="21"/>
      <c r="I1114" s="21"/>
      <c r="J1114" s="9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</row>
    <row r="1115" spans="1:30" ht="13.2">
      <c r="A1115" s="21"/>
      <c r="B1115" s="21"/>
      <c r="C1115" s="21"/>
      <c r="D1115" s="21"/>
      <c r="E1115" s="21"/>
      <c r="F1115" s="91"/>
      <c r="G1115" s="21"/>
      <c r="H1115" s="21"/>
      <c r="I1115" s="21"/>
      <c r="J1115" s="9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</row>
    <row r="1116" spans="1:30" ht="13.2">
      <c r="A1116" s="21"/>
      <c r="B1116" s="21"/>
      <c r="C1116" s="21"/>
      <c r="D1116" s="21"/>
      <c r="E1116" s="21"/>
      <c r="F1116" s="91"/>
      <c r="G1116" s="21"/>
      <c r="H1116" s="21"/>
      <c r="I1116" s="21"/>
      <c r="J1116" s="9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</row>
    <row r="1117" spans="1:30" ht="13.2">
      <c r="A1117" s="21"/>
      <c r="B1117" s="21"/>
      <c r="C1117" s="21"/>
      <c r="D1117" s="21"/>
      <c r="E1117" s="21"/>
      <c r="F1117" s="91"/>
      <c r="G1117" s="21"/>
      <c r="H1117" s="21"/>
      <c r="I1117" s="21"/>
      <c r="J1117" s="9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</row>
    <row r="1118" spans="1:30" ht="13.2">
      <c r="A1118" s="21"/>
      <c r="B1118" s="21"/>
      <c r="C1118" s="21"/>
      <c r="D1118" s="21"/>
      <c r="E1118" s="21"/>
      <c r="F1118" s="91"/>
      <c r="G1118" s="21"/>
      <c r="H1118" s="21"/>
      <c r="I1118" s="21"/>
      <c r="J1118" s="9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</row>
    <row r="1119" spans="1:30" ht="13.2">
      <c r="A1119" s="21"/>
      <c r="B1119" s="21"/>
      <c r="C1119" s="21"/>
      <c r="D1119" s="21"/>
      <c r="E1119" s="21"/>
      <c r="F1119" s="91"/>
      <c r="G1119" s="21"/>
      <c r="H1119" s="21"/>
      <c r="I1119" s="21"/>
      <c r="J1119" s="9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</row>
    <row r="1120" spans="1:30" ht="13.2">
      <c r="A1120" s="21"/>
      <c r="B1120" s="21"/>
      <c r="C1120" s="21"/>
      <c r="D1120" s="21"/>
      <c r="E1120" s="21"/>
      <c r="F1120" s="91"/>
      <c r="G1120" s="21"/>
      <c r="H1120" s="21"/>
      <c r="I1120" s="21"/>
      <c r="J1120" s="9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</row>
    <row r="1121" spans="1:30" ht="13.2">
      <c r="A1121" s="21"/>
      <c r="B1121" s="21"/>
      <c r="C1121" s="21"/>
      <c r="D1121" s="21"/>
      <c r="E1121" s="21"/>
      <c r="F1121" s="91"/>
      <c r="G1121" s="21"/>
      <c r="H1121" s="21"/>
      <c r="I1121" s="21"/>
      <c r="J1121" s="9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</row>
    <row r="1122" spans="1:30" ht="13.2">
      <c r="A1122" s="21"/>
      <c r="B1122" s="21"/>
      <c r="C1122" s="21"/>
      <c r="D1122" s="21"/>
      <c r="E1122" s="21"/>
      <c r="F1122" s="91"/>
      <c r="G1122" s="21"/>
      <c r="H1122" s="21"/>
      <c r="I1122" s="21"/>
      <c r="J1122" s="9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</row>
    <row r="1123" spans="1:30" ht="13.2">
      <c r="A1123" s="21"/>
      <c r="B1123" s="21"/>
      <c r="C1123" s="21"/>
      <c r="D1123" s="21"/>
      <c r="E1123" s="21"/>
      <c r="F1123" s="91"/>
      <c r="G1123" s="21"/>
      <c r="H1123" s="21"/>
      <c r="I1123" s="21"/>
      <c r="J1123" s="9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</row>
    <row r="1124" spans="1:30" ht="13.2">
      <c r="A1124" s="21"/>
      <c r="B1124" s="21"/>
      <c r="C1124" s="21"/>
      <c r="D1124" s="21"/>
      <c r="E1124" s="21"/>
      <c r="F1124" s="91"/>
      <c r="G1124" s="21"/>
      <c r="H1124" s="21"/>
      <c r="I1124" s="21"/>
      <c r="J1124" s="9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</row>
    <row r="1125" spans="1:30" ht="13.2">
      <c r="A1125" s="21"/>
      <c r="B1125" s="21"/>
      <c r="C1125" s="21"/>
      <c r="D1125" s="21"/>
      <c r="E1125" s="21"/>
      <c r="F1125" s="91"/>
      <c r="G1125" s="21"/>
      <c r="H1125" s="21"/>
      <c r="I1125" s="21"/>
      <c r="J1125" s="9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</row>
    <row r="1126" spans="1:30" ht="13.2">
      <c r="A1126" s="21"/>
      <c r="B1126" s="21"/>
      <c r="C1126" s="21"/>
      <c r="D1126" s="21"/>
      <c r="E1126" s="21"/>
      <c r="F1126" s="91"/>
      <c r="G1126" s="21"/>
      <c r="H1126" s="21"/>
      <c r="I1126" s="21"/>
      <c r="J1126" s="9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</row>
    <row r="1127" spans="1:30" ht="13.2">
      <c r="A1127" s="21"/>
      <c r="B1127" s="21"/>
      <c r="C1127" s="21"/>
      <c r="D1127" s="21"/>
      <c r="E1127" s="21"/>
      <c r="F1127" s="91"/>
      <c r="G1127" s="21"/>
      <c r="H1127" s="21"/>
      <c r="I1127" s="21"/>
      <c r="J1127" s="9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</row>
    <row r="1128" spans="1:30" ht="13.2">
      <c r="A1128" s="21"/>
      <c r="B1128" s="21"/>
      <c r="C1128" s="21"/>
      <c r="D1128" s="21"/>
      <c r="E1128" s="21"/>
      <c r="F1128" s="91"/>
      <c r="G1128" s="21"/>
      <c r="H1128" s="21"/>
      <c r="I1128" s="21"/>
      <c r="J1128" s="9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</row>
    <row r="1129" spans="1:30" ht="13.2">
      <c r="A1129" s="21"/>
      <c r="B1129" s="21"/>
      <c r="C1129" s="21"/>
      <c r="D1129" s="21"/>
      <c r="E1129" s="21"/>
      <c r="F1129" s="91"/>
      <c r="G1129" s="21"/>
      <c r="H1129" s="21"/>
      <c r="I1129" s="21"/>
      <c r="J1129" s="9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</row>
    <row r="1130" spans="1:30" ht="13.2">
      <c r="A1130" s="21"/>
      <c r="B1130" s="21"/>
      <c r="C1130" s="21"/>
      <c r="D1130" s="21"/>
      <c r="E1130" s="21"/>
      <c r="F1130" s="91"/>
      <c r="G1130" s="21"/>
      <c r="H1130" s="21"/>
      <c r="I1130" s="21"/>
      <c r="J1130" s="9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</row>
    <row r="1131" spans="1:30" ht="13.2">
      <c r="A1131" s="21"/>
      <c r="B1131" s="21"/>
      <c r="C1131" s="21"/>
      <c r="D1131" s="21"/>
      <c r="E1131" s="21"/>
      <c r="F1131" s="91"/>
      <c r="G1131" s="21"/>
      <c r="H1131" s="21"/>
      <c r="I1131" s="21"/>
      <c r="J1131" s="9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</row>
    <row r="1132" spans="1:30" ht="13.2">
      <c r="A1132" s="21"/>
      <c r="B1132" s="21"/>
      <c r="C1132" s="21"/>
      <c r="D1132" s="21"/>
      <c r="E1132" s="21"/>
      <c r="F1132" s="91"/>
      <c r="G1132" s="21"/>
      <c r="H1132" s="21"/>
      <c r="I1132" s="21"/>
      <c r="J1132" s="9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</row>
    <row r="1133" spans="1:30" ht="13.2">
      <c r="A1133" s="21"/>
      <c r="B1133" s="21"/>
      <c r="C1133" s="21"/>
      <c r="D1133" s="21"/>
      <c r="E1133" s="21"/>
      <c r="F1133" s="91"/>
      <c r="G1133" s="21"/>
      <c r="H1133" s="21"/>
      <c r="I1133" s="21"/>
      <c r="J1133" s="9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</row>
    <row r="1134" spans="1:30" ht="13.2">
      <c r="A1134" s="21"/>
      <c r="B1134" s="21"/>
      <c r="C1134" s="21"/>
      <c r="D1134" s="21"/>
      <c r="E1134" s="21"/>
      <c r="F1134" s="91"/>
      <c r="G1134" s="21"/>
      <c r="H1134" s="21"/>
      <c r="I1134" s="21"/>
      <c r="J1134" s="9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</row>
    <row r="1135" spans="1:30" ht="13.2">
      <c r="A1135" s="21"/>
      <c r="B1135" s="21"/>
      <c r="C1135" s="21"/>
      <c r="D1135" s="21"/>
      <c r="E1135" s="21"/>
      <c r="F1135" s="91"/>
      <c r="G1135" s="21"/>
      <c r="H1135" s="21"/>
      <c r="I1135" s="21"/>
      <c r="J1135" s="9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</row>
    <row r="1136" spans="1:30" ht="13.2">
      <c r="A1136" s="21"/>
      <c r="B1136" s="21"/>
      <c r="C1136" s="21"/>
      <c r="D1136" s="21"/>
      <c r="E1136" s="21"/>
      <c r="F1136" s="91"/>
      <c r="G1136" s="21"/>
      <c r="H1136" s="21"/>
      <c r="I1136" s="21"/>
      <c r="J1136" s="9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</row>
    <row r="1137" spans="1:30" ht="13.2">
      <c r="A1137" s="21"/>
      <c r="B1137" s="21"/>
      <c r="C1137" s="21"/>
      <c r="D1137" s="21"/>
      <c r="E1137" s="21"/>
      <c r="F1137" s="91"/>
      <c r="G1137" s="21"/>
      <c r="H1137" s="21"/>
      <c r="I1137" s="21"/>
      <c r="J1137" s="9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</row>
    <row r="1138" spans="1:30" ht="13.2">
      <c r="A1138" s="21"/>
      <c r="B1138" s="21"/>
      <c r="C1138" s="21"/>
      <c r="D1138" s="21"/>
      <c r="E1138" s="21"/>
      <c r="F1138" s="91"/>
      <c r="G1138" s="21"/>
      <c r="H1138" s="21"/>
      <c r="I1138" s="21"/>
      <c r="J1138" s="9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</row>
    <row r="1139" spans="1:30" ht="13.2">
      <c r="A1139" s="21"/>
      <c r="B1139" s="21"/>
      <c r="C1139" s="21"/>
      <c r="D1139" s="21"/>
      <c r="E1139" s="21"/>
      <c r="F1139" s="91"/>
      <c r="G1139" s="21"/>
      <c r="H1139" s="21"/>
      <c r="I1139" s="21"/>
      <c r="J1139" s="9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</row>
    <row r="1140" spans="1:30" ht="13.2">
      <c r="A1140" s="21"/>
      <c r="B1140" s="21"/>
      <c r="C1140" s="21"/>
      <c r="D1140" s="21"/>
      <c r="E1140" s="21"/>
      <c r="F1140" s="91"/>
      <c r="G1140" s="21"/>
      <c r="H1140" s="21"/>
      <c r="I1140" s="21"/>
      <c r="J1140" s="9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</row>
    <row r="1141" spans="1:30" ht="13.2">
      <c r="A1141" s="21"/>
      <c r="B1141" s="21"/>
      <c r="C1141" s="21"/>
      <c r="D1141" s="21"/>
      <c r="E1141" s="21"/>
      <c r="F1141" s="91"/>
      <c r="G1141" s="21"/>
      <c r="H1141" s="21"/>
      <c r="I1141" s="21"/>
      <c r="J1141" s="9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</row>
    <row r="1142" spans="1:30" ht="13.2">
      <c r="A1142" s="21"/>
      <c r="B1142" s="21"/>
      <c r="C1142" s="21"/>
      <c r="D1142" s="21"/>
      <c r="E1142" s="21"/>
      <c r="F1142" s="91"/>
      <c r="G1142" s="21"/>
      <c r="H1142" s="21"/>
      <c r="I1142" s="21"/>
      <c r="J1142" s="9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</row>
    <row r="1143" spans="1:30" ht="13.2">
      <c r="A1143" s="21"/>
      <c r="B1143" s="21"/>
      <c r="C1143" s="21"/>
      <c r="D1143" s="21"/>
      <c r="E1143" s="21"/>
      <c r="F1143" s="91"/>
      <c r="G1143" s="21"/>
      <c r="H1143" s="21"/>
      <c r="I1143" s="21"/>
      <c r="J1143" s="9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</row>
    <row r="1144" spans="1:30" ht="13.2">
      <c r="A1144" s="21"/>
      <c r="B1144" s="21"/>
      <c r="C1144" s="21"/>
      <c r="D1144" s="21"/>
      <c r="E1144" s="21"/>
      <c r="F1144" s="91"/>
      <c r="G1144" s="21"/>
      <c r="H1144" s="21"/>
      <c r="I1144" s="21"/>
      <c r="J1144" s="9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</row>
    <row r="1145" spans="1:30" ht="13.2">
      <c r="A1145" s="21"/>
      <c r="B1145" s="21"/>
      <c r="C1145" s="21"/>
      <c r="D1145" s="21"/>
      <c r="E1145" s="21"/>
      <c r="F1145" s="91"/>
      <c r="G1145" s="21"/>
      <c r="H1145" s="21"/>
      <c r="I1145" s="21"/>
      <c r="J1145" s="9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</row>
    <row r="1146" spans="1:30" ht="13.2">
      <c r="A1146" s="21"/>
      <c r="B1146" s="21"/>
      <c r="C1146" s="21"/>
      <c r="D1146" s="21"/>
      <c r="E1146" s="21"/>
      <c r="F1146" s="91"/>
      <c r="G1146" s="21"/>
      <c r="H1146" s="21"/>
      <c r="I1146" s="21"/>
      <c r="J1146" s="9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</row>
    <row r="1147" spans="1:30" ht="13.2">
      <c r="A1147" s="21"/>
      <c r="B1147" s="21"/>
      <c r="C1147" s="21"/>
      <c r="D1147" s="21"/>
      <c r="E1147" s="21"/>
      <c r="F1147" s="91"/>
      <c r="G1147" s="21"/>
      <c r="H1147" s="21"/>
      <c r="I1147" s="21"/>
      <c r="J1147" s="9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</row>
    <row r="1148" spans="1:30" ht="13.2">
      <c r="A1148" s="21"/>
      <c r="B1148" s="21"/>
      <c r="C1148" s="21"/>
      <c r="D1148" s="21"/>
      <c r="E1148" s="21"/>
      <c r="F1148" s="91"/>
      <c r="G1148" s="21"/>
      <c r="H1148" s="21"/>
      <c r="I1148" s="21"/>
      <c r="J1148" s="9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</row>
    <row r="1149" spans="1:30" ht="13.2">
      <c r="A1149" s="21"/>
      <c r="B1149" s="21"/>
      <c r="C1149" s="21"/>
      <c r="D1149" s="21"/>
      <c r="E1149" s="21"/>
      <c r="F1149" s="91"/>
      <c r="G1149" s="21"/>
      <c r="H1149" s="21"/>
      <c r="I1149" s="21"/>
      <c r="J1149" s="9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</row>
    <row r="1150" spans="1:30" ht="13.2">
      <c r="A1150" s="21"/>
      <c r="B1150" s="21"/>
      <c r="C1150" s="21"/>
      <c r="D1150" s="21"/>
      <c r="E1150" s="21"/>
      <c r="F1150" s="91"/>
      <c r="G1150" s="21"/>
      <c r="H1150" s="21"/>
      <c r="I1150" s="21"/>
      <c r="J1150" s="9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</row>
    <row r="1151" spans="1:30" ht="13.2">
      <c r="A1151" s="21"/>
      <c r="B1151" s="21"/>
      <c r="C1151" s="21"/>
      <c r="D1151" s="21"/>
      <c r="E1151" s="21"/>
      <c r="F1151" s="91"/>
      <c r="G1151" s="21"/>
      <c r="H1151" s="21"/>
      <c r="I1151" s="21"/>
      <c r="J1151" s="9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</row>
    <row r="1152" spans="1:30" ht="13.2">
      <c r="A1152" s="21"/>
      <c r="B1152" s="21"/>
      <c r="C1152" s="21"/>
      <c r="D1152" s="21"/>
      <c r="E1152" s="21"/>
      <c r="F1152" s="91"/>
      <c r="G1152" s="21"/>
      <c r="H1152" s="21"/>
      <c r="I1152" s="21"/>
      <c r="J1152" s="9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</row>
    <row r="1153" spans="1:30" ht="13.2">
      <c r="A1153" s="21"/>
      <c r="B1153" s="21"/>
      <c r="C1153" s="21"/>
      <c r="D1153" s="21"/>
      <c r="E1153" s="21"/>
      <c r="F1153" s="91"/>
      <c r="G1153" s="21"/>
      <c r="H1153" s="21"/>
      <c r="I1153" s="21"/>
      <c r="J1153" s="9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</row>
    <row r="1154" spans="1:30" ht="13.2">
      <c r="A1154" s="21"/>
      <c r="B1154" s="21"/>
      <c r="C1154" s="21"/>
      <c r="D1154" s="21"/>
      <c r="E1154" s="21"/>
      <c r="F1154" s="91"/>
      <c r="G1154" s="21"/>
      <c r="H1154" s="21"/>
      <c r="I1154" s="21"/>
      <c r="J1154" s="9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</row>
    <row r="1155" spans="1:30" ht="13.2">
      <c r="A1155" s="21"/>
      <c r="B1155" s="21"/>
      <c r="C1155" s="21"/>
      <c r="D1155" s="21"/>
      <c r="E1155" s="21"/>
      <c r="F1155" s="91"/>
      <c r="G1155" s="21"/>
      <c r="H1155" s="21"/>
      <c r="I1155" s="21"/>
      <c r="J1155" s="9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</row>
    <row r="1156" spans="1:30" ht="13.2">
      <c r="A1156" s="21"/>
      <c r="B1156" s="21"/>
      <c r="C1156" s="21"/>
      <c r="D1156" s="21"/>
      <c r="E1156" s="21"/>
      <c r="F1156" s="91"/>
      <c r="G1156" s="21"/>
      <c r="H1156" s="21"/>
      <c r="I1156" s="21"/>
      <c r="J1156" s="9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</row>
    <row r="1157" spans="1:30" ht="13.2">
      <c r="A1157" s="21"/>
      <c r="B1157" s="21"/>
      <c r="C1157" s="21"/>
      <c r="D1157" s="21"/>
      <c r="E1157" s="21"/>
      <c r="F1157" s="91"/>
      <c r="G1157" s="21"/>
      <c r="H1157" s="21"/>
      <c r="I1157" s="21"/>
      <c r="J1157" s="9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</row>
    <row r="1158" spans="1:30" ht="13.2">
      <c r="A1158" s="21"/>
      <c r="B1158" s="21"/>
      <c r="C1158" s="21"/>
      <c r="D1158" s="21"/>
      <c r="E1158" s="21"/>
      <c r="F1158" s="91"/>
      <c r="G1158" s="21"/>
      <c r="H1158" s="21"/>
      <c r="I1158" s="21"/>
      <c r="J1158" s="9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</row>
    <row r="1159" spans="1:30" ht="13.2">
      <c r="A1159" s="21"/>
      <c r="B1159" s="21"/>
      <c r="C1159" s="21"/>
      <c r="D1159" s="21"/>
      <c r="E1159" s="21"/>
      <c r="F1159" s="91"/>
      <c r="G1159" s="21"/>
      <c r="H1159" s="21"/>
      <c r="I1159" s="21"/>
      <c r="J1159" s="9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</row>
    <row r="1160" spans="1:30" ht="13.2">
      <c r="A1160" s="21"/>
      <c r="B1160" s="21"/>
      <c r="C1160" s="21"/>
      <c r="D1160" s="21"/>
      <c r="E1160" s="21"/>
      <c r="F1160" s="91"/>
      <c r="G1160" s="21"/>
      <c r="H1160" s="21"/>
      <c r="I1160" s="21"/>
      <c r="J1160" s="9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</row>
    <row r="1161" spans="1:30" ht="13.2">
      <c r="A1161" s="21"/>
      <c r="B1161" s="21"/>
      <c r="C1161" s="21"/>
      <c r="D1161" s="21"/>
      <c r="E1161" s="21"/>
      <c r="F1161" s="91"/>
      <c r="G1161" s="21"/>
      <c r="H1161" s="21"/>
      <c r="I1161" s="21"/>
      <c r="J1161" s="9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</row>
    <row r="1162" spans="1:30" ht="13.2">
      <c r="A1162" s="21"/>
      <c r="B1162" s="21"/>
      <c r="C1162" s="21"/>
      <c r="D1162" s="21"/>
      <c r="E1162" s="21"/>
      <c r="F1162" s="91"/>
      <c r="G1162" s="21"/>
      <c r="H1162" s="21"/>
      <c r="I1162" s="21"/>
      <c r="J1162" s="9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</row>
    <row r="1163" spans="1:30" ht="13.2">
      <c r="A1163" s="21"/>
      <c r="B1163" s="21"/>
      <c r="C1163" s="21"/>
      <c r="D1163" s="21"/>
      <c r="E1163" s="21"/>
      <c r="F1163" s="91"/>
      <c r="G1163" s="21"/>
      <c r="H1163" s="21"/>
      <c r="I1163" s="21"/>
      <c r="J1163" s="9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</row>
    <row r="1164" spans="1:30" ht="13.2">
      <c r="A1164" s="21"/>
      <c r="B1164" s="21"/>
      <c r="C1164" s="21"/>
      <c r="D1164" s="21"/>
      <c r="E1164" s="21"/>
      <c r="F1164" s="91"/>
      <c r="G1164" s="21"/>
      <c r="H1164" s="21"/>
      <c r="I1164" s="21"/>
      <c r="J1164" s="9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</row>
    <row r="1165" spans="1:30" ht="13.2">
      <c r="A1165" s="21"/>
      <c r="B1165" s="21"/>
      <c r="C1165" s="21"/>
      <c r="D1165" s="21"/>
      <c r="E1165" s="21"/>
      <c r="F1165" s="91"/>
      <c r="G1165" s="21"/>
      <c r="H1165" s="21"/>
      <c r="I1165" s="21"/>
      <c r="J1165" s="9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</row>
    <row r="1166" spans="1:30" ht="13.2">
      <c r="A1166" s="21"/>
      <c r="B1166" s="21"/>
      <c r="C1166" s="21"/>
      <c r="D1166" s="21"/>
      <c r="E1166" s="21"/>
      <c r="F1166" s="91"/>
      <c r="G1166" s="21"/>
      <c r="H1166" s="21"/>
      <c r="I1166" s="21"/>
      <c r="J1166" s="9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</row>
    <row r="1167" spans="1:30" ht="13.2">
      <c r="A1167" s="21"/>
      <c r="B1167" s="21"/>
      <c r="C1167" s="21"/>
      <c r="D1167" s="21"/>
      <c r="E1167" s="21"/>
      <c r="F1167" s="91"/>
      <c r="G1167" s="21"/>
      <c r="H1167" s="21"/>
      <c r="I1167" s="21"/>
      <c r="J1167" s="9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</row>
    <row r="1168" spans="1:30" ht="13.2">
      <c r="A1168" s="21"/>
      <c r="B1168" s="21"/>
      <c r="C1168" s="21"/>
      <c r="D1168" s="21"/>
      <c r="E1168" s="21"/>
      <c r="F1168" s="91"/>
      <c r="G1168" s="21"/>
      <c r="H1168" s="21"/>
      <c r="I1168" s="21"/>
      <c r="J1168" s="9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</row>
    <row r="1169" spans="1:30" ht="13.2">
      <c r="A1169" s="21"/>
      <c r="B1169" s="21"/>
      <c r="C1169" s="21"/>
      <c r="D1169" s="21"/>
      <c r="E1169" s="21"/>
      <c r="F1169" s="91"/>
      <c r="G1169" s="21"/>
      <c r="H1169" s="21"/>
      <c r="I1169" s="21"/>
      <c r="J1169" s="9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</row>
    <row r="1170" spans="1:30" ht="13.2">
      <c r="A1170" s="21"/>
      <c r="B1170" s="21"/>
      <c r="C1170" s="21"/>
      <c r="D1170" s="21"/>
      <c r="E1170" s="21"/>
      <c r="F1170" s="91"/>
      <c r="G1170" s="21"/>
      <c r="H1170" s="21"/>
      <c r="I1170" s="21"/>
      <c r="J1170" s="9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</row>
    <row r="1171" spans="1:30" ht="13.2">
      <c r="A1171" s="21"/>
      <c r="B1171" s="21"/>
      <c r="C1171" s="21"/>
      <c r="D1171" s="21"/>
      <c r="E1171" s="21"/>
      <c r="F1171" s="91"/>
      <c r="G1171" s="21"/>
      <c r="H1171" s="21"/>
      <c r="I1171" s="21"/>
      <c r="J1171" s="9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</row>
    <row r="1172" spans="1:30" ht="13.2">
      <c r="A1172" s="21"/>
      <c r="B1172" s="21"/>
      <c r="C1172" s="21"/>
      <c r="D1172" s="21"/>
      <c r="E1172" s="21"/>
      <c r="F1172" s="91"/>
      <c r="G1172" s="21"/>
      <c r="H1172" s="21"/>
      <c r="I1172" s="21"/>
      <c r="J1172" s="9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</row>
    <row r="1173" spans="1:30" ht="13.2">
      <c r="A1173" s="21"/>
      <c r="B1173" s="21"/>
      <c r="C1173" s="21"/>
      <c r="D1173" s="21"/>
      <c r="E1173" s="21"/>
      <c r="F1173" s="91"/>
      <c r="G1173" s="21"/>
      <c r="H1173" s="21"/>
      <c r="I1173" s="21"/>
      <c r="J1173" s="9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</row>
    <row r="1174" spans="1:30" ht="13.2">
      <c r="A1174" s="21"/>
      <c r="B1174" s="21"/>
      <c r="C1174" s="21"/>
      <c r="D1174" s="21"/>
      <c r="E1174" s="21"/>
      <c r="F1174" s="91"/>
      <c r="G1174" s="21"/>
      <c r="H1174" s="21"/>
      <c r="I1174" s="21"/>
      <c r="J1174" s="9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</row>
    <row r="1175" spans="1:30" ht="13.2">
      <c r="A1175" s="21"/>
      <c r="B1175" s="21"/>
      <c r="C1175" s="21"/>
      <c r="D1175" s="21"/>
      <c r="E1175" s="21"/>
      <c r="F1175" s="91"/>
      <c r="G1175" s="21"/>
      <c r="H1175" s="21"/>
      <c r="I1175" s="21"/>
      <c r="J1175" s="9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</row>
    <row r="1176" spans="1:30" ht="13.2">
      <c r="A1176" s="21"/>
      <c r="B1176" s="21"/>
      <c r="C1176" s="21"/>
      <c r="D1176" s="21"/>
      <c r="E1176" s="21"/>
      <c r="F1176" s="91"/>
      <c r="G1176" s="21"/>
      <c r="H1176" s="21"/>
      <c r="I1176" s="21"/>
      <c r="J1176" s="9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</row>
    <row r="1177" spans="1:30" ht="13.2">
      <c r="A1177" s="21"/>
      <c r="B1177" s="21"/>
      <c r="C1177" s="21"/>
      <c r="D1177" s="21"/>
      <c r="E1177" s="21"/>
      <c r="F1177" s="91"/>
      <c r="G1177" s="21"/>
      <c r="H1177" s="21"/>
      <c r="I1177" s="21"/>
      <c r="J1177" s="9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</row>
    <row r="1178" spans="1:30" ht="13.2">
      <c r="A1178" s="21"/>
      <c r="B1178" s="21"/>
      <c r="C1178" s="21"/>
      <c r="D1178" s="21"/>
      <c r="E1178" s="21"/>
      <c r="F1178" s="91"/>
      <c r="G1178" s="21"/>
      <c r="H1178" s="21"/>
      <c r="I1178" s="21"/>
      <c r="J1178" s="9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</row>
    <row r="1179" spans="1:30" ht="13.2">
      <c r="A1179" s="21"/>
      <c r="B1179" s="21"/>
      <c r="C1179" s="21"/>
      <c r="D1179" s="21"/>
      <c r="E1179" s="21"/>
      <c r="F1179" s="91"/>
      <c r="G1179" s="21"/>
      <c r="H1179" s="21"/>
      <c r="I1179" s="21"/>
      <c r="J1179" s="9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</row>
    <row r="1180" spans="1:30" ht="13.2">
      <c r="A1180" s="21"/>
      <c r="B1180" s="21"/>
      <c r="C1180" s="21"/>
      <c r="D1180" s="21"/>
      <c r="E1180" s="21"/>
      <c r="F1180" s="91"/>
      <c r="G1180" s="21"/>
      <c r="H1180" s="21"/>
      <c r="I1180" s="21"/>
      <c r="J1180" s="9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</row>
    <row r="1181" spans="1:30" ht="13.2">
      <c r="A1181" s="21"/>
      <c r="B1181" s="21"/>
      <c r="C1181" s="21"/>
      <c r="D1181" s="21"/>
      <c r="E1181" s="21"/>
      <c r="F1181" s="91"/>
      <c r="G1181" s="21"/>
      <c r="H1181" s="21"/>
      <c r="I1181" s="21"/>
      <c r="J1181" s="9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</row>
    <row r="1182" spans="1:30" ht="13.2">
      <c r="A1182" s="21"/>
      <c r="B1182" s="21"/>
      <c r="C1182" s="21"/>
      <c r="D1182" s="21"/>
      <c r="E1182" s="21"/>
      <c r="F1182" s="91"/>
      <c r="G1182" s="21"/>
      <c r="H1182" s="21"/>
      <c r="I1182" s="21"/>
      <c r="J1182" s="9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</row>
    <row r="1183" spans="1:30" ht="13.2">
      <c r="A1183" s="21"/>
      <c r="B1183" s="21"/>
      <c r="C1183" s="21"/>
      <c r="D1183" s="21"/>
      <c r="E1183" s="21"/>
      <c r="F1183" s="91"/>
      <c r="G1183" s="21"/>
      <c r="H1183" s="21"/>
      <c r="I1183" s="21"/>
      <c r="J1183" s="9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</row>
    <row r="1184" spans="1:30" ht="13.2">
      <c r="A1184" s="21"/>
      <c r="B1184" s="21"/>
      <c r="C1184" s="21"/>
      <c r="D1184" s="21"/>
      <c r="E1184" s="21"/>
      <c r="F1184" s="91"/>
      <c r="G1184" s="21"/>
      <c r="H1184" s="21"/>
      <c r="I1184" s="21"/>
      <c r="J1184" s="9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</row>
    <row r="1185" spans="1:30" ht="13.2">
      <c r="A1185" s="21"/>
      <c r="B1185" s="21"/>
      <c r="C1185" s="21"/>
      <c r="D1185" s="21"/>
      <c r="E1185" s="21"/>
      <c r="F1185" s="91"/>
      <c r="G1185" s="21"/>
      <c r="H1185" s="21"/>
      <c r="I1185" s="21"/>
      <c r="J1185" s="9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</row>
    <row r="1186" spans="1:30" ht="13.2">
      <c r="A1186" s="21"/>
      <c r="B1186" s="21"/>
      <c r="C1186" s="21"/>
      <c r="D1186" s="21"/>
      <c r="E1186" s="21"/>
      <c r="F1186" s="91"/>
      <c r="G1186" s="21"/>
      <c r="H1186" s="21"/>
      <c r="I1186" s="21"/>
      <c r="J1186" s="9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</row>
    <row r="1187" spans="1:30" ht="13.2">
      <c r="A1187" s="21"/>
      <c r="B1187" s="21"/>
      <c r="C1187" s="21"/>
      <c r="D1187" s="21"/>
      <c r="E1187" s="21"/>
      <c r="F1187" s="91"/>
      <c r="G1187" s="21"/>
      <c r="H1187" s="21"/>
      <c r="I1187" s="21"/>
      <c r="J1187" s="9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</row>
    <row r="1188" spans="1:30" ht="13.2">
      <c r="A1188" s="21"/>
      <c r="B1188" s="21"/>
      <c r="C1188" s="21"/>
      <c r="D1188" s="21"/>
      <c r="E1188" s="21"/>
      <c r="F1188" s="91"/>
      <c r="G1188" s="21"/>
      <c r="H1188" s="21"/>
      <c r="I1188" s="21"/>
      <c r="J1188" s="9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</row>
    <row r="1189" spans="1:30" ht="13.2">
      <c r="A1189" s="21"/>
      <c r="B1189" s="21"/>
      <c r="C1189" s="21"/>
      <c r="D1189" s="21"/>
      <c r="E1189" s="21"/>
      <c r="F1189" s="91"/>
      <c r="G1189" s="21"/>
      <c r="H1189" s="21"/>
      <c r="I1189" s="21"/>
      <c r="J1189" s="9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</row>
    <row r="1190" spans="1:30" ht="13.2">
      <c r="A1190" s="21"/>
      <c r="B1190" s="21"/>
      <c r="C1190" s="21"/>
      <c r="D1190" s="21"/>
      <c r="E1190" s="21"/>
      <c r="F1190" s="91"/>
      <c r="G1190" s="21"/>
      <c r="H1190" s="21"/>
      <c r="I1190" s="21"/>
      <c r="J1190" s="9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</row>
    <row r="1191" spans="1:30" ht="13.2">
      <c r="A1191" s="21"/>
      <c r="B1191" s="21"/>
      <c r="C1191" s="21"/>
      <c r="D1191" s="21"/>
      <c r="E1191" s="21"/>
      <c r="F1191" s="91"/>
      <c r="G1191" s="21"/>
      <c r="H1191" s="21"/>
      <c r="I1191" s="21"/>
      <c r="J1191" s="9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</row>
    <row r="1192" spans="1:30" ht="13.2">
      <c r="A1192" s="21"/>
      <c r="B1192" s="21"/>
      <c r="C1192" s="21"/>
      <c r="D1192" s="21"/>
      <c r="E1192" s="21"/>
      <c r="F1192" s="91"/>
      <c r="G1192" s="21"/>
      <c r="H1192" s="21"/>
      <c r="I1192" s="21"/>
      <c r="J1192" s="9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</row>
    <row r="1193" spans="1:30" ht="13.2">
      <c r="A1193" s="21"/>
      <c r="B1193" s="21"/>
      <c r="C1193" s="21"/>
      <c r="D1193" s="21"/>
      <c r="E1193" s="21"/>
      <c r="F1193" s="91"/>
      <c r="G1193" s="21"/>
      <c r="H1193" s="21"/>
      <c r="I1193" s="21"/>
      <c r="J1193" s="9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</row>
    <row r="1194" spans="1:30" ht="13.2">
      <c r="A1194" s="21"/>
      <c r="B1194" s="21"/>
      <c r="C1194" s="21"/>
      <c r="D1194" s="21"/>
      <c r="E1194" s="21"/>
      <c r="F1194" s="91"/>
      <c r="G1194" s="21"/>
      <c r="H1194" s="21"/>
      <c r="I1194" s="21"/>
      <c r="J1194" s="9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</row>
    <row r="1195" spans="1:30" ht="13.2">
      <c r="A1195" s="21"/>
      <c r="B1195" s="21"/>
      <c r="C1195" s="21"/>
      <c r="D1195" s="21"/>
      <c r="E1195" s="21"/>
      <c r="F1195" s="91"/>
      <c r="G1195" s="21"/>
      <c r="H1195" s="21"/>
      <c r="I1195" s="21"/>
      <c r="J1195" s="9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</row>
    <row r="1196" spans="1:30" ht="13.2">
      <c r="A1196" s="21"/>
      <c r="B1196" s="21"/>
      <c r="C1196" s="21"/>
      <c r="D1196" s="21"/>
      <c r="E1196" s="21"/>
      <c r="F1196" s="91"/>
      <c r="G1196" s="21"/>
      <c r="H1196" s="21"/>
      <c r="I1196" s="21"/>
      <c r="J1196" s="9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</row>
    <row r="1197" spans="1:30" ht="13.2">
      <c r="A1197" s="21"/>
      <c r="B1197" s="21"/>
      <c r="C1197" s="21"/>
      <c r="D1197" s="21"/>
      <c r="E1197" s="21"/>
      <c r="F1197" s="91"/>
      <c r="G1197" s="21"/>
      <c r="H1197" s="21"/>
      <c r="I1197" s="21"/>
      <c r="J1197" s="9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</row>
    <row r="1198" spans="1:30" ht="13.2">
      <c r="A1198" s="21"/>
      <c r="B1198" s="21"/>
      <c r="C1198" s="21"/>
      <c r="D1198" s="21"/>
      <c r="E1198" s="21"/>
      <c r="F1198" s="91"/>
      <c r="G1198" s="21"/>
      <c r="H1198" s="21"/>
      <c r="I1198" s="21"/>
      <c r="J1198" s="9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</row>
    <row r="1199" spans="1:30" ht="13.2">
      <c r="A1199" s="21"/>
      <c r="B1199" s="21"/>
      <c r="C1199" s="21"/>
      <c r="D1199" s="21"/>
      <c r="E1199" s="21"/>
      <c r="F1199" s="91"/>
      <c r="G1199" s="21"/>
      <c r="H1199" s="21"/>
      <c r="I1199" s="21"/>
      <c r="J1199" s="9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</row>
    <row r="1200" spans="1:30" ht="13.2">
      <c r="A1200" s="21"/>
      <c r="B1200" s="21"/>
      <c r="C1200" s="21"/>
      <c r="D1200" s="21"/>
      <c r="E1200" s="21"/>
      <c r="F1200" s="91"/>
      <c r="G1200" s="21"/>
      <c r="H1200" s="21"/>
      <c r="I1200" s="21"/>
      <c r="J1200" s="9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</row>
    <row r="1201" spans="1:30" ht="13.2">
      <c r="A1201" s="21"/>
      <c r="B1201" s="21"/>
      <c r="C1201" s="21"/>
      <c r="D1201" s="21"/>
      <c r="E1201" s="21"/>
      <c r="F1201" s="91"/>
      <c r="G1201" s="21"/>
      <c r="H1201" s="21"/>
      <c r="I1201" s="21"/>
      <c r="J1201" s="9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</row>
    <row r="1202" spans="1:30" ht="13.2">
      <c r="A1202" s="21"/>
      <c r="B1202" s="21"/>
      <c r="C1202" s="21"/>
      <c r="D1202" s="21"/>
      <c r="E1202" s="21"/>
      <c r="F1202" s="91"/>
      <c r="G1202" s="21"/>
      <c r="H1202" s="21"/>
      <c r="I1202" s="21"/>
      <c r="J1202" s="9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</row>
    <row r="1203" spans="1:30" ht="13.2">
      <c r="A1203" s="21"/>
      <c r="B1203" s="21"/>
      <c r="C1203" s="21"/>
      <c r="D1203" s="21"/>
      <c r="E1203" s="21"/>
      <c r="F1203" s="91"/>
      <c r="G1203" s="21"/>
      <c r="H1203" s="21"/>
      <c r="I1203" s="21"/>
      <c r="J1203" s="9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</row>
    <row r="1204" spans="1:30" ht="13.2">
      <c r="A1204" s="21"/>
      <c r="B1204" s="21"/>
      <c r="C1204" s="21"/>
      <c r="D1204" s="21"/>
      <c r="E1204" s="21"/>
      <c r="F1204" s="91"/>
      <c r="G1204" s="21"/>
      <c r="H1204" s="21"/>
      <c r="I1204" s="21"/>
      <c r="J1204" s="9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</row>
    <row r="1205" spans="1:30" ht="13.2">
      <c r="A1205" s="21"/>
      <c r="B1205" s="21"/>
      <c r="C1205" s="21"/>
      <c r="D1205" s="21"/>
      <c r="E1205" s="21"/>
      <c r="F1205" s="91"/>
      <c r="G1205" s="21"/>
      <c r="H1205" s="21"/>
      <c r="I1205" s="21"/>
      <c r="J1205" s="9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</row>
    <row r="1206" spans="1:30" ht="13.2">
      <c r="A1206" s="21"/>
      <c r="B1206" s="21"/>
      <c r="C1206" s="21"/>
      <c r="D1206" s="21"/>
      <c r="E1206" s="21"/>
      <c r="F1206" s="91"/>
      <c r="G1206" s="21"/>
      <c r="H1206" s="21"/>
      <c r="I1206" s="21"/>
      <c r="J1206" s="9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</row>
    <row r="1207" spans="1:30" ht="13.2">
      <c r="A1207" s="21"/>
      <c r="B1207" s="21"/>
      <c r="C1207" s="21"/>
      <c r="D1207" s="21"/>
      <c r="E1207" s="21"/>
      <c r="F1207" s="91"/>
      <c r="G1207" s="21"/>
      <c r="H1207" s="21"/>
      <c r="I1207" s="21"/>
      <c r="J1207" s="9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</row>
    <row r="1208" spans="1:30" ht="13.2">
      <c r="A1208" s="21"/>
      <c r="B1208" s="21"/>
      <c r="C1208" s="21"/>
      <c r="D1208" s="21"/>
      <c r="E1208" s="21"/>
      <c r="F1208" s="91"/>
      <c r="G1208" s="21"/>
      <c r="H1208" s="21"/>
      <c r="I1208" s="21"/>
      <c r="J1208" s="9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</row>
    <row r="1209" spans="1:30" ht="13.2">
      <c r="A1209" s="21"/>
      <c r="B1209" s="21"/>
      <c r="C1209" s="21"/>
      <c r="D1209" s="21"/>
      <c r="E1209" s="21"/>
      <c r="F1209" s="91"/>
      <c r="G1209" s="21"/>
      <c r="H1209" s="21"/>
      <c r="I1209" s="21"/>
      <c r="J1209" s="9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</row>
    <row r="1210" spans="1:30" ht="13.2">
      <c r="A1210" s="21"/>
      <c r="B1210" s="21"/>
      <c r="C1210" s="21"/>
      <c r="D1210" s="21"/>
      <c r="E1210" s="21"/>
      <c r="F1210" s="91"/>
      <c r="G1210" s="21"/>
      <c r="H1210" s="21"/>
      <c r="I1210" s="21"/>
      <c r="J1210" s="9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</row>
    <row r="1211" spans="1:30" ht="13.2">
      <c r="A1211" s="21"/>
      <c r="B1211" s="21"/>
      <c r="C1211" s="21"/>
      <c r="D1211" s="21"/>
      <c r="E1211" s="21"/>
      <c r="F1211" s="91"/>
      <c r="G1211" s="21"/>
      <c r="H1211" s="21"/>
      <c r="I1211" s="21"/>
      <c r="J1211" s="9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</row>
    <row r="1212" spans="1:30" ht="13.2">
      <c r="A1212" s="21"/>
      <c r="B1212" s="21"/>
      <c r="C1212" s="21"/>
      <c r="D1212" s="21"/>
      <c r="E1212" s="21"/>
      <c r="F1212" s="91"/>
      <c r="G1212" s="21"/>
      <c r="H1212" s="21"/>
      <c r="I1212" s="21"/>
      <c r="J1212" s="9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</row>
    <row r="1213" spans="1:30" ht="13.2">
      <c r="A1213" s="21"/>
      <c r="B1213" s="21"/>
      <c r="C1213" s="21"/>
      <c r="D1213" s="21"/>
      <c r="E1213" s="21"/>
      <c r="F1213" s="91"/>
      <c r="G1213" s="21"/>
      <c r="H1213" s="21"/>
      <c r="I1213" s="21"/>
      <c r="J1213" s="9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</row>
    <row r="1214" spans="1:30" ht="13.2">
      <c r="A1214" s="21"/>
      <c r="B1214" s="21"/>
      <c r="C1214" s="21"/>
      <c r="D1214" s="21"/>
      <c r="E1214" s="21"/>
      <c r="F1214" s="91"/>
      <c r="G1214" s="21"/>
      <c r="H1214" s="21"/>
      <c r="I1214" s="21"/>
      <c r="J1214" s="9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</row>
    <row r="1215" spans="1:30" ht="13.2">
      <c r="A1215" s="21"/>
      <c r="B1215" s="21"/>
      <c r="C1215" s="21"/>
      <c r="D1215" s="21"/>
      <c r="E1215" s="21"/>
      <c r="F1215" s="91"/>
      <c r="G1215" s="21"/>
      <c r="H1215" s="21"/>
      <c r="I1215" s="21"/>
      <c r="J1215" s="9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</row>
    <row r="1216" spans="1:30" ht="13.2">
      <c r="A1216" s="21"/>
      <c r="B1216" s="21"/>
      <c r="C1216" s="21"/>
      <c r="D1216" s="21"/>
      <c r="E1216" s="21"/>
      <c r="F1216" s="91"/>
      <c r="G1216" s="21"/>
      <c r="H1216" s="21"/>
      <c r="I1216" s="21"/>
      <c r="J1216" s="9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</row>
    <row r="1217" spans="1:30" ht="13.2">
      <c r="A1217" s="21"/>
      <c r="B1217" s="21"/>
      <c r="C1217" s="21"/>
      <c r="D1217" s="21"/>
      <c r="E1217" s="21"/>
      <c r="F1217" s="91"/>
      <c r="G1217" s="21"/>
      <c r="H1217" s="21"/>
      <c r="I1217" s="21"/>
      <c r="J1217" s="9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</row>
    <row r="1218" spans="1:30" ht="13.2">
      <c r="A1218" s="21"/>
      <c r="B1218" s="21"/>
      <c r="C1218" s="21"/>
      <c r="D1218" s="21"/>
      <c r="E1218" s="21"/>
      <c r="F1218" s="91"/>
      <c r="G1218" s="21"/>
      <c r="H1218" s="21"/>
      <c r="I1218" s="21"/>
      <c r="J1218" s="9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</row>
    <row r="1219" spans="1:30" ht="13.2">
      <c r="A1219" s="21"/>
      <c r="B1219" s="21"/>
      <c r="C1219" s="21"/>
      <c r="D1219" s="21"/>
      <c r="E1219" s="21"/>
      <c r="F1219" s="91"/>
      <c r="G1219" s="21"/>
      <c r="H1219" s="21"/>
      <c r="I1219" s="21"/>
      <c r="J1219" s="9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</row>
    <row r="1220" spans="1:30" ht="13.2">
      <c r="A1220" s="21"/>
      <c r="B1220" s="21"/>
      <c r="C1220" s="21"/>
      <c r="D1220" s="21"/>
      <c r="E1220" s="21"/>
      <c r="F1220" s="91"/>
      <c r="G1220" s="21"/>
      <c r="H1220" s="21"/>
      <c r="I1220" s="21"/>
      <c r="J1220" s="9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</row>
    <row r="1221" spans="1:30" ht="13.2">
      <c r="A1221" s="21"/>
      <c r="B1221" s="21"/>
      <c r="C1221" s="21"/>
      <c r="D1221" s="21"/>
      <c r="E1221" s="21"/>
      <c r="F1221" s="91"/>
      <c r="G1221" s="21"/>
      <c r="H1221" s="21"/>
      <c r="I1221" s="21"/>
      <c r="J1221" s="9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</row>
    <row r="1222" spans="1:30" ht="13.2">
      <c r="A1222" s="21"/>
      <c r="B1222" s="21"/>
      <c r="C1222" s="21"/>
      <c r="D1222" s="21"/>
      <c r="E1222" s="21"/>
      <c r="F1222" s="91"/>
      <c r="G1222" s="21"/>
      <c r="H1222" s="21"/>
      <c r="I1222" s="21"/>
      <c r="J1222" s="9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</row>
    <row r="1223" spans="1:30" ht="13.2">
      <c r="A1223" s="21"/>
      <c r="B1223" s="21"/>
      <c r="C1223" s="21"/>
      <c r="D1223" s="21"/>
      <c r="E1223" s="21"/>
      <c r="F1223" s="91"/>
      <c r="G1223" s="21"/>
      <c r="H1223" s="21"/>
      <c r="I1223" s="21"/>
      <c r="J1223" s="9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</row>
    <row r="1224" spans="1:30" ht="13.2">
      <c r="A1224" s="21"/>
      <c r="B1224" s="21"/>
      <c r="C1224" s="21"/>
      <c r="D1224" s="21"/>
      <c r="E1224" s="21"/>
      <c r="F1224" s="91"/>
      <c r="G1224" s="21"/>
      <c r="H1224" s="21"/>
      <c r="I1224" s="21"/>
      <c r="J1224" s="9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</row>
    <row r="1225" spans="1:30" ht="13.2">
      <c r="A1225" s="21"/>
      <c r="B1225" s="21"/>
      <c r="C1225" s="21"/>
      <c r="D1225" s="21"/>
      <c r="E1225" s="21"/>
      <c r="F1225" s="91"/>
      <c r="G1225" s="21"/>
      <c r="H1225" s="21"/>
      <c r="I1225" s="21"/>
      <c r="J1225" s="9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</row>
    <row r="1226" spans="1:30" ht="13.2">
      <c r="A1226" s="21"/>
      <c r="B1226" s="21"/>
      <c r="C1226" s="21"/>
      <c r="D1226" s="21"/>
      <c r="E1226" s="21"/>
      <c r="F1226" s="91"/>
      <c r="G1226" s="21"/>
      <c r="H1226" s="21"/>
      <c r="I1226" s="21"/>
      <c r="J1226" s="9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</row>
    <row r="1227" spans="1:30" ht="13.2">
      <c r="A1227" s="21"/>
      <c r="B1227" s="21"/>
      <c r="C1227" s="21"/>
      <c r="D1227" s="21"/>
      <c r="E1227" s="21"/>
      <c r="F1227" s="91"/>
      <c r="G1227" s="21"/>
      <c r="H1227" s="21"/>
      <c r="I1227" s="21"/>
      <c r="J1227" s="9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</row>
    <row r="1228" spans="1:30" ht="13.2">
      <c r="A1228" s="21"/>
      <c r="B1228" s="21"/>
      <c r="C1228" s="21"/>
      <c r="D1228" s="21"/>
      <c r="E1228" s="21"/>
      <c r="F1228" s="91"/>
      <c r="G1228" s="21"/>
      <c r="H1228" s="21"/>
      <c r="I1228" s="21"/>
      <c r="J1228" s="9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</row>
    <row r="1229" spans="1:30" ht="13.2">
      <c r="A1229" s="21"/>
      <c r="B1229" s="21"/>
      <c r="C1229" s="21"/>
      <c r="D1229" s="21"/>
      <c r="E1229" s="21"/>
      <c r="F1229" s="91"/>
      <c r="G1229" s="21"/>
      <c r="H1229" s="21"/>
      <c r="I1229" s="21"/>
      <c r="J1229" s="9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</row>
    <row r="1230" spans="1:30" ht="13.2">
      <c r="A1230" s="21"/>
      <c r="B1230" s="21"/>
      <c r="C1230" s="21"/>
      <c r="D1230" s="21"/>
      <c r="E1230" s="21"/>
      <c r="F1230" s="91"/>
      <c r="G1230" s="21"/>
      <c r="H1230" s="21"/>
      <c r="I1230" s="21"/>
      <c r="J1230" s="9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</row>
    <row r="1231" spans="1:30" ht="13.2">
      <c r="A1231" s="21"/>
      <c r="B1231" s="21"/>
      <c r="C1231" s="21"/>
      <c r="D1231" s="21"/>
      <c r="E1231" s="21"/>
      <c r="F1231" s="91"/>
      <c r="G1231" s="21"/>
      <c r="H1231" s="21"/>
      <c r="I1231" s="21"/>
      <c r="J1231" s="9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</row>
    <row r="1232" spans="1:30" ht="13.2">
      <c r="A1232" s="21"/>
      <c r="B1232" s="21"/>
      <c r="C1232" s="21"/>
      <c r="D1232" s="21"/>
      <c r="E1232" s="21"/>
      <c r="F1232" s="91"/>
      <c r="G1232" s="21"/>
      <c r="H1232" s="21"/>
      <c r="I1232" s="21"/>
      <c r="J1232" s="9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</row>
    <row r="1233" spans="1:30" ht="13.2">
      <c r="A1233" s="21"/>
      <c r="B1233" s="21"/>
      <c r="C1233" s="21"/>
      <c r="D1233" s="21"/>
      <c r="E1233" s="21"/>
      <c r="F1233" s="91"/>
      <c r="G1233" s="21"/>
      <c r="H1233" s="21"/>
      <c r="I1233" s="21"/>
      <c r="J1233" s="9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</row>
    <row r="1234" spans="1:30" ht="13.2">
      <c r="A1234" s="21"/>
      <c r="B1234" s="21"/>
      <c r="C1234" s="21"/>
      <c r="D1234" s="21"/>
      <c r="E1234" s="21"/>
      <c r="F1234" s="91"/>
      <c r="G1234" s="21"/>
      <c r="H1234" s="21"/>
      <c r="I1234" s="21"/>
      <c r="J1234" s="9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</row>
    <row r="1235" spans="1:30" ht="13.2">
      <c r="A1235" s="21"/>
      <c r="B1235" s="21"/>
      <c r="C1235" s="21"/>
      <c r="D1235" s="21"/>
      <c r="E1235" s="21"/>
      <c r="F1235" s="91"/>
      <c r="G1235" s="21"/>
      <c r="H1235" s="21"/>
      <c r="I1235" s="21"/>
      <c r="J1235" s="9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</row>
    <row r="1236" spans="1:30" ht="13.2">
      <c r="A1236" s="21"/>
      <c r="B1236" s="21"/>
      <c r="C1236" s="21"/>
      <c r="D1236" s="21"/>
      <c r="E1236" s="21"/>
      <c r="F1236" s="91"/>
      <c r="G1236" s="21"/>
      <c r="H1236" s="21"/>
      <c r="I1236" s="21"/>
      <c r="J1236" s="9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</row>
    <row r="1237" spans="1:30" ht="13.2">
      <c r="A1237" s="21"/>
      <c r="B1237" s="21"/>
      <c r="C1237" s="21"/>
      <c r="D1237" s="21"/>
      <c r="E1237" s="21"/>
      <c r="F1237" s="91"/>
      <c r="G1237" s="21"/>
      <c r="H1237" s="21"/>
      <c r="I1237" s="21"/>
      <c r="J1237" s="9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</row>
    <row r="1238" spans="1:30" ht="13.2">
      <c r="A1238" s="21"/>
      <c r="B1238" s="21"/>
      <c r="C1238" s="21"/>
      <c r="D1238" s="21"/>
      <c r="E1238" s="21"/>
      <c r="F1238" s="91"/>
      <c r="G1238" s="21"/>
      <c r="H1238" s="21"/>
      <c r="I1238" s="21"/>
      <c r="J1238" s="9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</row>
    <row r="1239" spans="1:30" ht="13.2">
      <c r="A1239" s="21"/>
      <c r="B1239" s="21"/>
      <c r="C1239" s="21"/>
      <c r="D1239" s="21"/>
      <c r="E1239" s="21"/>
      <c r="F1239" s="91"/>
      <c r="G1239" s="21"/>
      <c r="H1239" s="21"/>
      <c r="I1239" s="21"/>
      <c r="J1239" s="9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</row>
    <row r="1240" spans="1:30" ht="13.2">
      <c r="A1240" s="21"/>
      <c r="B1240" s="21"/>
      <c r="C1240" s="21"/>
      <c r="D1240" s="21"/>
      <c r="E1240" s="21"/>
      <c r="F1240" s="91"/>
      <c r="G1240" s="21"/>
      <c r="H1240" s="21"/>
      <c r="I1240" s="21"/>
      <c r="J1240" s="9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</row>
    <row r="1241" spans="1:30" ht="13.2">
      <c r="A1241" s="21"/>
      <c r="B1241" s="21"/>
      <c r="C1241" s="21"/>
      <c r="D1241" s="21"/>
      <c r="E1241" s="21"/>
      <c r="F1241" s="91"/>
      <c r="G1241" s="21"/>
      <c r="H1241" s="21"/>
      <c r="I1241" s="21"/>
      <c r="J1241" s="9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</row>
    <row r="1242" spans="1:30" ht="13.2">
      <c r="A1242" s="21"/>
      <c r="B1242" s="21"/>
      <c r="C1242" s="21"/>
      <c r="D1242" s="21"/>
      <c r="E1242" s="21"/>
      <c r="F1242" s="91"/>
      <c r="G1242" s="21"/>
      <c r="H1242" s="21"/>
      <c r="I1242" s="21"/>
      <c r="J1242" s="9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</row>
    <row r="1243" spans="1:30" ht="13.2">
      <c r="A1243" s="21"/>
      <c r="B1243" s="21"/>
      <c r="C1243" s="21"/>
      <c r="D1243" s="21"/>
      <c r="E1243" s="21"/>
      <c r="F1243" s="91"/>
      <c r="G1243" s="21"/>
      <c r="H1243" s="21"/>
      <c r="I1243" s="21"/>
      <c r="J1243" s="9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</row>
    <row r="1244" spans="1:30" ht="13.2">
      <c r="A1244" s="21"/>
      <c r="B1244" s="21"/>
      <c r="C1244" s="21"/>
      <c r="D1244" s="21"/>
      <c r="E1244" s="21"/>
      <c r="F1244" s="91"/>
      <c r="G1244" s="21"/>
      <c r="H1244" s="21"/>
      <c r="I1244" s="21"/>
      <c r="J1244" s="9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</row>
    <row r="1245" spans="1:30" ht="13.2">
      <c r="A1245" s="21"/>
      <c r="B1245" s="21"/>
      <c r="C1245" s="21"/>
      <c r="D1245" s="21"/>
      <c r="E1245" s="21"/>
      <c r="F1245" s="91"/>
      <c r="G1245" s="21"/>
      <c r="H1245" s="21"/>
      <c r="I1245" s="21"/>
      <c r="J1245" s="9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</row>
    <row r="1246" spans="1:30" ht="13.2">
      <c r="A1246" s="21"/>
      <c r="B1246" s="21"/>
      <c r="C1246" s="21"/>
      <c r="D1246" s="21"/>
      <c r="E1246" s="21"/>
      <c r="F1246" s="91"/>
      <c r="G1246" s="21"/>
      <c r="H1246" s="21"/>
      <c r="I1246" s="21"/>
      <c r="J1246" s="9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</row>
    <row r="1247" spans="1:30" ht="13.2">
      <c r="A1247" s="21"/>
      <c r="B1247" s="21"/>
      <c r="C1247" s="21"/>
      <c r="D1247" s="21"/>
      <c r="E1247" s="21"/>
      <c r="F1247" s="91"/>
      <c r="G1247" s="21"/>
      <c r="H1247" s="21"/>
      <c r="I1247" s="21"/>
      <c r="J1247" s="9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</row>
    <row r="1248" spans="1:30" ht="13.2">
      <c r="A1248" s="21"/>
      <c r="B1248" s="21"/>
      <c r="C1248" s="21"/>
      <c r="D1248" s="21"/>
      <c r="E1248" s="21"/>
      <c r="F1248" s="91"/>
      <c r="G1248" s="21"/>
      <c r="H1248" s="21"/>
      <c r="I1248" s="21"/>
      <c r="J1248" s="9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</row>
    <row r="1249" spans="1:30" ht="13.2">
      <c r="A1249" s="21"/>
      <c r="B1249" s="21"/>
      <c r="C1249" s="21"/>
      <c r="D1249" s="21"/>
      <c r="E1249" s="21"/>
      <c r="F1249" s="91"/>
      <c r="G1249" s="21"/>
      <c r="H1249" s="21"/>
      <c r="I1249" s="21"/>
      <c r="J1249" s="9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</row>
    <row r="1250" spans="1:30" ht="13.2">
      <c r="A1250" s="21"/>
      <c r="B1250" s="21"/>
      <c r="C1250" s="21"/>
      <c r="D1250" s="21"/>
      <c r="E1250" s="21"/>
      <c r="F1250" s="91"/>
      <c r="G1250" s="21"/>
      <c r="H1250" s="21"/>
      <c r="I1250" s="21"/>
      <c r="J1250" s="9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</row>
    <row r="1251" spans="1:30" ht="13.2">
      <c r="A1251" s="21"/>
      <c r="B1251" s="21"/>
      <c r="C1251" s="21"/>
      <c r="D1251" s="21"/>
      <c r="E1251" s="21"/>
      <c r="F1251" s="91"/>
      <c r="G1251" s="21"/>
      <c r="H1251" s="21"/>
      <c r="I1251" s="21"/>
      <c r="J1251" s="9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</row>
    <row r="1252" spans="1:30" ht="13.2">
      <c r="A1252" s="21"/>
      <c r="B1252" s="21"/>
      <c r="C1252" s="21"/>
      <c r="D1252" s="21"/>
      <c r="E1252" s="21"/>
      <c r="F1252" s="91"/>
      <c r="G1252" s="21"/>
      <c r="H1252" s="21"/>
      <c r="I1252" s="21"/>
      <c r="J1252" s="9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</row>
    <row r="1253" spans="1:30" ht="13.2">
      <c r="A1253" s="21"/>
      <c r="B1253" s="21"/>
      <c r="C1253" s="21"/>
      <c r="D1253" s="21"/>
      <c r="E1253" s="21"/>
      <c r="F1253" s="91"/>
      <c r="G1253" s="21"/>
      <c r="H1253" s="21"/>
      <c r="I1253" s="21"/>
      <c r="J1253" s="9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</row>
    <row r="1254" spans="1:30" ht="13.2">
      <c r="A1254" s="21"/>
      <c r="B1254" s="21"/>
      <c r="C1254" s="21"/>
      <c r="D1254" s="21"/>
      <c r="E1254" s="21"/>
      <c r="F1254" s="91"/>
      <c r="G1254" s="21"/>
      <c r="H1254" s="21"/>
      <c r="I1254" s="21"/>
      <c r="J1254" s="9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</row>
    <row r="1255" spans="1:30" ht="13.2">
      <c r="A1255" s="21"/>
      <c r="B1255" s="21"/>
      <c r="C1255" s="21"/>
      <c r="D1255" s="21"/>
      <c r="E1255" s="21"/>
      <c r="F1255" s="91"/>
      <c r="G1255" s="21"/>
      <c r="H1255" s="21"/>
      <c r="I1255" s="21"/>
      <c r="J1255" s="9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</row>
    <row r="1256" spans="1:30" ht="13.2">
      <c r="A1256" s="21"/>
      <c r="B1256" s="21"/>
      <c r="C1256" s="21"/>
      <c r="D1256" s="21"/>
      <c r="E1256" s="21"/>
      <c r="F1256" s="91"/>
      <c r="G1256" s="21"/>
      <c r="H1256" s="21"/>
      <c r="I1256" s="21"/>
      <c r="J1256" s="9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</row>
    <row r="1257" spans="1:30" ht="13.2">
      <c r="A1257" s="21"/>
      <c r="B1257" s="21"/>
      <c r="C1257" s="21"/>
      <c r="D1257" s="21"/>
      <c r="E1257" s="21"/>
      <c r="F1257" s="91"/>
      <c r="G1257" s="21"/>
      <c r="H1257" s="21"/>
      <c r="I1257" s="21"/>
      <c r="J1257" s="9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</row>
    <row r="1258" spans="1:30" ht="13.2">
      <c r="A1258" s="21"/>
      <c r="B1258" s="21"/>
      <c r="C1258" s="21"/>
      <c r="D1258" s="21"/>
      <c r="E1258" s="21"/>
      <c r="F1258" s="91"/>
      <c r="G1258" s="21"/>
      <c r="H1258" s="21"/>
      <c r="I1258" s="21"/>
      <c r="J1258" s="9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</row>
    <row r="1259" spans="1:30" ht="13.2">
      <c r="A1259" s="21"/>
      <c r="B1259" s="21"/>
      <c r="C1259" s="21"/>
      <c r="D1259" s="21"/>
      <c r="E1259" s="21"/>
      <c r="F1259" s="91"/>
      <c r="G1259" s="21"/>
      <c r="H1259" s="21"/>
      <c r="I1259" s="21"/>
      <c r="J1259" s="9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</row>
    <row r="1260" spans="1:30" ht="13.2">
      <c r="A1260" s="21"/>
      <c r="B1260" s="21"/>
      <c r="C1260" s="21"/>
      <c r="D1260" s="21"/>
      <c r="E1260" s="21"/>
      <c r="F1260" s="91"/>
      <c r="G1260" s="21"/>
      <c r="H1260" s="21"/>
      <c r="I1260" s="21"/>
      <c r="J1260" s="9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</row>
    <row r="1261" spans="1:30" ht="13.2">
      <c r="A1261" s="21"/>
      <c r="B1261" s="21"/>
      <c r="C1261" s="21"/>
      <c r="D1261" s="21"/>
      <c r="E1261" s="21"/>
      <c r="F1261" s="91"/>
      <c r="G1261" s="21"/>
      <c r="H1261" s="21"/>
      <c r="I1261" s="21"/>
      <c r="J1261" s="9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</row>
    <row r="1262" spans="1:30" ht="13.2">
      <c r="A1262" s="21"/>
      <c r="B1262" s="21"/>
      <c r="C1262" s="21"/>
      <c r="D1262" s="21"/>
      <c r="E1262" s="21"/>
      <c r="F1262" s="91"/>
      <c r="G1262" s="21"/>
      <c r="H1262" s="21"/>
      <c r="I1262" s="21"/>
      <c r="J1262" s="9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</row>
    <row r="1263" spans="1:30" ht="13.2">
      <c r="A1263" s="21"/>
      <c r="B1263" s="21"/>
      <c r="C1263" s="21"/>
      <c r="D1263" s="21"/>
      <c r="E1263" s="21"/>
      <c r="F1263" s="91"/>
      <c r="G1263" s="21"/>
      <c r="H1263" s="21"/>
      <c r="I1263" s="21"/>
      <c r="J1263" s="9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</row>
    <row r="1264" spans="1:30" ht="13.2">
      <c r="A1264" s="21"/>
      <c r="B1264" s="21"/>
      <c r="C1264" s="21"/>
      <c r="D1264" s="21"/>
      <c r="E1264" s="21"/>
      <c r="F1264" s="91"/>
      <c r="G1264" s="21"/>
      <c r="H1264" s="21"/>
      <c r="I1264" s="21"/>
      <c r="J1264" s="9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</row>
    <row r="1265" spans="1:30" ht="13.2">
      <c r="A1265" s="21"/>
      <c r="B1265" s="21"/>
      <c r="C1265" s="21"/>
      <c r="D1265" s="21"/>
      <c r="E1265" s="21"/>
      <c r="F1265" s="91"/>
      <c r="G1265" s="21"/>
      <c r="H1265" s="21"/>
      <c r="I1265" s="21"/>
      <c r="J1265" s="9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</row>
    <row r="1266" spans="1:30" ht="13.2">
      <c r="A1266" s="21"/>
      <c r="B1266" s="21"/>
      <c r="C1266" s="21"/>
      <c r="D1266" s="21"/>
      <c r="E1266" s="21"/>
      <c r="F1266" s="91"/>
      <c r="G1266" s="21"/>
      <c r="H1266" s="21"/>
      <c r="I1266" s="21"/>
      <c r="J1266" s="9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</row>
    <row r="1267" spans="1:30" ht="13.2">
      <c r="A1267" s="21"/>
      <c r="B1267" s="21"/>
      <c r="C1267" s="21"/>
      <c r="D1267" s="21"/>
      <c r="E1267" s="21"/>
      <c r="F1267" s="91"/>
      <c r="G1267" s="21"/>
      <c r="H1267" s="21"/>
      <c r="I1267" s="21"/>
      <c r="J1267" s="9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</row>
    <row r="1268" spans="1:30" ht="13.2">
      <c r="A1268" s="21"/>
      <c r="B1268" s="21"/>
      <c r="C1268" s="21"/>
      <c r="D1268" s="21"/>
      <c r="E1268" s="21"/>
      <c r="F1268" s="91"/>
      <c r="G1268" s="21"/>
      <c r="H1268" s="21"/>
      <c r="I1268" s="21"/>
      <c r="J1268" s="9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</row>
    <row r="1269" spans="1:30" ht="13.2">
      <c r="A1269" s="21"/>
      <c r="B1269" s="21"/>
      <c r="C1269" s="21"/>
      <c r="D1269" s="21"/>
      <c r="E1269" s="21"/>
      <c r="F1269" s="91"/>
      <c r="G1269" s="21"/>
      <c r="H1269" s="21"/>
      <c r="I1269" s="21"/>
      <c r="J1269" s="9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</row>
    <row r="1270" spans="1:30" ht="13.2">
      <c r="A1270" s="21"/>
      <c r="B1270" s="21"/>
      <c r="C1270" s="21"/>
      <c r="D1270" s="21"/>
      <c r="E1270" s="21"/>
      <c r="F1270" s="91"/>
      <c r="G1270" s="21"/>
      <c r="H1270" s="21"/>
      <c r="I1270" s="21"/>
      <c r="J1270" s="9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</row>
    <row r="1271" spans="1:30" ht="13.2">
      <c r="A1271" s="21"/>
      <c r="B1271" s="21"/>
      <c r="C1271" s="21"/>
      <c r="D1271" s="21"/>
      <c r="E1271" s="21"/>
      <c r="F1271" s="91"/>
      <c r="G1271" s="21"/>
      <c r="H1271" s="21"/>
      <c r="I1271" s="21"/>
      <c r="J1271" s="9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</row>
    <row r="1272" spans="1:30" ht="13.2">
      <c r="A1272" s="21"/>
      <c r="B1272" s="21"/>
      <c r="C1272" s="21"/>
      <c r="D1272" s="21"/>
      <c r="E1272" s="21"/>
      <c r="F1272" s="91"/>
      <c r="G1272" s="21"/>
      <c r="H1272" s="21"/>
      <c r="I1272" s="21"/>
      <c r="J1272" s="9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</row>
    <row r="1273" spans="1:30" ht="13.2">
      <c r="A1273" s="21"/>
      <c r="B1273" s="21"/>
      <c r="C1273" s="21"/>
      <c r="D1273" s="21"/>
      <c r="E1273" s="21"/>
      <c r="F1273" s="91"/>
      <c r="G1273" s="21"/>
      <c r="H1273" s="21"/>
      <c r="I1273" s="21"/>
      <c r="J1273" s="9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</row>
    <row r="1274" spans="1:30" ht="13.2">
      <c r="A1274" s="21"/>
      <c r="B1274" s="21"/>
      <c r="C1274" s="21"/>
      <c r="D1274" s="21"/>
      <c r="E1274" s="21"/>
      <c r="F1274" s="91"/>
      <c r="G1274" s="21"/>
      <c r="H1274" s="21"/>
      <c r="I1274" s="21"/>
      <c r="J1274" s="9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</row>
    <row r="1275" spans="1:30" ht="13.2">
      <c r="A1275" s="21"/>
      <c r="B1275" s="21"/>
      <c r="C1275" s="21"/>
      <c r="D1275" s="21"/>
      <c r="E1275" s="21"/>
      <c r="F1275" s="91"/>
      <c r="G1275" s="21"/>
      <c r="H1275" s="21"/>
      <c r="I1275" s="21"/>
      <c r="J1275" s="9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</row>
    <row r="1276" spans="1:30" ht="13.2">
      <c r="A1276" s="21"/>
      <c r="B1276" s="21"/>
      <c r="C1276" s="21"/>
      <c r="D1276" s="21"/>
      <c r="E1276" s="21"/>
      <c r="F1276" s="91"/>
      <c r="G1276" s="21"/>
      <c r="H1276" s="21"/>
      <c r="I1276" s="21"/>
      <c r="J1276" s="9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</row>
    <row r="1277" spans="1:30" ht="13.2">
      <c r="A1277" s="21"/>
      <c r="B1277" s="21"/>
      <c r="C1277" s="21"/>
      <c r="D1277" s="21"/>
      <c r="E1277" s="21"/>
      <c r="F1277" s="91"/>
      <c r="G1277" s="21"/>
      <c r="H1277" s="21"/>
      <c r="I1277" s="21"/>
      <c r="J1277" s="9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</row>
    <row r="1278" spans="1:30" ht="13.2">
      <c r="A1278" s="21"/>
      <c r="B1278" s="21"/>
      <c r="C1278" s="21"/>
      <c r="D1278" s="21"/>
      <c r="E1278" s="21"/>
      <c r="F1278" s="91"/>
      <c r="G1278" s="21"/>
      <c r="H1278" s="21"/>
      <c r="I1278" s="21"/>
      <c r="J1278" s="9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</row>
    <row r="1279" spans="1:30" ht="13.2">
      <c r="A1279" s="21"/>
      <c r="B1279" s="21"/>
      <c r="C1279" s="21"/>
      <c r="D1279" s="21"/>
      <c r="E1279" s="21"/>
      <c r="F1279" s="91"/>
      <c r="G1279" s="21"/>
      <c r="H1279" s="21"/>
      <c r="I1279" s="21"/>
      <c r="J1279" s="9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</row>
    <row r="1280" spans="1:30" ht="13.2">
      <c r="A1280" s="21"/>
      <c r="B1280" s="21"/>
      <c r="C1280" s="21"/>
      <c r="D1280" s="21"/>
      <c r="E1280" s="21"/>
      <c r="F1280" s="91"/>
      <c r="G1280" s="21"/>
      <c r="H1280" s="21"/>
      <c r="I1280" s="21"/>
      <c r="J1280" s="9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</row>
    <row r="1281" spans="1:30" ht="13.2">
      <c r="A1281" s="21"/>
      <c r="B1281" s="21"/>
      <c r="C1281" s="21"/>
      <c r="D1281" s="21"/>
      <c r="E1281" s="21"/>
      <c r="F1281" s="91"/>
      <c r="G1281" s="21"/>
      <c r="H1281" s="21"/>
      <c r="I1281" s="21"/>
      <c r="J1281" s="9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</row>
    <row r="1282" spans="1:30" ht="13.2">
      <c r="A1282" s="21"/>
      <c r="B1282" s="21"/>
      <c r="C1282" s="21"/>
      <c r="D1282" s="21"/>
      <c r="E1282" s="21"/>
      <c r="F1282" s="91"/>
      <c r="G1282" s="21"/>
      <c r="H1282" s="21"/>
      <c r="I1282" s="21"/>
      <c r="J1282" s="9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</row>
    <row r="1283" spans="1:30" ht="13.2">
      <c r="A1283" s="21"/>
      <c r="B1283" s="21"/>
      <c r="C1283" s="21"/>
      <c r="D1283" s="21"/>
      <c r="E1283" s="21"/>
      <c r="F1283" s="91"/>
      <c r="G1283" s="21"/>
      <c r="H1283" s="21"/>
      <c r="I1283" s="21"/>
      <c r="J1283" s="9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</row>
    <row r="1284" spans="1:30" ht="13.2">
      <c r="A1284" s="21"/>
      <c r="B1284" s="21"/>
      <c r="C1284" s="21"/>
      <c r="D1284" s="21"/>
      <c r="E1284" s="21"/>
      <c r="F1284" s="91"/>
      <c r="G1284" s="21"/>
      <c r="H1284" s="21"/>
      <c r="I1284" s="21"/>
      <c r="J1284" s="9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</row>
    <row r="1285" spans="1:30" ht="13.2">
      <c r="A1285" s="21"/>
      <c r="B1285" s="21"/>
      <c r="C1285" s="21"/>
      <c r="D1285" s="21"/>
      <c r="E1285" s="21"/>
      <c r="F1285" s="91"/>
      <c r="G1285" s="21"/>
      <c r="H1285" s="21"/>
      <c r="I1285" s="21"/>
      <c r="J1285" s="9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</row>
    <row r="1286" spans="1:30" ht="13.2">
      <c r="A1286" s="21"/>
      <c r="B1286" s="21"/>
      <c r="C1286" s="21"/>
      <c r="D1286" s="21"/>
      <c r="E1286" s="21"/>
      <c r="F1286" s="91"/>
      <c r="G1286" s="21"/>
      <c r="H1286" s="21"/>
      <c r="I1286" s="21"/>
      <c r="J1286" s="9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</row>
    <row r="1287" spans="1:30" ht="13.2">
      <c r="A1287" s="21"/>
      <c r="B1287" s="21"/>
      <c r="C1287" s="21"/>
      <c r="D1287" s="21"/>
      <c r="E1287" s="21"/>
      <c r="F1287" s="91"/>
      <c r="G1287" s="21"/>
      <c r="H1287" s="21"/>
      <c r="I1287" s="21"/>
      <c r="J1287" s="9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</row>
    <row r="1288" spans="1:30" ht="13.2">
      <c r="A1288" s="21"/>
      <c r="B1288" s="21"/>
      <c r="C1288" s="21"/>
      <c r="D1288" s="21"/>
      <c r="E1288" s="21"/>
      <c r="F1288" s="91"/>
      <c r="G1288" s="21"/>
      <c r="H1288" s="21"/>
      <c r="I1288" s="21"/>
      <c r="J1288" s="9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</row>
    <row r="1289" spans="1:30" ht="13.2">
      <c r="A1289" s="21"/>
      <c r="B1289" s="21"/>
      <c r="C1289" s="21"/>
      <c r="D1289" s="21"/>
      <c r="E1289" s="21"/>
      <c r="F1289" s="91"/>
      <c r="G1289" s="21"/>
      <c r="H1289" s="21"/>
      <c r="I1289" s="21"/>
      <c r="J1289" s="9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</row>
    <row r="1290" spans="1:30" ht="13.2">
      <c r="A1290" s="21"/>
      <c r="B1290" s="21"/>
      <c r="C1290" s="21"/>
      <c r="D1290" s="21"/>
      <c r="E1290" s="21"/>
      <c r="F1290" s="91"/>
      <c r="G1290" s="21"/>
      <c r="H1290" s="21"/>
      <c r="I1290" s="21"/>
      <c r="J1290" s="9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</row>
    <row r="1291" spans="1:30" ht="13.2">
      <c r="A1291" s="21"/>
      <c r="B1291" s="21"/>
      <c r="C1291" s="21"/>
      <c r="D1291" s="21"/>
      <c r="E1291" s="21"/>
      <c r="F1291" s="91"/>
      <c r="G1291" s="21"/>
      <c r="H1291" s="21"/>
      <c r="I1291" s="21"/>
      <c r="J1291" s="9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</row>
    <row r="1292" spans="1:30" ht="13.2">
      <c r="A1292" s="21"/>
      <c r="B1292" s="21"/>
      <c r="C1292" s="21"/>
      <c r="D1292" s="21"/>
      <c r="E1292" s="21"/>
      <c r="F1292" s="91"/>
      <c r="G1292" s="21"/>
      <c r="H1292" s="21"/>
      <c r="I1292" s="21"/>
      <c r="J1292" s="9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</row>
    <row r="1293" spans="1:30" ht="13.2">
      <c r="A1293" s="21"/>
      <c r="B1293" s="21"/>
      <c r="C1293" s="21"/>
      <c r="D1293" s="21"/>
      <c r="E1293" s="21"/>
      <c r="F1293" s="91"/>
      <c r="G1293" s="21"/>
      <c r="H1293" s="21"/>
      <c r="I1293" s="21"/>
      <c r="J1293" s="9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</row>
    <row r="1294" spans="1:30" ht="13.2">
      <c r="A1294" s="21"/>
      <c r="B1294" s="21"/>
      <c r="C1294" s="21"/>
      <c r="D1294" s="21"/>
      <c r="E1294" s="21"/>
      <c r="F1294" s="91"/>
      <c r="G1294" s="21"/>
      <c r="H1294" s="21"/>
      <c r="I1294" s="21"/>
      <c r="J1294" s="9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</row>
    <row r="1295" spans="1:30" ht="13.2">
      <c r="A1295" s="21"/>
      <c r="B1295" s="21"/>
      <c r="C1295" s="21"/>
      <c r="D1295" s="21"/>
      <c r="E1295" s="21"/>
      <c r="F1295" s="91"/>
      <c r="G1295" s="21"/>
      <c r="H1295" s="21"/>
      <c r="I1295" s="21"/>
      <c r="J1295" s="9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</row>
    <row r="1296" spans="1:30" ht="13.2">
      <c r="A1296" s="21"/>
      <c r="B1296" s="21"/>
      <c r="C1296" s="21"/>
      <c r="D1296" s="21"/>
      <c r="E1296" s="21"/>
      <c r="F1296" s="91"/>
      <c r="G1296" s="21"/>
      <c r="H1296" s="21"/>
      <c r="I1296" s="21"/>
      <c r="J1296" s="9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</row>
    <row r="1297" spans="1:30" ht="13.2">
      <c r="A1297" s="21"/>
      <c r="B1297" s="21"/>
      <c r="C1297" s="21"/>
      <c r="D1297" s="21"/>
      <c r="E1297" s="21"/>
      <c r="F1297" s="91"/>
      <c r="G1297" s="21"/>
      <c r="H1297" s="21"/>
      <c r="I1297" s="21"/>
      <c r="J1297" s="9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</row>
    <row r="1298" spans="1:30" ht="13.2">
      <c r="A1298" s="21"/>
      <c r="B1298" s="21"/>
      <c r="C1298" s="21"/>
      <c r="D1298" s="21"/>
      <c r="E1298" s="21"/>
      <c r="F1298" s="91"/>
      <c r="G1298" s="21"/>
      <c r="H1298" s="21"/>
      <c r="I1298" s="21"/>
      <c r="J1298" s="9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</row>
    <row r="1299" spans="1:30" ht="13.2">
      <c r="A1299" s="21"/>
      <c r="B1299" s="21"/>
      <c r="C1299" s="21"/>
      <c r="D1299" s="21"/>
      <c r="E1299" s="21"/>
      <c r="F1299" s="91"/>
      <c r="G1299" s="21"/>
      <c r="H1299" s="21"/>
      <c r="I1299" s="21"/>
      <c r="J1299" s="9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</row>
    <row r="1300" spans="1:30" ht="13.2">
      <c r="A1300" s="21"/>
      <c r="B1300" s="21"/>
      <c r="C1300" s="21"/>
      <c r="D1300" s="21"/>
      <c r="E1300" s="21"/>
      <c r="F1300" s="91"/>
      <c r="G1300" s="21"/>
      <c r="H1300" s="21"/>
      <c r="I1300" s="21"/>
      <c r="J1300" s="9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</row>
    <row r="1301" spans="1:30" ht="13.2">
      <c r="A1301" s="21"/>
      <c r="B1301" s="21"/>
      <c r="C1301" s="21"/>
      <c r="D1301" s="21"/>
      <c r="E1301" s="21"/>
      <c r="F1301" s="91"/>
      <c r="G1301" s="21"/>
      <c r="H1301" s="21"/>
      <c r="I1301" s="21"/>
      <c r="J1301" s="9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</row>
    <row r="1302" spans="1:30" ht="13.2">
      <c r="A1302" s="21"/>
      <c r="B1302" s="21"/>
      <c r="C1302" s="21"/>
      <c r="D1302" s="21"/>
      <c r="E1302" s="21"/>
      <c r="F1302" s="91"/>
      <c r="G1302" s="21"/>
      <c r="H1302" s="21"/>
      <c r="I1302" s="21"/>
      <c r="J1302" s="9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</row>
    <row r="1303" spans="1:30" ht="13.2">
      <c r="A1303" s="21"/>
      <c r="B1303" s="21"/>
      <c r="C1303" s="21"/>
      <c r="D1303" s="21"/>
      <c r="E1303" s="21"/>
      <c r="F1303" s="91"/>
      <c r="G1303" s="21"/>
      <c r="H1303" s="21"/>
      <c r="I1303" s="21"/>
      <c r="J1303" s="9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</row>
    <row r="1304" spans="1:30" ht="13.2">
      <c r="A1304" s="21"/>
      <c r="B1304" s="21"/>
      <c r="C1304" s="21"/>
      <c r="D1304" s="21"/>
      <c r="E1304" s="21"/>
      <c r="F1304" s="91"/>
      <c r="G1304" s="21"/>
      <c r="H1304" s="21"/>
      <c r="I1304" s="21"/>
      <c r="J1304" s="9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</row>
    <row r="1305" spans="1:30" ht="13.2">
      <c r="A1305" s="21"/>
      <c r="B1305" s="21"/>
      <c r="C1305" s="21"/>
      <c r="D1305" s="21"/>
      <c r="E1305" s="21"/>
      <c r="F1305" s="91"/>
      <c r="G1305" s="21"/>
      <c r="H1305" s="21"/>
      <c r="I1305" s="21"/>
      <c r="J1305" s="9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</row>
    <row r="1306" spans="1:30" ht="13.2">
      <c r="A1306" s="21"/>
      <c r="B1306" s="21"/>
      <c r="C1306" s="21"/>
      <c r="D1306" s="21"/>
      <c r="E1306" s="21"/>
      <c r="F1306" s="91"/>
      <c r="G1306" s="21"/>
      <c r="H1306" s="21"/>
      <c r="I1306" s="21"/>
      <c r="J1306" s="9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</row>
    <row r="1307" spans="1:30" ht="13.2">
      <c r="A1307" s="21"/>
      <c r="B1307" s="21"/>
      <c r="C1307" s="21"/>
      <c r="D1307" s="21"/>
      <c r="E1307" s="21"/>
      <c r="F1307" s="91"/>
      <c r="G1307" s="21"/>
      <c r="H1307" s="21"/>
      <c r="I1307" s="21"/>
      <c r="J1307" s="9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</row>
    <row r="1308" spans="1:30" ht="13.2">
      <c r="A1308" s="21"/>
      <c r="B1308" s="21"/>
      <c r="C1308" s="21"/>
      <c r="D1308" s="21"/>
      <c r="E1308" s="21"/>
      <c r="F1308" s="91"/>
      <c r="G1308" s="21"/>
      <c r="H1308" s="21"/>
      <c r="I1308" s="21"/>
      <c r="J1308" s="9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</row>
    <row r="1309" spans="1:30" ht="13.2">
      <c r="A1309" s="21"/>
      <c r="B1309" s="21"/>
      <c r="C1309" s="21"/>
      <c r="D1309" s="21"/>
      <c r="E1309" s="21"/>
      <c r="F1309" s="91"/>
      <c r="G1309" s="21"/>
      <c r="H1309" s="21"/>
      <c r="I1309" s="21"/>
      <c r="J1309" s="9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</row>
    <row r="1310" spans="1:30" ht="13.2">
      <c r="A1310" s="21"/>
      <c r="B1310" s="21"/>
      <c r="C1310" s="21"/>
      <c r="D1310" s="21"/>
      <c r="E1310" s="21"/>
      <c r="F1310" s="91"/>
      <c r="G1310" s="21"/>
      <c r="H1310" s="21"/>
      <c r="I1310" s="21"/>
      <c r="J1310" s="9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</row>
    <row r="1311" spans="1:30" ht="13.2">
      <c r="A1311" s="21"/>
      <c r="B1311" s="21"/>
      <c r="C1311" s="21"/>
      <c r="D1311" s="21"/>
      <c r="E1311" s="21"/>
      <c r="F1311" s="91"/>
      <c r="G1311" s="21"/>
      <c r="H1311" s="21"/>
      <c r="I1311" s="21"/>
      <c r="J1311" s="9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</row>
    <row r="1312" spans="1:30" ht="13.2">
      <c r="A1312" s="21"/>
      <c r="B1312" s="21"/>
      <c r="C1312" s="21"/>
      <c r="D1312" s="21"/>
      <c r="E1312" s="21"/>
      <c r="F1312" s="91"/>
      <c r="G1312" s="21"/>
      <c r="H1312" s="21"/>
      <c r="I1312" s="21"/>
      <c r="J1312" s="9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</row>
    <row r="1313" spans="1:30" ht="13.2">
      <c r="A1313" s="21"/>
      <c r="B1313" s="21"/>
      <c r="C1313" s="21"/>
      <c r="D1313" s="21"/>
      <c r="E1313" s="21"/>
      <c r="F1313" s="91"/>
      <c r="G1313" s="21"/>
      <c r="H1313" s="21"/>
      <c r="I1313" s="21"/>
      <c r="J1313" s="9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</row>
    <row r="1314" spans="1:30" ht="13.2">
      <c r="A1314" s="21"/>
      <c r="B1314" s="21"/>
      <c r="C1314" s="21"/>
      <c r="D1314" s="21"/>
      <c r="E1314" s="21"/>
      <c r="F1314" s="91"/>
      <c r="G1314" s="21"/>
      <c r="H1314" s="21"/>
      <c r="I1314" s="21"/>
      <c r="J1314" s="9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</row>
    <row r="1315" spans="1:30" ht="13.2">
      <c r="A1315" s="21"/>
      <c r="B1315" s="21"/>
      <c r="C1315" s="21"/>
      <c r="D1315" s="21"/>
      <c r="E1315" s="21"/>
      <c r="F1315" s="91"/>
      <c r="G1315" s="21"/>
      <c r="H1315" s="21"/>
      <c r="I1315" s="21"/>
      <c r="J1315" s="9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</row>
    <row r="1316" spans="1:30" ht="13.2">
      <c r="A1316" s="21"/>
      <c r="B1316" s="21"/>
      <c r="C1316" s="21"/>
      <c r="D1316" s="21"/>
      <c r="E1316" s="21"/>
      <c r="F1316" s="91"/>
      <c r="G1316" s="21"/>
      <c r="H1316" s="21"/>
      <c r="I1316" s="21"/>
      <c r="J1316" s="9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</row>
    <row r="1317" spans="1:30" ht="13.2">
      <c r="A1317" s="21"/>
      <c r="B1317" s="21"/>
      <c r="C1317" s="21"/>
      <c r="D1317" s="21"/>
      <c r="E1317" s="21"/>
      <c r="F1317" s="91"/>
      <c r="G1317" s="21"/>
      <c r="H1317" s="21"/>
      <c r="I1317" s="21"/>
      <c r="J1317" s="9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</row>
    <row r="1318" spans="1:30" ht="13.2">
      <c r="A1318" s="21"/>
      <c r="B1318" s="21"/>
      <c r="C1318" s="21"/>
      <c r="D1318" s="21"/>
      <c r="E1318" s="21"/>
      <c r="F1318" s="91"/>
      <c r="G1318" s="21"/>
      <c r="H1318" s="21"/>
      <c r="I1318" s="21"/>
      <c r="J1318" s="9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</row>
    <row r="1319" spans="1:30" ht="13.2">
      <c r="A1319" s="21"/>
      <c r="B1319" s="21"/>
      <c r="C1319" s="21"/>
      <c r="D1319" s="21"/>
      <c r="E1319" s="21"/>
      <c r="F1319" s="91"/>
      <c r="G1319" s="21"/>
      <c r="H1319" s="21"/>
      <c r="I1319" s="21"/>
      <c r="J1319" s="9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</row>
    <row r="1320" spans="1:30" ht="13.2">
      <c r="A1320" s="21"/>
      <c r="B1320" s="21"/>
      <c r="C1320" s="21"/>
      <c r="D1320" s="21"/>
      <c r="E1320" s="21"/>
      <c r="F1320" s="91"/>
      <c r="G1320" s="21"/>
      <c r="H1320" s="21"/>
      <c r="I1320" s="21"/>
      <c r="J1320" s="9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</row>
    <row r="1321" spans="1:30" ht="13.2">
      <c r="A1321" s="21"/>
      <c r="B1321" s="21"/>
      <c r="C1321" s="21"/>
      <c r="D1321" s="21"/>
      <c r="E1321" s="21"/>
      <c r="F1321" s="91"/>
      <c r="G1321" s="21"/>
      <c r="H1321" s="21"/>
      <c r="I1321" s="21"/>
      <c r="J1321" s="9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</row>
    <row r="1322" spans="1:30" ht="13.2">
      <c r="A1322" s="21"/>
      <c r="B1322" s="21"/>
      <c r="C1322" s="21"/>
      <c r="D1322" s="21"/>
      <c r="E1322" s="21"/>
      <c r="F1322" s="91"/>
      <c r="G1322" s="21"/>
      <c r="H1322" s="21"/>
      <c r="I1322" s="21"/>
      <c r="J1322" s="9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</row>
    <row r="1323" spans="1:30" ht="13.2">
      <c r="A1323" s="21"/>
      <c r="B1323" s="21"/>
      <c r="C1323" s="21"/>
      <c r="D1323" s="21"/>
      <c r="E1323" s="21"/>
      <c r="F1323" s="91"/>
      <c r="G1323" s="21"/>
      <c r="H1323" s="21"/>
      <c r="I1323" s="21"/>
      <c r="J1323" s="9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</row>
    <row r="1324" spans="1:30" ht="13.2">
      <c r="A1324" s="21"/>
      <c r="B1324" s="21"/>
      <c r="C1324" s="21"/>
      <c r="D1324" s="21"/>
      <c r="E1324" s="21"/>
      <c r="F1324" s="91"/>
      <c r="G1324" s="21"/>
      <c r="H1324" s="21"/>
      <c r="I1324" s="21"/>
      <c r="J1324" s="9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</row>
    <row r="1325" spans="1:30" ht="13.2">
      <c r="A1325" s="21"/>
      <c r="B1325" s="21"/>
      <c r="C1325" s="21"/>
      <c r="D1325" s="21"/>
      <c r="E1325" s="21"/>
      <c r="F1325" s="91"/>
      <c r="G1325" s="21"/>
      <c r="H1325" s="21"/>
      <c r="I1325" s="21"/>
      <c r="J1325" s="9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</row>
    <row r="1326" spans="1:30" ht="13.2">
      <c r="A1326" s="21"/>
      <c r="B1326" s="21"/>
      <c r="C1326" s="21"/>
      <c r="D1326" s="21"/>
      <c r="E1326" s="21"/>
      <c r="F1326" s="91"/>
      <c r="G1326" s="21"/>
      <c r="H1326" s="21"/>
      <c r="I1326" s="21"/>
      <c r="J1326" s="9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</row>
    <row r="1327" spans="1:30" ht="13.2">
      <c r="A1327" s="21"/>
      <c r="B1327" s="21"/>
      <c r="C1327" s="21"/>
      <c r="D1327" s="21"/>
      <c r="E1327" s="21"/>
      <c r="F1327" s="91"/>
      <c r="G1327" s="21"/>
      <c r="H1327" s="21"/>
      <c r="I1327" s="21"/>
      <c r="J1327" s="9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</row>
    <row r="1328" spans="1:30" ht="13.2">
      <c r="A1328" s="21"/>
      <c r="B1328" s="21"/>
      <c r="C1328" s="21"/>
      <c r="D1328" s="21"/>
      <c r="E1328" s="21"/>
      <c r="F1328" s="91"/>
      <c r="G1328" s="21"/>
      <c r="H1328" s="21"/>
      <c r="I1328" s="21"/>
      <c r="J1328" s="9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</row>
    <row r="1329" spans="1:30" ht="13.2">
      <c r="A1329" s="21"/>
      <c r="B1329" s="21"/>
      <c r="C1329" s="21"/>
      <c r="D1329" s="21"/>
      <c r="E1329" s="21"/>
      <c r="F1329" s="91"/>
      <c r="G1329" s="21"/>
      <c r="H1329" s="21"/>
      <c r="I1329" s="21"/>
      <c r="J1329" s="9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</row>
    <row r="1330" spans="1:30" ht="13.2">
      <c r="A1330" s="21"/>
      <c r="B1330" s="21"/>
      <c r="C1330" s="21"/>
      <c r="D1330" s="21"/>
      <c r="E1330" s="21"/>
      <c r="F1330" s="91"/>
      <c r="G1330" s="21"/>
      <c r="H1330" s="21"/>
      <c r="I1330" s="21"/>
      <c r="J1330" s="9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</row>
    <row r="1331" spans="1:30" ht="13.2">
      <c r="A1331" s="21"/>
      <c r="B1331" s="21"/>
      <c r="C1331" s="21"/>
      <c r="D1331" s="21"/>
      <c r="E1331" s="21"/>
      <c r="F1331" s="91"/>
      <c r="G1331" s="21"/>
      <c r="H1331" s="21"/>
      <c r="I1331" s="21"/>
      <c r="J1331" s="9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</row>
    <row r="1332" spans="1:30" ht="13.2">
      <c r="A1332" s="21"/>
      <c r="B1332" s="21"/>
      <c r="C1332" s="21"/>
      <c r="D1332" s="21"/>
      <c r="E1332" s="21"/>
      <c r="F1332" s="91"/>
      <c r="G1332" s="21"/>
      <c r="H1332" s="21"/>
      <c r="I1332" s="21"/>
      <c r="J1332" s="9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</row>
    <row r="1333" spans="1:30" ht="13.2">
      <c r="A1333" s="21"/>
      <c r="B1333" s="21"/>
      <c r="C1333" s="21"/>
      <c r="D1333" s="21"/>
      <c r="E1333" s="21"/>
      <c r="F1333" s="91"/>
      <c r="G1333" s="21"/>
      <c r="H1333" s="21"/>
      <c r="I1333" s="21"/>
      <c r="J1333" s="9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</row>
    <row r="1334" spans="1:30" ht="13.2">
      <c r="A1334" s="21"/>
      <c r="B1334" s="21"/>
      <c r="C1334" s="21"/>
      <c r="D1334" s="21"/>
      <c r="E1334" s="21"/>
      <c r="F1334" s="91"/>
      <c r="G1334" s="21"/>
      <c r="H1334" s="21"/>
      <c r="I1334" s="21"/>
      <c r="J1334" s="9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</row>
    <row r="1335" spans="1:30" ht="13.2">
      <c r="A1335" s="21"/>
      <c r="B1335" s="21"/>
      <c r="C1335" s="21"/>
      <c r="D1335" s="21"/>
      <c r="E1335" s="21"/>
      <c r="F1335" s="91"/>
      <c r="G1335" s="21"/>
      <c r="H1335" s="21"/>
      <c r="I1335" s="21"/>
      <c r="J1335" s="9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</row>
    <row r="1336" spans="1:30" ht="13.2">
      <c r="A1336" s="21"/>
      <c r="B1336" s="21"/>
      <c r="C1336" s="21"/>
      <c r="D1336" s="21"/>
      <c r="E1336" s="21"/>
      <c r="F1336" s="91"/>
      <c r="G1336" s="21"/>
      <c r="H1336" s="21"/>
      <c r="I1336" s="21"/>
      <c r="J1336" s="9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</row>
    <row r="1337" spans="1:30" ht="13.2">
      <c r="A1337" s="21"/>
      <c r="B1337" s="21"/>
      <c r="C1337" s="21"/>
      <c r="D1337" s="21"/>
      <c r="E1337" s="21"/>
      <c r="F1337" s="91"/>
      <c r="G1337" s="21"/>
      <c r="H1337" s="21"/>
      <c r="I1337" s="21"/>
      <c r="J1337" s="9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</row>
    <row r="1338" spans="1:30" ht="13.2">
      <c r="A1338" s="21"/>
      <c r="B1338" s="21"/>
      <c r="C1338" s="21"/>
      <c r="D1338" s="21"/>
      <c r="E1338" s="21"/>
      <c r="F1338" s="91"/>
      <c r="G1338" s="21"/>
      <c r="H1338" s="21"/>
      <c r="I1338" s="21"/>
      <c r="J1338" s="9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</row>
    <row r="1339" spans="1:30" ht="13.2">
      <c r="A1339" s="21"/>
      <c r="B1339" s="21"/>
      <c r="C1339" s="21"/>
      <c r="D1339" s="21"/>
      <c r="E1339" s="21"/>
      <c r="F1339" s="91"/>
      <c r="G1339" s="21"/>
      <c r="H1339" s="21"/>
      <c r="I1339" s="21"/>
      <c r="J1339" s="9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</row>
    <row r="1340" spans="1:30" ht="13.2">
      <c r="A1340" s="21"/>
      <c r="B1340" s="21"/>
      <c r="C1340" s="21"/>
      <c r="D1340" s="21"/>
      <c r="E1340" s="21"/>
      <c r="F1340" s="91"/>
      <c r="G1340" s="21"/>
      <c r="H1340" s="21"/>
      <c r="I1340" s="21"/>
      <c r="J1340" s="9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</row>
    <row r="1341" spans="1:30" ht="13.2">
      <c r="A1341" s="21"/>
      <c r="B1341" s="21"/>
      <c r="C1341" s="21"/>
      <c r="D1341" s="21"/>
      <c r="E1341" s="21"/>
      <c r="F1341" s="91"/>
      <c r="G1341" s="21"/>
      <c r="H1341" s="21"/>
      <c r="I1341" s="21"/>
      <c r="J1341" s="9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</row>
    <row r="1342" spans="1:30" ht="13.2">
      <c r="A1342" s="21"/>
      <c r="B1342" s="21"/>
      <c r="C1342" s="21"/>
      <c r="D1342" s="21"/>
      <c r="E1342" s="21"/>
      <c r="F1342" s="91"/>
      <c r="G1342" s="21"/>
      <c r="H1342" s="21"/>
      <c r="I1342" s="21"/>
      <c r="J1342" s="9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</row>
    <row r="1343" spans="1:30" ht="13.2">
      <c r="A1343" s="21"/>
      <c r="B1343" s="21"/>
      <c r="C1343" s="21"/>
      <c r="D1343" s="21"/>
      <c r="E1343" s="21"/>
      <c r="F1343" s="91"/>
      <c r="G1343" s="21"/>
      <c r="H1343" s="21"/>
      <c r="I1343" s="21"/>
      <c r="J1343" s="9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</row>
    <row r="1344" spans="1:30" ht="13.2">
      <c r="A1344" s="21"/>
      <c r="B1344" s="21"/>
      <c r="C1344" s="21"/>
      <c r="D1344" s="21"/>
      <c r="E1344" s="21"/>
      <c r="F1344" s="91"/>
      <c r="G1344" s="21"/>
      <c r="H1344" s="21"/>
      <c r="I1344" s="21"/>
      <c r="J1344" s="9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</row>
    <row r="1345" spans="1:30" ht="13.2">
      <c r="A1345" s="21"/>
      <c r="B1345" s="21"/>
      <c r="C1345" s="21"/>
      <c r="D1345" s="21"/>
      <c r="E1345" s="21"/>
      <c r="F1345" s="91"/>
      <c r="G1345" s="21"/>
      <c r="H1345" s="21"/>
      <c r="I1345" s="21"/>
      <c r="J1345" s="9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</row>
    <row r="1346" spans="1:30" ht="13.2">
      <c r="A1346" s="21"/>
      <c r="B1346" s="21"/>
      <c r="C1346" s="21"/>
      <c r="D1346" s="21"/>
      <c r="E1346" s="21"/>
      <c r="F1346" s="91"/>
      <c r="G1346" s="21"/>
      <c r="H1346" s="21"/>
      <c r="I1346" s="21"/>
      <c r="J1346" s="9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</row>
    <row r="1347" spans="1:30" ht="13.2">
      <c r="A1347" s="21"/>
      <c r="B1347" s="21"/>
      <c r="C1347" s="21"/>
      <c r="D1347" s="21"/>
      <c r="E1347" s="21"/>
      <c r="F1347" s="91"/>
      <c r="G1347" s="21"/>
      <c r="H1347" s="21"/>
      <c r="I1347" s="21"/>
      <c r="J1347" s="9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</row>
    <row r="1348" spans="1:30" ht="13.2">
      <c r="A1348" s="21"/>
      <c r="B1348" s="21"/>
      <c r="C1348" s="21"/>
      <c r="D1348" s="21"/>
      <c r="E1348" s="21"/>
      <c r="F1348" s="91"/>
      <c r="G1348" s="21"/>
      <c r="H1348" s="21"/>
      <c r="I1348" s="21"/>
      <c r="J1348" s="9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</row>
    <row r="1349" spans="1:30" ht="13.2">
      <c r="A1349" s="21"/>
      <c r="B1349" s="21"/>
      <c r="C1349" s="21"/>
      <c r="D1349" s="21"/>
      <c r="E1349" s="21"/>
      <c r="F1349" s="91"/>
      <c r="G1349" s="21"/>
      <c r="H1349" s="21"/>
      <c r="I1349" s="21"/>
      <c r="J1349" s="9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</row>
    <row r="1350" spans="1:30" ht="13.2">
      <c r="A1350" s="21"/>
      <c r="B1350" s="21"/>
      <c r="C1350" s="21"/>
      <c r="D1350" s="21"/>
      <c r="E1350" s="21"/>
      <c r="F1350" s="91"/>
      <c r="G1350" s="21"/>
      <c r="H1350" s="21"/>
      <c r="I1350" s="21"/>
      <c r="J1350" s="9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</row>
    <row r="1351" spans="1:30" ht="13.2">
      <c r="A1351" s="21"/>
      <c r="B1351" s="21"/>
      <c r="C1351" s="21"/>
      <c r="D1351" s="21"/>
      <c r="E1351" s="21"/>
      <c r="F1351" s="91"/>
      <c r="G1351" s="21"/>
      <c r="H1351" s="21"/>
      <c r="I1351" s="21"/>
      <c r="J1351" s="9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</row>
    <row r="1352" spans="1:30" ht="13.2">
      <c r="A1352" s="21"/>
      <c r="B1352" s="21"/>
      <c r="C1352" s="21"/>
      <c r="D1352" s="21"/>
      <c r="E1352" s="21"/>
      <c r="F1352" s="91"/>
      <c r="G1352" s="21"/>
      <c r="H1352" s="21"/>
      <c r="I1352" s="21"/>
      <c r="J1352" s="9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</row>
    <row r="1353" spans="1:30" ht="13.2">
      <c r="A1353" s="21"/>
      <c r="B1353" s="21"/>
      <c r="C1353" s="21"/>
      <c r="D1353" s="21"/>
      <c r="E1353" s="21"/>
      <c r="F1353" s="91"/>
      <c r="G1353" s="21"/>
      <c r="H1353" s="21"/>
      <c r="I1353" s="21"/>
      <c r="J1353" s="9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</row>
    <row r="1354" spans="1:30" ht="13.2">
      <c r="A1354" s="21"/>
      <c r="B1354" s="21"/>
      <c r="C1354" s="21"/>
      <c r="D1354" s="21"/>
      <c r="E1354" s="21"/>
      <c r="F1354" s="91"/>
      <c r="G1354" s="21"/>
      <c r="H1354" s="21"/>
      <c r="I1354" s="21"/>
      <c r="J1354" s="9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</row>
    <row r="1355" spans="1:30" ht="13.2">
      <c r="A1355" s="21"/>
      <c r="B1355" s="21"/>
      <c r="C1355" s="21"/>
      <c r="D1355" s="21"/>
      <c r="E1355" s="21"/>
      <c r="F1355" s="91"/>
      <c r="G1355" s="21"/>
      <c r="H1355" s="21"/>
      <c r="I1355" s="21"/>
      <c r="J1355" s="9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</row>
    <row r="1356" spans="1:30" ht="13.2">
      <c r="A1356" s="21"/>
      <c r="B1356" s="21"/>
      <c r="C1356" s="21"/>
      <c r="D1356" s="21"/>
      <c r="E1356" s="21"/>
      <c r="F1356" s="91"/>
      <c r="G1356" s="21"/>
      <c r="H1356" s="21"/>
      <c r="I1356" s="21"/>
      <c r="J1356" s="9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</row>
    <row r="1357" spans="1:30" ht="13.2">
      <c r="A1357" s="21"/>
      <c r="B1357" s="21"/>
      <c r="C1357" s="21"/>
      <c r="D1357" s="21"/>
      <c r="E1357" s="21"/>
      <c r="F1357" s="91"/>
      <c r="G1357" s="21"/>
      <c r="H1357" s="21"/>
      <c r="I1357" s="21"/>
      <c r="J1357" s="9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</row>
    <row r="1358" spans="1:30" ht="13.2">
      <c r="A1358" s="21"/>
      <c r="B1358" s="21"/>
      <c r="C1358" s="21"/>
      <c r="D1358" s="21"/>
      <c r="E1358" s="21"/>
      <c r="F1358" s="91"/>
      <c r="G1358" s="21"/>
      <c r="H1358" s="21"/>
      <c r="I1358" s="21"/>
      <c r="J1358" s="9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</row>
    <row r="1359" spans="1:30" ht="13.2">
      <c r="A1359" s="21"/>
      <c r="B1359" s="21"/>
      <c r="C1359" s="21"/>
      <c r="D1359" s="21"/>
      <c r="E1359" s="21"/>
      <c r="F1359" s="91"/>
      <c r="G1359" s="21"/>
      <c r="H1359" s="21"/>
      <c r="I1359" s="21"/>
      <c r="J1359" s="9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</row>
    <row r="1360" spans="1:30" ht="13.2">
      <c r="A1360" s="21"/>
      <c r="B1360" s="21"/>
      <c r="C1360" s="21"/>
      <c r="D1360" s="21"/>
      <c r="E1360" s="21"/>
      <c r="F1360" s="91"/>
      <c r="G1360" s="21"/>
      <c r="H1360" s="21"/>
      <c r="I1360" s="21"/>
      <c r="J1360" s="9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</row>
    <row r="1361" spans="1:30" ht="13.2">
      <c r="A1361" s="21"/>
      <c r="B1361" s="21"/>
      <c r="C1361" s="21"/>
      <c r="D1361" s="21"/>
      <c r="E1361" s="21"/>
      <c r="F1361" s="91"/>
      <c r="G1361" s="21"/>
      <c r="H1361" s="21"/>
      <c r="I1361" s="21"/>
      <c r="J1361" s="9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</row>
    <row r="1362" spans="1:30" ht="13.2">
      <c r="A1362" s="21"/>
      <c r="B1362" s="21"/>
      <c r="C1362" s="21"/>
      <c r="D1362" s="21"/>
      <c r="E1362" s="21"/>
      <c r="F1362" s="91"/>
      <c r="G1362" s="21"/>
      <c r="H1362" s="21"/>
      <c r="I1362" s="21"/>
      <c r="J1362" s="9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</row>
    <row r="1363" spans="1:30" ht="13.2">
      <c r="A1363" s="21"/>
      <c r="B1363" s="21"/>
      <c r="C1363" s="21"/>
      <c r="D1363" s="21"/>
      <c r="E1363" s="21"/>
      <c r="F1363" s="91"/>
      <c r="G1363" s="21"/>
      <c r="H1363" s="21"/>
      <c r="I1363" s="21"/>
      <c r="J1363" s="9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</row>
    <row r="1364" spans="1:30" ht="13.2">
      <c r="A1364" s="21"/>
      <c r="B1364" s="21"/>
      <c r="C1364" s="21"/>
      <c r="D1364" s="21"/>
      <c r="E1364" s="21"/>
      <c r="F1364" s="91"/>
      <c r="G1364" s="21"/>
      <c r="H1364" s="21"/>
      <c r="I1364" s="21"/>
      <c r="J1364" s="9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</row>
    <row r="1365" spans="1:30" ht="13.2">
      <c r="A1365" s="21"/>
      <c r="B1365" s="21"/>
      <c r="C1365" s="21"/>
      <c r="D1365" s="21"/>
      <c r="E1365" s="21"/>
      <c r="F1365" s="91"/>
      <c r="G1365" s="21"/>
      <c r="H1365" s="21"/>
      <c r="I1365" s="21"/>
      <c r="J1365" s="9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</row>
    <row r="1366" spans="1:30" ht="13.2">
      <c r="A1366" s="21"/>
      <c r="B1366" s="21"/>
      <c r="C1366" s="21"/>
      <c r="D1366" s="21"/>
      <c r="E1366" s="21"/>
      <c r="F1366" s="91"/>
      <c r="G1366" s="21"/>
      <c r="H1366" s="21"/>
      <c r="I1366" s="21"/>
      <c r="J1366" s="9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</row>
    <row r="1367" spans="1:30" ht="13.2">
      <c r="A1367" s="21"/>
      <c r="B1367" s="21"/>
      <c r="C1367" s="21"/>
      <c r="D1367" s="21"/>
      <c r="E1367" s="21"/>
      <c r="F1367" s="91"/>
      <c r="G1367" s="21"/>
      <c r="H1367" s="21"/>
      <c r="I1367" s="21"/>
      <c r="J1367" s="9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</row>
    <row r="1368" spans="1:30" ht="13.2">
      <c r="A1368" s="21"/>
      <c r="B1368" s="21"/>
      <c r="C1368" s="21"/>
      <c r="D1368" s="21"/>
      <c r="E1368" s="21"/>
      <c r="F1368" s="91"/>
      <c r="G1368" s="21"/>
      <c r="H1368" s="21"/>
      <c r="I1368" s="21"/>
      <c r="J1368" s="9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</row>
    <row r="1369" spans="1:30" ht="13.2">
      <c r="A1369" s="21"/>
      <c r="B1369" s="21"/>
      <c r="C1369" s="21"/>
      <c r="D1369" s="21"/>
      <c r="E1369" s="21"/>
      <c r="F1369" s="91"/>
      <c r="G1369" s="21"/>
      <c r="H1369" s="21"/>
      <c r="I1369" s="21"/>
      <c r="J1369" s="9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</row>
    <row r="1370" spans="1:30" ht="13.2">
      <c r="A1370" s="21"/>
      <c r="B1370" s="21"/>
      <c r="C1370" s="21"/>
      <c r="D1370" s="21"/>
      <c r="E1370" s="21"/>
      <c r="F1370" s="91"/>
      <c r="G1370" s="21"/>
      <c r="H1370" s="21"/>
      <c r="I1370" s="21"/>
      <c r="J1370" s="9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</row>
    <row r="1371" spans="1:30" ht="13.2">
      <c r="A1371" s="21"/>
      <c r="B1371" s="21"/>
      <c r="C1371" s="21"/>
      <c r="D1371" s="21"/>
      <c r="E1371" s="21"/>
      <c r="F1371" s="91"/>
      <c r="G1371" s="21"/>
      <c r="H1371" s="21"/>
      <c r="I1371" s="21"/>
      <c r="J1371" s="9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</row>
    <row r="1372" spans="1:30" ht="13.2">
      <c r="A1372" s="21"/>
      <c r="B1372" s="21"/>
      <c r="C1372" s="21"/>
      <c r="D1372" s="21"/>
      <c r="E1372" s="21"/>
      <c r="F1372" s="91"/>
      <c r="G1372" s="21"/>
      <c r="H1372" s="21"/>
      <c r="I1372" s="21"/>
      <c r="J1372" s="9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</row>
    <row r="1373" spans="1:30" ht="13.2">
      <c r="A1373" s="21"/>
      <c r="B1373" s="21"/>
      <c r="C1373" s="21"/>
      <c r="D1373" s="21"/>
      <c r="E1373" s="21"/>
      <c r="F1373" s="91"/>
      <c r="G1373" s="21"/>
      <c r="H1373" s="21"/>
      <c r="I1373" s="21"/>
      <c r="J1373" s="9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</row>
    <row r="1374" spans="1:30" ht="13.2">
      <c r="A1374" s="21"/>
      <c r="B1374" s="21"/>
      <c r="C1374" s="21"/>
      <c r="D1374" s="21"/>
      <c r="E1374" s="21"/>
      <c r="F1374" s="91"/>
      <c r="G1374" s="21"/>
      <c r="H1374" s="21"/>
      <c r="I1374" s="21"/>
      <c r="J1374" s="9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</row>
    <row r="1375" spans="1:30" ht="13.2">
      <c r="A1375" s="21"/>
      <c r="B1375" s="21"/>
      <c r="C1375" s="21"/>
      <c r="D1375" s="21"/>
      <c r="E1375" s="21"/>
      <c r="F1375" s="91"/>
      <c r="G1375" s="21"/>
      <c r="H1375" s="21"/>
      <c r="I1375" s="21"/>
      <c r="J1375" s="9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</row>
    <row r="1376" spans="1:30" ht="13.2">
      <c r="A1376" s="21"/>
      <c r="B1376" s="21"/>
      <c r="C1376" s="21"/>
      <c r="D1376" s="21"/>
      <c r="E1376" s="21"/>
      <c r="F1376" s="91"/>
      <c r="G1376" s="21"/>
      <c r="H1376" s="21"/>
      <c r="I1376" s="21"/>
      <c r="J1376" s="9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</row>
    <row r="1377" spans="1:30" ht="13.2">
      <c r="A1377" s="21"/>
      <c r="B1377" s="21"/>
      <c r="C1377" s="21"/>
      <c r="D1377" s="21"/>
      <c r="E1377" s="21"/>
      <c r="F1377" s="91"/>
      <c r="G1377" s="21"/>
      <c r="H1377" s="21"/>
      <c r="I1377" s="21"/>
      <c r="J1377" s="9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</row>
    <row r="1378" spans="1:30" ht="13.2">
      <c r="A1378" s="21"/>
      <c r="B1378" s="21"/>
      <c r="C1378" s="21"/>
      <c r="D1378" s="21"/>
      <c r="E1378" s="21"/>
      <c r="F1378" s="91"/>
      <c r="G1378" s="21"/>
      <c r="H1378" s="21"/>
      <c r="I1378" s="21"/>
      <c r="J1378" s="9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</row>
    <row r="1379" spans="1:30" ht="13.2">
      <c r="A1379" s="21"/>
      <c r="B1379" s="21"/>
      <c r="C1379" s="21"/>
      <c r="D1379" s="21"/>
      <c r="E1379" s="21"/>
      <c r="F1379" s="91"/>
      <c r="G1379" s="21"/>
      <c r="H1379" s="21"/>
      <c r="I1379" s="21"/>
      <c r="J1379" s="9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</row>
    <row r="1380" spans="1:30" ht="13.2">
      <c r="A1380" s="21"/>
      <c r="B1380" s="21"/>
      <c r="C1380" s="21"/>
      <c r="D1380" s="21"/>
      <c r="E1380" s="21"/>
      <c r="F1380" s="91"/>
      <c r="G1380" s="21"/>
      <c r="H1380" s="21"/>
      <c r="I1380" s="21"/>
      <c r="J1380" s="9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</row>
    <row r="1381" spans="1:30" ht="13.2">
      <c r="A1381" s="21"/>
      <c r="B1381" s="21"/>
      <c r="C1381" s="21"/>
      <c r="D1381" s="21"/>
      <c r="E1381" s="21"/>
      <c r="F1381" s="91"/>
      <c r="G1381" s="21"/>
      <c r="H1381" s="21"/>
      <c r="I1381" s="21"/>
      <c r="J1381" s="9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</row>
    <row r="1382" spans="1:30" ht="13.2">
      <c r="A1382" s="21"/>
      <c r="B1382" s="21"/>
      <c r="C1382" s="21"/>
      <c r="D1382" s="21"/>
      <c r="E1382" s="21"/>
      <c r="F1382" s="91"/>
      <c r="G1382" s="21"/>
      <c r="H1382" s="21"/>
      <c r="I1382" s="21"/>
      <c r="J1382" s="9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</row>
    <row r="1383" spans="1:30" ht="13.2">
      <c r="A1383" s="21"/>
      <c r="B1383" s="21"/>
      <c r="C1383" s="21"/>
      <c r="D1383" s="21"/>
      <c r="E1383" s="21"/>
      <c r="F1383" s="91"/>
      <c r="G1383" s="21"/>
      <c r="H1383" s="21"/>
      <c r="I1383" s="21"/>
      <c r="J1383" s="9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</row>
    <row r="1384" spans="1:30" ht="13.2">
      <c r="A1384" s="21"/>
      <c r="B1384" s="21"/>
      <c r="C1384" s="21"/>
      <c r="D1384" s="21"/>
      <c r="E1384" s="21"/>
      <c r="F1384" s="91"/>
      <c r="G1384" s="21"/>
      <c r="H1384" s="21"/>
      <c r="I1384" s="21"/>
      <c r="J1384" s="9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</row>
    <row r="1385" spans="1:30" ht="13.2">
      <c r="A1385" s="21"/>
      <c r="B1385" s="21"/>
      <c r="C1385" s="21"/>
      <c r="D1385" s="21"/>
      <c r="E1385" s="21"/>
      <c r="F1385" s="91"/>
      <c r="G1385" s="21"/>
      <c r="H1385" s="21"/>
      <c r="I1385" s="21"/>
      <c r="J1385" s="9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</row>
    <row r="1386" spans="1:30" ht="13.2">
      <c r="A1386" s="21"/>
      <c r="B1386" s="21"/>
      <c r="C1386" s="21"/>
      <c r="D1386" s="21"/>
      <c r="E1386" s="21"/>
      <c r="F1386" s="91"/>
      <c r="G1386" s="21"/>
      <c r="H1386" s="21"/>
      <c r="I1386" s="21"/>
      <c r="J1386" s="9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</row>
    <row r="1387" spans="1:30" ht="13.2">
      <c r="A1387" s="21"/>
      <c r="B1387" s="21"/>
      <c r="C1387" s="21"/>
      <c r="D1387" s="21"/>
      <c r="E1387" s="21"/>
      <c r="F1387" s="91"/>
      <c r="G1387" s="21"/>
      <c r="H1387" s="21"/>
      <c r="I1387" s="21"/>
      <c r="J1387" s="9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</row>
    <row r="1388" spans="1:30" ht="13.2">
      <c r="A1388" s="21"/>
      <c r="B1388" s="21"/>
      <c r="C1388" s="21"/>
      <c r="D1388" s="21"/>
      <c r="E1388" s="21"/>
      <c r="F1388" s="91"/>
      <c r="G1388" s="21"/>
      <c r="H1388" s="21"/>
      <c r="I1388" s="21"/>
      <c r="J1388" s="9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</row>
    <row r="1389" spans="1:30" ht="13.2">
      <c r="A1389" s="21"/>
      <c r="B1389" s="21"/>
      <c r="C1389" s="21"/>
      <c r="D1389" s="21"/>
      <c r="E1389" s="21"/>
      <c r="F1389" s="91"/>
      <c r="G1389" s="21"/>
      <c r="H1389" s="21"/>
      <c r="I1389" s="21"/>
      <c r="J1389" s="9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</row>
    <row r="1390" spans="1:30" ht="13.2">
      <c r="A1390" s="21"/>
      <c r="B1390" s="21"/>
      <c r="C1390" s="21"/>
      <c r="D1390" s="21"/>
      <c r="E1390" s="21"/>
      <c r="F1390" s="91"/>
      <c r="G1390" s="21"/>
      <c r="H1390" s="21"/>
      <c r="I1390" s="21"/>
      <c r="J1390" s="9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</row>
    <row r="1391" spans="1:30" ht="13.2">
      <c r="A1391" s="21"/>
      <c r="B1391" s="21"/>
      <c r="C1391" s="21"/>
      <c r="D1391" s="21"/>
      <c r="E1391" s="21"/>
      <c r="F1391" s="91"/>
      <c r="G1391" s="21"/>
      <c r="H1391" s="21"/>
      <c r="I1391" s="21"/>
      <c r="J1391" s="9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</row>
    <row r="1392" spans="1:30" ht="13.2">
      <c r="A1392" s="21"/>
      <c r="B1392" s="21"/>
      <c r="C1392" s="21"/>
      <c r="D1392" s="21"/>
      <c r="E1392" s="21"/>
      <c r="F1392" s="91"/>
      <c r="G1392" s="21"/>
      <c r="H1392" s="21"/>
      <c r="I1392" s="21"/>
      <c r="J1392" s="9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</row>
    <row r="1393" spans="1:30" ht="13.2">
      <c r="A1393" s="21"/>
      <c r="B1393" s="21"/>
      <c r="C1393" s="21"/>
      <c r="D1393" s="21"/>
      <c r="E1393" s="21"/>
      <c r="F1393" s="91"/>
      <c r="G1393" s="21"/>
      <c r="H1393" s="21"/>
      <c r="I1393" s="21"/>
      <c r="J1393" s="9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</row>
    <row r="1394" spans="1:30" ht="13.2">
      <c r="A1394" s="21"/>
      <c r="B1394" s="21"/>
      <c r="C1394" s="21"/>
      <c r="D1394" s="21"/>
      <c r="E1394" s="21"/>
      <c r="F1394" s="91"/>
      <c r="G1394" s="21"/>
      <c r="H1394" s="21"/>
      <c r="I1394" s="21"/>
      <c r="J1394" s="9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</row>
    <row r="1395" spans="1:30" ht="13.2">
      <c r="A1395" s="21"/>
      <c r="B1395" s="21"/>
      <c r="C1395" s="21"/>
      <c r="D1395" s="21"/>
      <c r="E1395" s="21"/>
      <c r="F1395" s="91"/>
      <c r="G1395" s="21"/>
      <c r="H1395" s="21"/>
      <c r="I1395" s="21"/>
      <c r="J1395" s="9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</row>
    <row r="1396" spans="1:30" ht="13.2">
      <c r="A1396" s="21"/>
      <c r="B1396" s="21"/>
      <c r="C1396" s="21"/>
      <c r="D1396" s="21"/>
      <c r="E1396" s="21"/>
      <c r="F1396" s="91"/>
      <c r="G1396" s="21"/>
      <c r="H1396" s="21"/>
      <c r="I1396" s="21"/>
      <c r="J1396" s="9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</row>
    <row r="1397" spans="1:30" ht="13.2">
      <c r="A1397" s="21"/>
      <c r="B1397" s="21"/>
      <c r="C1397" s="21"/>
      <c r="D1397" s="21"/>
      <c r="E1397" s="21"/>
      <c r="F1397" s="91"/>
      <c r="G1397" s="21"/>
      <c r="H1397" s="21"/>
      <c r="I1397" s="21"/>
      <c r="J1397" s="9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</row>
    <row r="1398" spans="1:30" ht="13.2">
      <c r="A1398" s="21"/>
      <c r="B1398" s="21"/>
      <c r="C1398" s="21"/>
      <c r="D1398" s="21"/>
      <c r="E1398" s="21"/>
      <c r="F1398" s="91"/>
      <c r="G1398" s="21"/>
      <c r="H1398" s="21"/>
      <c r="I1398" s="21"/>
      <c r="J1398" s="9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</row>
    <row r="1399" spans="1:30" ht="13.2">
      <c r="A1399" s="21"/>
      <c r="B1399" s="21"/>
      <c r="C1399" s="21"/>
      <c r="D1399" s="21"/>
      <c r="E1399" s="21"/>
      <c r="F1399" s="91"/>
      <c r="G1399" s="21"/>
      <c r="H1399" s="21"/>
      <c r="I1399" s="21"/>
      <c r="J1399" s="9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</row>
    <row r="1400" spans="1:30" ht="13.2">
      <c r="A1400" s="21"/>
      <c r="B1400" s="21"/>
      <c r="C1400" s="21"/>
      <c r="D1400" s="21"/>
      <c r="E1400" s="21"/>
      <c r="F1400" s="91"/>
      <c r="G1400" s="21"/>
      <c r="H1400" s="21"/>
      <c r="I1400" s="21"/>
      <c r="J1400" s="9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</row>
    <row r="1401" spans="1:30" ht="13.2">
      <c r="A1401" s="21"/>
      <c r="B1401" s="21"/>
      <c r="C1401" s="21"/>
      <c r="D1401" s="21"/>
      <c r="E1401" s="21"/>
      <c r="F1401" s="91"/>
      <c r="G1401" s="21"/>
      <c r="H1401" s="21"/>
      <c r="I1401" s="21"/>
      <c r="J1401" s="9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</row>
    <row r="1402" spans="1:30" ht="13.2">
      <c r="A1402" s="21"/>
      <c r="B1402" s="21"/>
      <c r="C1402" s="21"/>
      <c r="D1402" s="21"/>
      <c r="E1402" s="21"/>
      <c r="F1402" s="91"/>
      <c r="G1402" s="21"/>
      <c r="H1402" s="21"/>
      <c r="I1402" s="21"/>
      <c r="J1402" s="9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</row>
    <row r="1403" spans="1:30" ht="13.2">
      <c r="A1403" s="21"/>
      <c r="B1403" s="21"/>
      <c r="C1403" s="21"/>
      <c r="D1403" s="21"/>
      <c r="E1403" s="21"/>
      <c r="F1403" s="91"/>
      <c r="G1403" s="21"/>
      <c r="H1403" s="21"/>
      <c r="I1403" s="21"/>
      <c r="J1403" s="9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</row>
    <row r="1404" spans="1:30" ht="13.2">
      <c r="A1404" s="21"/>
      <c r="B1404" s="21"/>
      <c r="C1404" s="21"/>
      <c r="D1404" s="21"/>
      <c r="E1404" s="21"/>
      <c r="F1404" s="91"/>
      <c r="G1404" s="21"/>
      <c r="H1404" s="21"/>
      <c r="I1404" s="21"/>
      <c r="J1404" s="9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</row>
    <row r="1405" spans="1:30" ht="13.2">
      <c r="A1405" s="21"/>
      <c r="B1405" s="21"/>
      <c r="C1405" s="21"/>
      <c r="D1405" s="21"/>
      <c r="E1405" s="21"/>
      <c r="F1405" s="91"/>
      <c r="G1405" s="21"/>
      <c r="H1405" s="21"/>
      <c r="I1405" s="21"/>
      <c r="J1405" s="9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</row>
    <row r="1406" spans="1:30" ht="13.2">
      <c r="A1406" s="21"/>
      <c r="B1406" s="21"/>
      <c r="C1406" s="21"/>
      <c r="D1406" s="21"/>
      <c r="E1406" s="21"/>
      <c r="F1406" s="91"/>
      <c r="G1406" s="21"/>
      <c r="H1406" s="21"/>
      <c r="I1406" s="21"/>
      <c r="J1406" s="9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</row>
    <row r="1407" spans="1:30" ht="13.2">
      <c r="A1407" s="21"/>
      <c r="B1407" s="21"/>
      <c r="C1407" s="21"/>
      <c r="D1407" s="21"/>
      <c r="E1407" s="21"/>
      <c r="F1407" s="91"/>
      <c r="G1407" s="21"/>
      <c r="H1407" s="21"/>
      <c r="I1407" s="21"/>
      <c r="J1407" s="9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</row>
    <row r="1408" spans="1:30" ht="13.2">
      <c r="A1408" s="21"/>
      <c r="B1408" s="21"/>
      <c r="C1408" s="21"/>
      <c r="D1408" s="21"/>
      <c r="E1408" s="21"/>
      <c r="F1408" s="91"/>
      <c r="G1408" s="21"/>
      <c r="H1408" s="21"/>
      <c r="I1408" s="21"/>
      <c r="J1408" s="9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</row>
    <row r="1409" spans="1:30" ht="13.2">
      <c r="A1409" s="21"/>
      <c r="B1409" s="21"/>
      <c r="C1409" s="21"/>
      <c r="D1409" s="21"/>
      <c r="E1409" s="21"/>
      <c r="F1409" s="91"/>
      <c r="G1409" s="21"/>
      <c r="H1409" s="21"/>
      <c r="I1409" s="21"/>
      <c r="J1409" s="9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</row>
    <row r="1410" spans="1:30" ht="13.2">
      <c r="A1410" s="21"/>
      <c r="B1410" s="21"/>
      <c r="C1410" s="21"/>
      <c r="D1410" s="21"/>
      <c r="E1410" s="21"/>
      <c r="F1410" s="91"/>
      <c r="G1410" s="21"/>
      <c r="H1410" s="21"/>
      <c r="I1410" s="21"/>
      <c r="J1410" s="9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</row>
    <row r="1411" spans="1:30" ht="13.2">
      <c r="A1411" s="21"/>
      <c r="B1411" s="21"/>
      <c r="C1411" s="21"/>
      <c r="D1411" s="21"/>
      <c r="E1411" s="21"/>
      <c r="F1411" s="91"/>
      <c r="G1411" s="21"/>
      <c r="H1411" s="21"/>
      <c r="I1411" s="21"/>
      <c r="J1411" s="9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</row>
    <row r="1412" spans="1:30" ht="13.2">
      <c r="A1412" s="21"/>
      <c r="B1412" s="21"/>
      <c r="C1412" s="21"/>
      <c r="D1412" s="21"/>
      <c r="E1412" s="21"/>
      <c r="F1412" s="91"/>
      <c r="G1412" s="21"/>
      <c r="H1412" s="21"/>
      <c r="I1412" s="21"/>
      <c r="J1412" s="9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</row>
    <row r="1413" spans="1:30" ht="13.2">
      <c r="A1413" s="21"/>
      <c r="B1413" s="21"/>
      <c r="C1413" s="21"/>
      <c r="D1413" s="21"/>
      <c r="E1413" s="21"/>
      <c r="F1413" s="91"/>
      <c r="G1413" s="21"/>
      <c r="H1413" s="21"/>
      <c r="I1413" s="21"/>
      <c r="J1413" s="9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</row>
    <row r="1414" spans="1:30" ht="13.2">
      <c r="A1414" s="21"/>
      <c r="B1414" s="21"/>
      <c r="C1414" s="21"/>
      <c r="D1414" s="21"/>
      <c r="E1414" s="21"/>
      <c r="F1414" s="91"/>
      <c r="G1414" s="21"/>
      <c r="H1414" s="21"/>
      <c r="I1414" s="21"/>
      <c r="J1414" s="9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</row>
    <row r="1415" spans="1:30" ht="13.2">
      <c r="A1415" s="21"/>
      <c r="B1415" s="21"/>
      <c r="C1415" s="21"/>
      <c r="D1415" s="21"/>
      <c r="E1415" s="21"/>
      <c r="F1415" s="91"/>
      <c r="G1415" s="21"/>
      <c r="H1415" s="21"/>
      <c r="I1415" s="21"/>
      <c r="J1415" s="9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</row>
    <row r="1416" spans="1:30" ht="13.2">
      <c r="A1416" s="21"/>
      <c r="B1416" s="21"/>
      <c r="C1416" s="21"/>
      <c r="D1416" s="21"/>
      <c r="E1416" s="21"/>
      <c r="F1416" s="91"/>
      <c r="G1416" s="21"/>
      <c r="H1416" s="21"/>
      <c r="I1416" s="21"/>
      <c r="J1416" s="9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</row>
    <row r="1417" spans="1:30" ht="13.2">
      <c r="A1417" s="21"/>
      <c r="B1417" s="21"/>
      <c r="C1417" s="21"/>
      <c r="D1417" s="21"/>
      <c r="E1417" s="21"/>
      <c r="F1417" s="91"/>
      <c r="G1417" s="21"/>
      <c r="H1417" s="21"/>
      <c r="I1417" s="21"/>
      <c r="J1417" s="9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</row>
    <row r="1418" spans="1:30" ht="13.2">
      <c r="A1418" s="21"/>
      <c r="B1418" s="21"/>
      <c r="C1418" s="21"/>
      <c r="D1418" s="21"/>
      <c r="E1418" s="21"/>
      <c r="F1418" s="91"/>
      <c r="G1418" s="21"/>
      <c r="H1418" s="21"/>
      <c r="I1418" s="21"/>
      <c r="J1418" s="9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</row>
    <row r="1419" spans="1:30" ht="13.2">
      <c r="A1419" s="21"/>
      <c r="B1419" s="21"/>
      <c r="C1419" s="21"/>
      <c r="D1419" s="21"/>
      <c r="E1419" s="21"/>
      <c r="F1419" s="91"/>
      <c r="G1419" s="21"/>
      <c r="H1419" s="21"/>
      <c r="I1419" s="21"/>
      <c r="J1419" s="9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</row>
    <row r="1420" spans="1:30" ht="13.2">
      <c r="A1420" s="21"/>
      <c r="B1420" s="21"/>
      <c r="C1420" s="21"/>
      <c r="D1420" s="21"/>
      <c r="E1420" s="21"/>
      <c r="F1420" s="91"/>
      <c r="G1420" s="21"/>
      <c r="H1420" s="21"/>
      <c r="I1420" s="21"/>
      <c r="J1420" s="9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</row>
    <row r="1421" spans="1:30" ht="13.2">
      <c r="A1421" s="21"/>
      <c r="B1421" s="21"/>
      <c r="C1421" s="21"/>
      <c r="D1421" s="21"/>
      <c r="E1421" s="21"/>
      <c r="F1421" s="91"/>
      <c r="G1421" s="21"/>
      <c r="H1421" s="21"/>
      <c r="I1421" s="21"/>
      <c r="J1421" s="9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</row>
    <row r="1422" spans="1:30" ht="13.2">
      <c r="A1422" s="21"/>
      <c r="B1422" s="21"/>
      <c r="C1422" s="21"/>
      <c r="D1422" s="21"/>
      <c r="E1422" s="21"/>
      <c r="F1422" s="91"/>
      <c r="G1422" s="21"/>
      <c r="H1422" s="21"/>
      <c r="I1422" s="21"/>
      <c r="J1422" s="9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</row>
    <row r="1423" spans="1:30" ht="13.2">
      <c r="A1423" s="21"/>
      <c r="B1423" s="21"/>
      <c r="C1423" s="21"/>
      <c r="D1423" s="21"/>
      <c r="E1423" s="21"/>
      <c r="F1423" s="91"/>
      <c r="G1423" s="21"/>
      <c r="H1423" s="21"/>
      <c r="I1423" s="21"/>
      <c r="J1423" s="9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</row>
    <row r="1424" spans="1:30" ht="13.2">
      <c r="A1424" s="21"/>
      <c r="B1424" s="21"/>
      <c r="C1424" s="21"/>
      <c r="D1424" s="21"/>
      <c r="E1424" s="21"/>
      <c r="F1424" s="91"/>
      <c r="G1424" s="21"/>
      <c r="H1424" s="21"/>
      <c r="I1424" s="21"/>
      <c r="J1424" s="9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</row>
    <row r="1425" spans="1:30" ht="13.2">
      <c r="A1425" s="21"/>
      <c r="B1425" s="21"/>
      <c r="C1425" s="21"/>
      <c r="D1425" s="21"/>
      <c r="E1425" s="21"/>
      <c r="F1425" s="91"/>
      <c r="G1425" s="21"/>
      <c r="H1425" s="21"/>
      <c r="I1425" s="21"/>
      <c r="J1425" s="9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</row>
    <row r="1426" spans="1:30" ht="13.2">
      <c r="A1426" s="21"/>
      <c r="B1426" s="21"/>
      <c r="C1426" s="21"/>
      <c r="D1426" s="21"/>
      <c r="E1426" s="21"/>
      <c r="F1426" s="91"/>
      <c r="G1426" s="21"/>
      <c r="H1426" s="21"/>
      <c r="I1426" s="21"/>
      <c r="J1426" s="9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</row>
    <row r="1427" spans="1:30" ht="13.2">
      <c r="A1427" s="21"/>
      <c r="B1427" s="21"/>
      <c r="C1427" s="21"/>
      <c r="D1427" s="21"/>
      <c r="E1427" s="21"/>
      <c r="F1427" s="91"/>
      <c r="G1427" s="21"/>
      <c r="H1427" s="21"/>
      <c r="I1427" s="21"/>
      <c r="J1427" s="9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</row>
    <row r="1428" spans="1:30" ht="13.2">
      <c r="A1428" s="21"/>
      <c r="B1428" s="21"/>
      <c r="C1428" s="21"/>
      <c r="D1428" s="21"/>
      <c r="E1428" s="21"/>
      <c r="F1428" s="91"/>
      <c r="G1428" s="21"/>
      <c r="H1428" s="21"/>
      <c r="I1428" s="21"/>
      <c r="J1428" s="9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</row>
    <row r="1429" spans="1:30" ht="13.2">
      <c r="A1429" s="21"/>
      <c r="B1429" s="21"/>
      <c r="C1429" s="21"/>
      <c r="D1429" s="21"/>
      <c r="E1429" s="21"/>
      <c r="F1429" s="91"/>
      <c r="G1429" s="21"/>
      <c r="H1429" s="21"/>
      <c r="I1429" s="21"/>
      <c r="J1429" s="9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</row>
    <row r="1430" spans="1:30" ht="13.2">
      <c r="A1430" s="21"/>
      <c r="B1430" s="21"/>
      <c r="C1430" s="21"/>
      <c r="D1430" s="21"/>
      <c r="E1430" s="21"/>
      <c r="F1430" s="91"/>
      <c r="G1430" s="21"/>
      <c r="H1430" s="21"/>
      <c r="I1430" s="21"/>
      <c r="J1430" s="9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</row>
    <row r="1431" spans="1:30" ht="13.2">
      <c r="A1431" s="21"/>
      <c r="B1431" s="21"/>
      <c r="C1431" s="21"/>
      <c r="D1431" s="21"/>
      <c r="E1431" s="21"/>
      <c r="F1431" s="91"/>
      <c r="G1431" s="21"/>
      <c r="H1431" s="21"/>
      <c r="I1431" s="21"/>
      <c r="J1431" s="9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</row>
    <row r="1432" spans="1:30" ht="13.2">
      <c r="A1432" s="21"/>
      <c r="B1432" s="21"/>
      <c r="C1432" s="21"/>
      <c r="D1432" s="21"/>
      <c r="E1432" s="21"/>
      <c r="F1432" s="91"/>
      <c r="G1432" s="21"/>
      <c r="H1432" s="21"/>
      <c r="I1432" s="21"/>
      <c r="J1432" s="9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</row>
    <row r="1433" spans="1:30" ht="13.2">
      <c r="A1433" s="21"/>
      <c r="B1433" s="21"/>
      <c r="C1433" s="21"/>
      <c r="D1433" s="21"/>
      <c r="E1433" s="21"/>
      <c r="F1433" s="91"/>
      <c r="G1433" s="21"/>
      <c r="H1433" s="21"/>
      <c r="I1433" s="21"/>
      <c r="J1433" s="9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</row>
    <row r="1434" spans="1:30" ht="13.2">
      <c r="A1434" s="21"/>
      <c r="B1434" s="21"/>
      <c r="C1434" s="21"/>
      <c r="D1434" s="21"/>
      <c r="E1434" s="21"/>
      <c r="F1434" s="91"/>
      <c r="G1434" s="21"/>
      <c r="H1434" s="21"/>
      <c r="I1434" s="21"/>
      <c r="J1434" s="9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</row>
    <row r="1435" spans="1:30" ht="13.2">
      <c r="A1435" s="21"/>
      <c r="B1435" s="21"/>
      <c r="C1435" s="21"/>
      <c r="D1435" s="21"/>
      <c r="E1435" s="21"/>
      <c r="F1435" s="91"/>
      <c r="G1435" s="21"/>
      <c r="H1435" s="21"/>
      <c r="I1435" s="21"/>
      <c r="J1435" s="9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</row>
    <row r="1436" spans="1:30" ht="13.2">
      <c r="A1436" s="21"/>
      <c r="B1436" s="21"/>
      <c r="C1436" s="21"/>
      <c r="D1436" s="21"/>
      <c r="E1436" s="21"/>
      <c r="F1436" s="91"/>
      <c r="G1436" s="21"/>
      <c r="H1436" s="21"/>
      <c r="I1436" s="21"/>
      <c r="J1436" s="9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</row>
    <row r="1437" spans="1:30" ht="13.2">
      <c r="A1437" s="21"/>
      <c r="B1437" s="21"/>
      <c r="C1437" s="21"/>
      <c r="D1437" s="21"/>
      <c r="E1437" s="21"/>
      <c r="F1437" s="91"/>
      <c r="G1437" s="21"/>
      <c r="H1437" s="21"/>
      <c r="I1437" s="21"/>
      <c r="J1437" s="9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</row>
    <row r="1438" spans="1:30" ht="13.2">
      <c r="A1438" s="21"/>
      <c r="B1438" s="21"/>
      <c r="C1438" s="21"/>
      <c r="D1438" s="21"/>
      <c r="E1438" s="21"/>
      <c r="F1438" s="91"/>
      <c r="G1438" s="21"/>
      <c r="H1438" s="21"/>
      <c r="I1438" s="21"/>
      <c r="J1438" s="9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</row>
    <row r="1439" spans="1:30" ht="13.2">
      <c r="A1439" s="21"/>
      <c r="B1439" s="21"/>
      <c r="C1439" s="21"/>
      <c r="D1439" s="21"/>
      <c r="E1439" s="21"/>
      <c r="F1439" s="91"/>
      <c r="G1439" s="21"/>
      <c r="H1439" s="21"/>
      <c r="I1439" s="21"/>
      <c r="J1439" s="9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</row>
    <row r="1440" spans="1:30" ht="13.2">
      <c r="A1440" s="21"/>
      <c r="B1440" s="21"/>
      <c r="C1440" s="21"/>
      <c r="D1440" s="21"/>
      <c r="E1440" s="21"/>
      <c r="F1440" s="91"/>
      <c r="G1440" s="21"/>
      <c r="H1440" s="21"/>
      <c r="I1440" s="21"/>
      <c r="J1440" s="9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</row>
    <row r="1441" spans="1:30" ht="13.2">
      <c r="A1441" s="21"/>
      <c r="B1441" s="21"/>
      <c r="C1441" s="21"/>
      <c r="D1441" s="21"/>
      <c r="E1441" s="21"/>
      <c r="F1441" s="91"/>
      <c r="G1441" s="21"/>
      <c r="H1441" s="21"/>
      <c r="I1441" s="21"/>
      <c r="J1441" s="9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</row>
    <row r="1442" spans="1:30" ht="13.2">
      <c r="A1442" s="21"/>
      <c r="B1442" s="21"/>
      <c r="C1442" s="21"/>
      <c r="D1442" s="21"/>
      <c r="E1442" s="21"/>
      <c r="F1442" s="91"/>
      <c r="G1442" s="21"/>
      <c r="H1442" s="21"/>
      <c r="I1442" s="21"/>
      <c r="J1442" s="9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</row>
    <row r="1443" spans="1:30" ht="13.2">
      <c r="A1443" s="21"/>
      <c r="B1443" s="21"/>
      <c r="C1443" s="21"/>
      <c r="D1443" s="21"/>
      <c r="E1443" s="21"/>
      <c r="F1443" s="91"/>
      <c r="G1443" s="21"/>
      <c r="H1443" s="21"/>
      <c r="I1443" s="21"/>
      <c r="J1443" s="9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</row>
    <row r="1444" spans="1:30" ht="13.2">
      <c r="A1444" s="21"/>
      <c r="B1444" s="21"/>
      <c r="C1444" s="21"/>
      <c r="D1444" s="21"/>
      <c r="E1444" s="21"/>
      <c r="F1444" s="91"/>
      <c r="G1444" s="21"/>
      <c r="H1444" s="21"/>
      <c r="I1444" s="21"/>
      <c r="J1444" s="9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</row>
    <row r="1445" spans="1:30" ht="13.2">
      <c r="A1445" s="21"/>
      <c r="B1445" s="21"/>
      <c r="C1445" s="21"/>
      <c r="D1445" s="21"/>
      <c r="E1445" s="21"/>
      <c r="F1445" s="91"/>
      <c r="G1445" s="21"/>
      <c r="H1445" s="21"/>
      <c r="I1445" s="21"/>
      <c r="J1445" s="9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</row>
    <row r="1446" spans="1:30" ht="13.2">
      <c r="A1446" s="21"/>
      <c r="B1446" s="21"/>
      <c r="C1446" s="21"/>
      <c r="D1446" s="21"/>
      <c r="E1446" s="21"/>
      <c r="F1446" s="91"/>
      <c r="G1446" s="21"/>
      <c r="H1446" s="21"/>
      <c r="I1446" s="21"/>
      <c r="J1446" s="9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</row>
    <row r="1447" spans="1:30" ht="13.2">
      <c r="A1447" s="21"/>
      <c r="B1447" s="21"/>
      <c r="C1447" s="21"/>
      <c r="D1447" s="21"/>
      <c r="E1447" s="21"/>
      <c r="F1447" s="91"/>
      <c r="G1447" s="21"/>
      <c r="H1447" s="21"/>
      <c r="I1447" s="21"/>
      <c r="J1447" s="9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</row>
    <row r="1448" spans="1:30" ht="13.2">
      <c r="A1448" s="21"/>
      <c r="B1448" s="21"/>
      <c r="C1448" s="21"/>
      <c r="D1448" s="21"/>
      <c r="E1448" s="21"/>
      <c r="F1448" s="91"/>
      <c r="G1448" s="21"/>
      <c r="H1448" s="21"/>
      <c r="I1448" s="21"/>
      <c r="J1448" s="9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</row>
    <row r="1449" spans="1:30" ht="13.2">
      <c r="A1449" s="21"/>
      <c r="B1449" s="21"/>
      <c r="C1449" s="21"/>
      <c r="D1449" s="21"/>
      <c r="E1449" s="21"/>
      <c r="F1449" s="91"/>
      <c r="G1449" s="21"/>
      <c r="H1449" s="21"/>
      <c r="I1449" s="21"/>
      <c r="J1449" s="9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</row>
    <row r="1450" spans="1:30" ht="13.2">
      <c r="A1450" s="21"/>
      <c r="B1450" s="21"/>
      <c r="C1450" s="21"/>
      <c r="D1450" s="21"/>
      <c r="E1450" s="21"/>
      <c r="F1450" s="91"/>
      <c r="G1450" s="21"/>
      <c r="H1450" s="21"/>
      <c r="I1450" s="21"/>
      <c r="J1450" s="9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</row>
    <row r="1451" spans="1:30" ht="13.2">
      <c r="A1451" s="21"/>
      <c r="B1451" s="21"/>
      <c r="C1451" s="21"/>
      <c r="D1451" s="21"/>
      <c r="E1451" s="21"/>
      <c r="F1451" s="91"/>
      <c r="G1451" s="21"/>
      <c r="H1451" s="21"/>
      <c r="I1451" s="21"/>
      <c r="J1451" s="9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</row>
    <row r="1452" spans="1:30" ht="13.2">
      <c r="A1452" s="21"/>
      <c r="B1452" s="21"/>
      <c r="C1452" s="21"/>
      <c r="D1452" s="21"/>
      <c r="E1452" s="21"/>
      <c r="F1452" s="91"/>
      <c r="G1452" s="21"/>
      <c r="H1452" s="21"/>
      <c r="I1452" s="21"/>
      <c r="J1452" s="9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</row>
    <row r="1453" spans="1:30" ht="13.2">
      <c r="A1453" s="21"/>
      <c r="B1453" s="21"/>
      <c r="C1453" s="21"/>
      <c r="D1453" s="21"/>
      <c r="E1453" s="21"/>
      <c r="F1453" s="91"/>
      <c r="G1453" s="21"/>
      <c r="H1453" s="21"/>
      <c r="I1453" s="21"/>
      <c r="J1453" s="9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</row>
    <row r="1454" spans="1:30" ht="13.2">
      <c r="A1454" s="21"/>
      <c r="B1454" s="21"/>
      <c r="C1454" s="21"/>
      <c r="D1454" s="21"/>
      <c r="E1454" s="21"/>
      <c r="F1454" s="91"/>
      <c r="G1454" s="21"/>
      <c r="H1454" s="21"/>
      <c r="I1454" s="21"/>
      <c r="J1454" s="9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</row>
    <row r="1455" spans="1:30" ht="13.2">
      <c r="A1455" s="21"/>
      <c r="B1455" s="21"/>
      <c r="C1455" s="21"/>
      <c r="D1455" s="21"/>
      <c r="E1455" s="21"/>
      <c r="F1455" s="91"/>
      <c r="G1455" s="21"/>
      <c r="H1455" s="21"/>
      <c r="I1455" s="21"/>
      <c r="J1455" s="9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</row>
    <row r="1456" spans="1:30" ht="13.2">
      <c r="A1456" s="21"/>
      <c r="B1456" s="21"/>
      <c r="C1456" s="21"/>
      <c r="D1456" s="21"/>
      <c r="E1456" s="21"/>
      <c r="F1456" s="91"/>
      <c r="G1456" s="21"/>
      <c r="H1456" s="21"/>
      <c r="I1456" s="21"/>
      <c r="J1456" s="9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</row>
    <row r="1457" spans="1:30" ht="13.2">
      <c r="A1457" s="21"/>
      <c r="B1457" s="21"/>
      <c r="C1457" s="21"/>
      <c r="D1457" s="21"/>
      <c r="E1457" s="21"/>
      <c r="F1457" s="91"/>
      <c r="G1457" s="21"/>
      <c r="H1457" s="21"/>
      <c r="I1457" s="21"/>
      <c r="J1457" s="9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</row>
    <row r="1458" spans="1:30" ht="13.2">
      <c r="A1458" s="21"/>
      <c r="B1458" s="21"/>
      <c r="C1458" s="21"/>
      <c r="D1458" s="21"/>
      <c r="E1458" s="21"/>
      <c r="F1458" s="91"/>
      <c r="G1458" s="21"/>
      <c r="H1458" s="21"/>
      <c r="I1458" s="21"/>
      <c r="J1458" s="9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</row>
    <row r="1459" spans="1:30" ht="13.2">
      <c r="A1459" s="21"/>
      <c r="B1459" s="21"/>
      <c r="C1459" s="21"/>
      <c r="D1459" s="21"/>
      <c r="E1459" s="21"/>
      <c r="F1459" s="91"/>
      <c r="G1459" s="21"/>
      <c r="H1459" s="21"/>
      <c r="I1459" s="21"/>
      <c r="J1459" s="9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</row>
    <row r="1460" spans="1:30" ht="13.2">
      <c r="A1460" s="21"/>
      <c r="B1460" s="21"/>
      <c r="C1460" s="21"/>
      <c r="D1460" s="21"/>
      <c r="E1460" s="21"/>
      <c r="F1460" s="91"/>
      <c r="G1460" s="21"/>
      <c r="H1460" s="21"/>
      <c r="I1460" s="21"/>
      <c r="J1460" s="9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</row>
    <row r="1461" spans="1:30" ht="13.2">
      <c r="A1461" s="21"/>
      <c r="B1461" s="21"/>
      <c r="C1461" s="21"/>
      <c r="D1461" s="21"/>
      <c r="E1461" s="21"/>
      <c r="F1461" s="91"/>
      <c r="G1461" s="21"/>
      <c r="H1461" s="21"/>
      <c r="I1461" s="21"/>
      <c r="J1461" s="9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</row>
    <row r="1462" spans="1:30" ht="13.2">
      <c r="A1462" s="21"/>
      <c r="B1462" s="21"/>
      <c r="C1462" s="21"/>
      <c r="D1462" s="21"/>
      <c r="E1462" s="21"/>
      <c r="F1462" s="91"/>
      <c r="G1462" s="21"/>
      <c r="H1462" s="21"/>
      <c r="I1462" s="21"/>
      <c r="J1462" s="9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</row>
    <row r="1463" spans="1:30" ht="13.2">
      <c r="A1463" s="21"/>
      <c r="B1463" s="21"/>
      <c r="C1463" s="21"/>
      <c r="D1463" s="21"/>
      <c r="E1463" s="21"/>
      <c r="F1463" s="91"/>
      <c r="G1463" s="21"/>
      <c r="H1463" s="21"/>
      <c r="I1463" s="21"/>
      <c r="J1463" s="9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</row>
    <row r="1464" spans="1:30" ht="13.2">
      <c r="A1464" s="21"/>
      <c r="B1464" s="21"/>
      <c r="C1464" s="21"/>
      <c r="D1464" s="21"/>
      <c r="E1464" s="21"/>
      <c r="F1464" s="91"/>
      <c r="G1464" s="21"/>
      <c r="H1464" s="21"/>
      <c r="I1464" s="21"/>
      <c r="J1464" s="9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</row>
    <row r="1465" spans="1:30" ht="13.2">
      <c r="A1465" s="21"/>
      <c r="B1465" s="21"/>
      <c r="C1465" s="21"/>
      <c r="D1465" s="21"/>
      <c r="E1465" s="21"/>
      <c r="F1465" s="91"/>
      <c r="G1465" s="21"/>
      <c r="H1465" s="21"/>
      <c r="I1465" s="21"/>
      <c r="J1465" s="9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</row>
    <row r="1466" spans="1:30" ht="13.2">
      <c r="A1466" s="21"/>
      <c r="B1466" s="21"/>
      <c r="C1466" s="21"/>
      <c r="D1466" s="21"/>
      <c r="E1466" s="21"/>
      <c r="F1466" s="91"/>
      <c r="G1466" s="21"/>
      <c r="H1466" s="21"/>
      <c r="I1466" s="21"/>
      <c r="J1466" s="9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</row>
    <row r="1467" spans="1:30" ht="13.2">
      <c r="A1467" s="21"/>
      <c r="B1467" s="21"/>
      <c r="C1467" s="21"/>
      <c r="D1467" s="21"/>
      <c r="E1467" s="21"/>
      <c r="F1467" s="91"/>
      <c r="G1467" s="21"/>
      <c r="H1467" s="21"/>
      <c r="I1467" s="21"/>
      <c r="J1467" s="9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</row>
    <row r="1468" spans="1:30" ht="13.2">
      <c r="A1468" s="21"/>
      <c r="B1468" s="21"/>
      <c r="C1468" s="21"/>
      <c r="D1468" s="21"/>
      <c r="E1468" s="21"/>
      <c r="F1468" s="91"/>
      <c r="G1468" s="21"/>
      <c r="H1468" s="21"/>
      <c r="I1468" s="21"/>
      <c r="J1468" s="9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</row>
    <row r="1469" spans="1:30" ht="13.2">
      <c r="A1469" s="21"/>
      <c r="B1469" s="21"/>
      <c r="C1469" s="21"/>
      <c r="D1469" s="21"/>
      <c r="E1469" s="21"/>
      <c r="F1469" s="91"/>
      <c r="G1469" s="21"/>
      <c r="H1469" s="21"/>
      <c r="I1469" s="21"/>
      <c r="J1469" s="9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</row>
    <row r="1470" spans="1:30" ht="13.2">
      <c r="A1470" s="21"/>
      <c r="B1470" s="21"/>
      <c r="C1470" s="21"/>
      <c r="D1470" s="21"/>
      <c r="E1470" s="21"/>
      <c r="F1470" s="91"/>
      <c r="G1470" s="21"/>
      <c r="H1470" s="21"/>
      <c r="I1470" s="21"/>
      <c r="J1470" s="9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</row>
    <row r="1471" spans="1:30" ht="13.2">
      <c r="A1471" s="21"/>
      <c r="B1471" s="21"/>
      <c r="C1471" s="21"/>
      <c r="D1471" s="21"/>
      <c r="E1471" s="21"/>
      <c r="F1471" s="91"/>
      <c r="G1471" s="21"/>
      <c r="H1471" s="21"/>
      <c r="I1471" s="21"/>
      <c r="J1471" s="9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</row>
    <row r="1472" spans="1:30" ht="13.2">
      <c r="A1472" s="21"/>
      <c r="B1472" s="21"/>
      <c r="C1472" s="21"/>
      <c r="D1472" s="21"/>
      <c r="E1472" s="21"/>
      <c r="F1472" s="91"/>
      <c r="G1472" s="21"/>
      <c r="H1472" s="21"/>
      <c r="I1472" s="21"/>
      <c r="J1472" s="9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</row>
    <row r="1473" spans="1:30" ht="13.2">
      <c r="A1473" s="21"/>
      <c r="B1473" s="21"/>
      <c r="C1473" s="21"/>
      <c r="D1473" s="21"/>
      <c r="E1473" s="21"/>
      <c r="F1473" s="91"/>
      <c r="G1473" s="21"/>
      <c r="H1473" s="21"/>
      <c r="I1473" s="21"/>
      <c r="J1473" s="9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</row>
    <row r="1474" spans="1:30" ht="13.2">
      <c r="A1474" s="21"/>
      <c r="B1474" s="21"/>
      <c r="C1474" s="21"/>
      <c r="D1474" s="21"/>
      <c r="E1474" s="21"/>
      <c r="F1474" s="91"/>
      <c r="G1474" s="21"/>
      <c r="H1474" s="21"/>
      <c r="I1474" s="21"/>
      <c r="J1474" s="9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</row>
    <row r="1475" spans="1:30" ht="13.2">
      <c r="A1475" s="21"/>
      <c r="B1475" s="21"/>
      <c r="C1475" s="21"/>
      <c r="D1475" s="21"/>
      <c r="E1475" s="21"/>
      <c r="F1475" s="91"/>
      <c r="G1475" s="21"/>
      <c r="H1475" s="21"/>
      <c r="I1475" s="21"/>
      <c r="J1475" s="9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</row>
    <row r="1476" spans="1:30" ht="13.2">
      <c r="A1476" s="21"/>
      <c r="B1476" s="21"/>
      <c r="C1476" s="21"/>
      <c r="D1476" s="21"/>
      <c r="E1476" s="21"/>
      <c r="F1476" s="91"/>
      <c r="G1476" s="21"/>
      <c r="H1476" s="21"/>
      <c r="I1476" s="21"/>
      <c r="J1476" s="9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</row>
    <row r="1477" spans="1:30" ht="13.2">
      <c r="A1477" s="21"/>
      <c r="B1477" s="21"/>
      <c r="C1477" s="21"/>
      <c r="D1477" s="21"/>
      <c r="E1477" s="21"/>
      <c r="F1477" s="91"/>
      <c r="G1477" s="21"/>
      <c r="H1477" s="21"/>
      <c r="I1477" s="21"/>
      <c r="J1477" s="9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</row>
    <row r="1478" spans="1:30" ht="13.2">
      <c r="A1478" s="21"/>
      <c r="B1478" s="21"/>
      <c r="C1478" s="21"/>
      <c r="D1478" s="21"/>
      <c r="E1478" s="21"/>
      <c r="F1478" s="91"/>
      <c r="G1478" s="21"/>
      <c r="H1478" s="21"/>
      <c r="I1478" s="21"/>
      <c r="J1478" s="9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</row>
    <row r="1479" spans="1:30" ht="13.2">
      <c r="A1479" s="21"/>
      <c r="B1479" s="21"/>
      <c r="C1479" s="21"/>
      <c r="D1479" s="21"/>
      <c r="E1479" s="21"/>
      <c r="F1479" s="91"/>
      <c r="G1479" s="21"/>
      <c r="H1479" s="21"/>
      <c r="I1479" s="21"/>
      <c r="J1479" s="9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</row>
    <row r="1480" spans="1:30" ht="13.2">
      <c r="A1480" s="21"/>
      <c r="B1480" s="21"/>
      <c r="C1480" s="21"/>
      <c r="D1480" s="21"/>
      <c r="E1480" s="21"/>
      <c r="F1480" s="91"/>
      <c r="G1480" s="21"/>
      <c r="H1480" s="21"/>
      <c r="I1480" s="21"/>
      <c r="J1480" s="9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</row>
    <row r="1481" spans="1:30" ht="13.2">
      <c r="A1481" s="21"/>
      <c r="B1481" s="21"/>
      <c r="C1481" s="21"/>
      <c r="D1481" s="21"/>
      <c r="E1481" s="21"/>
      <c r="F1481" s="91"/>
      <c r="G1481" s="21"/>
      <c r="H1481" s="21"/>
      <c r="I1481" s="21"/>
      <c r="J1481" s="9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</row>
    <row r="1482" spans="1:30" ht="13.2">
      <c r="A1482" s="21"/>
      <c r="B1482" s="21"/>
      <c r="C1482" s="21"/>
      <c r="D1482" s="21"/>
      <c r="E1482" s="21"/>
      <c r="F1482" s="91"/>
      <c r="G1482" s="21"/>
      <c r="H1482" s="21"/>
      <c r="I1482" s="21"/>
      <c r="J1482" s="9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</row>
    <row r="1483" spans="1:30" ht="13.2">
      <c r="A1483" s="21"/>
      <c r="B1483" s="21"/>
      <c r="C1483" s="21"/>
      <c r="D1483" s="21"/>
      <c r="E1483" s="21"/>
      <c r="F1483" s="91"/>
      <c r="G1483" s="21"/>
      <c r="H1483" s="21"/>
      <c r="I1483" s="21"/>
      <c r="J1483" s="9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</row>
    <row r="1484" spans="1:30" ht="13.2">
      <c r="A1484" s="21"/>
      <c r="B1484" s="21"/>
      <c r="C1484" s="21"/>
      <c r="D1484" s="21"/>
      <c r="E1484" s="21"/>
      <c r="F1484" s="91"/>
      <c r="G1484" s="21"/>
      <c r="H1484" s="21"/>
      <c r="I1484" s="21"/>
      <c r="J1484" s="9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</row>
    <row r="1485" spans="1:30" ht="13.2">
      <c r="A1485" s="21"/>
      <c r="B1485" s="21"/>
      <c r="C1485" s="21"/>
      <c r="D1485" s="21"/>
      <c r="E1485" s="21"/>
      <c r="F1485" s="91"/>
      <c r="G1485" s="21"/>
      <c r="H1485" s="21"/>
      <c r="I1485" s="21"/>
      <c r="J1485" s="9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</row>
    <row r="1486" spans="1:30" ht="13.2">
      <c r="A1486" s="21"/>
      <c r="B1486" s="21"/>
      <c r="C1486" s="21"/>
      <c r="D1486" s="21"/>
      <c r="E1486" s="21"/>
      <c r="F1486" s="91"/>
      <c r="G1486" s="21"/>
      <c r="H1486" s="21"/>
      <c r="I1486" s="21"/>
      <c r="J1486" s="9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</row>
    <row r="1487" spans="1:30" ht="13.2">
      <c r="A1487" s="21"/>
      <c r="B1487" s="21"/>
      <c r="C1487" s="21"/>
      <c r="D1487" s="21"/>
      <c r="E1487" s="21"/>
      <c r="F1487" s="91"/>
      <c r="G1487" s="21"/>
      <c r="H1487" s="21"/>
      <c r="I1487" s="21"/>
      <c r="J1487" s="9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</row>
    <row r="1488" spans="1:30" ht="13.2">
      <c r="A1488" s="21"/>
      <c r="B1488" s="21"/>
      <c r="C1488" s="21"/>
      <c r="D1488" s="21"/>
      <c r="E1488" s="21"/>
      <c r="F1488" s="91"/>
      <c r="G1488" s="21"/>
      <c r="H1488" s="21"/>
      <c r="I1488" s="21"/>
      <c r="J1488" s="9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</row>
    <row r="1489" spans="1:30" ht="13.2">
      <c r="A1489" s="21"/>
      <c r="B1489" s="21"/>
      <c r="C1489" s="21"/>
      <c r="D1489" s="21"/>
      <c r="E1489" s="21"/>
      <c r="F1489" s="91"/>
      <c r="G1489" s="21"/>
      <c r="H1489" s="21"/>
      <c r="I1489" s="21"/>
      <c r="J1489" s="9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</row>
    <row r="1490" spans="1:30" ht="13.2">
      <c r="A1490" s="21"/>
      <c r="B1490" s="21"/>
      <c r="C1490" s="21"/>
      <c r="D1490" s="21"/>
      <c r="E1490" s="21"/>
      <c r="F1490" s="91"/>
      <c r="G1490" s="21"/>
      <c r="H1490" s="21"/>
      <c r="I1490" s="21"/>
      <c r="J1490" s="9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</row>
    <row r="1491" spans="1:30" ht="13.2">
      <c r="A1491" s="21"/>
      <c r="B1491" s="21"/>
      <c r="C1491" s="21"/>
      <c r="D1491" s="21"/>
      <c r="E1491" s="21"/>
      <c r="F1491" s="91"/>
      <c r="G1491" s="21"/>
      <c r="H1491" s="21"/>
      <c r="I1491" s="21"/>
      <c r="J1491" s="9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</row>
    <row r="1492" spans="1:30" ht="13.2">
      <c r="A1492" s="21"/>
      <c r="B1492" s="21"/>
      <c r="C1492" s="21"/>
      <c r="D1492" s="21"/>
      <c r="E1492" s="21"/>
      <c r="F1492" s="91"/>
      <c r="G1492" s="21"/>
      <c r="H1492" s="21"/>
      <c r="I1492" s="21"/>
      <c r="J1492" s="9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</row>
    <row r="1493" spans="1:30" ht="13.2">
      <c r="A1493" s="21"/>
      <c r="B1493" s="21"/>
      <c r="C1493" s="21"/>
      <c r="D1493" s="21"/>
      <c r="E1493" s="21"/>
      <c r="F1493" s="91"/>
      <c r="G1493" s="21"/>
      <c r="H1493" s="21"/>
      <c r="I1493" s="21"/>
      <c r="J1493" s="9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</row>
    <row r="1494" spans="1:30" ht="13.2">
      <c r="A1494" s="21"/>
      <c r="B1494" s="21"/>
      <c r="C1494" s="21"/>
      <c r="D1494" s="21"/>
      <c r="E1494" s="21"/>
      <c r="F1494" s="91"/>
      <c r="G1494" s="21"/>
      <c r="H1494" s="21"/>
      <c r="I1494" s="21"/>
      <c r="J1494" s="9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</row>
    <row r="1495" spans="1:30" ht="13.2">
      <c r="A1495" s="21"/>
      <c r="B1495" s="21"/>
      <c r="C1495" s="21"/>
      <c r="D1495" s="21"/>
      <c r="E1495" s="21"/>
      <c r="F1495" s="91"/>
      <c r="G1495" s="21"/>
      <c r="H1495" s="21"/>
      <c r="I1495" s="21"/>
      <c r="J1495" s="9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</row>
    <row r="1496" spans="1:30" ht="13.2">
      <c r="A1496" s="21"/>
      <c r="B1496" s="21"/>
      <c r="C1496" s="21"/>
      <c r="D1496" s="21"/>
      <c r="E1496" s="21"/>
      <c r="F1496" s="91"/>
      <c r="G1496" s="21"/>
      <c r="H1496" s="21"/>
      <c r="I1496" s="21"/>
      <c r="J1496" s="9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</row>
    <row r="1497" spans="1:30" ht="13.2">
      <c r="A1497" s="21"/>
      <c r="B1497" s="21"/>
      <c r="C1497" s="21"/>
      <c r="D1497" s="21"/>
      <c r="E1497" s="21"/>
      <c r="F1497" s="91"/>
      <c r="G1497" s="21"/>
      <c r="H1497" s="21"/>
      <c r="I1497" s="21"/>
      <c r="J1497" s="9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</row>
    <row r="1498" spans="1:30" ht="13.2">
      <c r="A1498" s="21"/>
      <c r="B1498" s="21"/>
      <c r="C1498" s="21"/>
      <c r="D1498" s="21"/>
      <c r="E1498" s="21"/>
      <c r="F1498" s="91"/>
      <c r="G1498" s="21"/>
      <c r="H1498" s="21"/>
      <c r="I1498" s="21"/>
      <c r="J1498" s="9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</row>
    <row r="1499" spans="1:30" ht="13.2">
      <c r="A1499" s="21"/>
      <c r="B1499" s="21"/>
      <c r="C1499" s="21"/>
      <c r="D1499" s="21"/>
      <c r="E1499" s="21"/>
      <c r="F1499" s="91"/>
      <c r="G1499" s="21"/>
      <c r="H1499" s="21"/>
      <c r="I1499" s="21"/>
      <c r="J1499" s="9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</row>
    <row r="1500" spans="1:30" ht="13.2">
      <c r="A1500" s="21"/>
      <c r="B1500" s="21"/>
      <c r="C1500" s="21"/>
      <c r="D1500" s="21"/>
      <c r="E1500" s="21"/>
      <c r="F1500" s="91"/>
      <c r="G1500" s="21"/>
      <c r="H1500" s="21"/>
      <c r="I1500" s="21"/>
      <c r="J1500" s="9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</row>
    <row r="1501" spans="1:30" ht="13.2">
      <c r="A1501" s="21"/>
      <c r="B1501" s="21"/>
      <c r="C1501" s="21"/>
      <c r="D1501" s="21"/>
      <c r="E1501" s="21"/>
      <c r="F1501" s="91"/>
      <c r="G1501" s="21"/>
      <c r="H1501" s="21"/>
      <c r="I1501" s="21"/>
      <c r="J1501" s="9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</row>
    <row r="1502" spans="1:30" ht="13.2">
      <c r="A1502" s="21"/>
      <c r="B1502" s="21"/>
      <c r="C1502" s="21"/>
      <c r="D1502" s="21"/>
      <c r="E1502" s="21"/>
      <c r="F1502" s="91"/>
      <c r="G1502" s="21"/>
      <c r="H1502" s="21"/>
      <c r="I1502" s="21"/>
      <c r="J1502" s="9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</row>
    <row r="1503" spans="1:30" ht="13.2">
      <c r="A1503" s="21"/>
      <c r="B1503" s="21"/>
      <c r="C1503" s="21"/>
      <c r="D1503" s="21"/>
      <c r="E1503" s="21"/>
      <c r="F1503" s="91"/>
      <c r="G1503" s="21"/>
      <c r="H1503" s="21"/>
      <c r="I1503" s="21"/>
      <c r="J1503" s="9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</row>
    <row r="1504" spans="1:30" ht="13.2">
      <c r="A1504" s="21"/>
      <c r="B1504" s="21"/>
      <c r="C1504" s="21"/>
      <c r="D1504" s="21"/>
      <c r="E1504" s="21"/>
      <c r="F1504" s="91"/>
      <c r="G1504" s="21"/>
      <c r="H1504" s="21"/>
      <c r="I1504" s="21"/>
      <c r="J1504" s="9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</row>
    <row r="1505" spans="1:30" ht="13.2">
      <c r="A1505" s="21"/>
      <c r="B1505" s="21"/>
      <c r="C1505" s="21"/>
      <c r="D1505" s="21"/>
      <c r="E1505" s="21"/>
      <c r="F1505" s="91"/>
      <c r="G1505" s="21"/>
      <c r="H1505" s="21"/>
      <c r="I1505" s="21"/>
      <c r="J1505" s="9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</row>
    <row r="1506" spans="1:30" ht="13.2">
      <c r="A1506" s="21"/>
      <c r="B1506" s="21"/>
      <c r="C1506" s="21"/>
      <c r="D1506" s="21"/>
      <c r="E1506" s="21"/>
      <c r="F1506" s="91"/>
      <c r="G1506" s="21"/>
      <c r="H1506" s="21"/>
      <c r="I1506" s="21"/>
      <c r="J1506" s="9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</row>
    <row r="1507" spans="1:30" ht="13.2">
      <c r="A1507" s="21"/>
      <c r="B1507" s="21"/>
      <c r="C1507" s="21"/>
      <c r="D1507" s="21"/>
      <c r="E1507" s="21"/>
      <c r="F1507" s="91"/>
      <c r="G1507" s="21"/>
      <c r="H1507" s="21"/>
      <c r="I1507" s="21"/>
      <c r="J1507" s="9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</row>
    <row r="1508" spans="1:30" ht="13.2">
      <c r="A1508" s="21"/>
      <c r="B1508" s="21"/>
      <c r="C1508" s="21"/>
      <c r="D1508" s="21"/>
      <c r="E1508" s="21"/>
      <c r="F1508" s="91"/>
      <c r="G1508" s="21"/>
      <c r="H1508" s="21"/>
      <c r="I1508" s="21"/>
      <c r="J1508" s="9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</row>
    <row r="1509" spans="1:30" ht="13.2">
      <c r="A1509" s="21"/>
      <c r="B1509" s="21"/>
      <c r="C1509" s="21"/>
      <c r="D1509" s="21"/>
      <c r="E1509" s="21"/>
      <c r="F1509" s="91"/>
      <c r="G1509" s="21"/>
      <c r="H1509" s="21"/>
      <c r="I1509" s="21"/>
      <c r="J1509" s="9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</row>
    <row r="1510" spans="1:30" ht="13.2">
      <c r="A1510" s="21"/>
      <c r="B1510" s="21"/>
      <c r="C1510" s="21"/>
      <c r="D1510" s="21"/>
      <c r="E1510" s="21"/>
      <c r="F1510" s="91"/>
      <c r="G1510" s="21"/>
      <c r="H1510" s="21"/>
      <c r="I1510" s="21"/>
      <c r="J1510" s="9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</row>
    <row r="1511" spans="1:30" ht="13.2">
      <c r="A1511" s="21"/>
      <c r="B1511" s="21"/>
      <c r="C1511" s="21"/>
      <c r="D1511" s="21"/>
      <c r="E1511" s="21"/>
      <c r="F1511" s="91"/>
      <c r="G1511" s="21"/>
      <c r="H1511" s="21"/>
      <c r="I1511" s="21"/>
      <c r="J1511" s="9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</row>
    <row r="1512" spans="1:30" ht="13.2">
      <c r="A1512" s="21"/>
      <c r="B1512" s="21"/>
      <c r="C1512" s="21"/>
      <c r="D1512" s="21"/>
      <c r="E1512" s="21"/>
      <c r="F1512" s="91"/>
      <c r="G1512" s="21"/>
      <c r="H1512" s="21"/>
      <c r="I1512" s="21"/>
      <c r="J1512" s="9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</row>
    <row r="1513" spans="1:30" ht="13.2">
      <c r="A1513" s="21"/>
      <c r="B1513" s="21"/>
      <c r="C1513" s="21"/>
      <c r="D1513" s="21"/>
      <c r="E1513" s="21"/>
      <c r="F1513" s="91"/>
      <c r="G1513" s="21"/>
      <c r="H1513" s="21"/>
      <c r="I1513" s="21"/>
      <c r="J1513" s="9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</row>
    <row r="1514" spans="1:30" ht="13.2">
      <c r="A1514" s="21"/>
      <c r="B1514" s="21"/>
      <c r="C1514" s="21"/>
      <c r="D1514" s="21"/>
      <c r="E1514" s="21"/>
      <c r="F1514" s="91"/>
      <c r="G1514" s="21"/>
      <c r="H1514" s="21"/>
      <c r="I1514" s="21"/>
      <c r="J1514" s="9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</row>
    <row r="1515" spans="1:30" ht="13.2">
      <c r="A1515" s="21"/>
      <c r="B1515" s="21"/>
      <c r="C1515" s="21"/>
      <c r="D1515" s="21"/>
      <c r="E1515" s="21"/>
      <c r="F1515" s="91"/>
      <c r="G1515" s="21"/>
      <c r="H1515" s="21"/>
      <c r="I1515" s="21"/>
      <c r="J1515" s="9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</row>
    <row r="1516" spans="1:30" ht="13.2">
      <c r="A1516" s="21"/>
      <c r="B1516" s="21"/>
      <c r="C1516" s="21"/>
      <c r="D1516" s="21"/>
      <c r="E1516" s="21"/>
      <c r="F1516" s="91"/>
      <c r="G1516" s="21"/>
      <c r="H1516" s="21"/>
      <c r="I1516" s="21"/>
      <c r="J1516" s="9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</row>
    <row r="1517" spans="1:30" ht="13.2">
      <c r="A1517" s="21"/>
      <c r="B1517" s="21"/>
      <c r="C1517" s="21"/>
      <c r="D1517" s="21"/>
      <c r="E1517" s="21"/>
      <c r="F1517" s="91"/>
      <c r="G1517" s="21"/>
      <c r="H1517" s="21"/>
      <c r="I1517" s="21"/>
      <c r="J1517" s="9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</row>
    <row r="1518" spans="1:30" ht="13.2">
      <c r="A1518" s="21"/>
      <c r="B1518" s="21"/>
      <c r="C1518" s="21"/>
      <c r="D1518" s="21"/>
      <c r="E1518" s="21"/>
      <c r="F1518" s="91"/>
      <c r="G1518" s="21"/>
      <c r="H1518" s="21"/>
      <c r="I1518" s="21"/>
      <c r="J1518" s="9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</row>
    <row r="1519" spans="1:30" ht="13.2">
      <c r="A1519" s="21"/>
      <c r="B1519" s="21"/>
      <c r="C1519" s="21"/>
      <c r="D1519" s="21"/>
      <c r="E1519" s="21"/>
      <c r="F1519" s="91"/>
      <c r="G1519" s="21"/>
      <c r="H1519" s="21"/>
      <c r="I1519" s="21"/>
      <c r="J1519" s="9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</row>
    <row r="1520" spans="1:30" ht="13.2">
      <c r="A1520" s="21"/>
      <c r="B1520" s="21"/>
      <c r="C1520" s="21"/>
      <c r="D1520" s="21"/>
      <c r="E1520" s="21"/>
      <c r="F1520" s="91"/>
      <c r="G1520" s="21"/>
      <c r="H1520" s="21"/>
      <c r="I1520" s="21"/>
      <c r="J1520" s="9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</row>
    <row r="1521" spans="1:30" ht="13.2">
      <c r="A1521" s="21"/>
      <c r="B1521" s="21"/>
      <c r="C1521" s="21"/>
      <c r="D1521" s="21"/>
      <c r="E1521" s="21"/>
      <c r="F1521" s="91"/>
      <c r="G1521" s="21"/>
      <c r="H1521" s="21"/>
      <c r="I1521" s="21"/>
      <c r="J1521" s="9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</row>
    <row r="1522" spans="1:30" ht="13.2">
      <c r="A1522" s="21"/>
      <c r="B1522" s="21"/>
      <c r="C1522" s="21"/>
      <c r="D1522" s="21"/>
      <c r="E1522" s="21"/>
      <c r="F1522" s="91"/>
      <c r="G1522" s="21"/>
      <c r="H1522" s="21"/>
      <c r="I1522" s="21"/>
      <c r="J1522" s="9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</row>
    <row r="1523" spans="1:30" ht="13.2">
      <c r="A1523" s="21"/>
      <c r="B1523" s="21"/>
      <c r="C1523" s="21"/>
      <c r="D1523" s="21"/>
      <c r="E1523" s="21"/>
      <c r="F1523" s="91"/>
      <c r="G1523" s="21"/>
      <c r="H1523" s="21"/>
      <c r="I1523" s="21"/>
      <c r="J1523" s="9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</row>
    <row r="1524" spans="1:30" ht="13.2">
      <c r="A1524" s="21"/>
      <c r="B1524" s="21"/>
      <c r="C1524" s="21"/>
      <c r="D1524" s="21"/>
      <c r="E1524" s="21"/>
      <c r="F1524" s="91"/>
      <c r="G1524" s="21"/>
      <c r="H1524" s="21"/>
      <c r="I1524" s="21"/>
      <c r="J1524" s="9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</row>
    <row r="1525" spans="1:30" ht="13.2">
      <c r="A1525" s="21"/>
      <c r="B1525" s="21"/>
      <c r="C1525" s="21"/>
      <c r="D1525" s="21"/>
      <c r="E1525" s="21"/>
      <c r="F1525" s="91"/>
      <c r="G1525" s="21"/>
      <c r="H1525" s="21"/>
      <c r="I1525" s="21"/>
      <c r="J1525" s="9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</row>
    <row r="1526" spans="1:30" ht="13.2">
      <c r="A1526" s="21"/>
      <c r="B1526" s="21"/>
      <c r="C1526" s="21"/>
      <c r="D1526" s="21"/>
      <c r="E1526" s="21"/>
      <c r="F1526" s="91"/>
      <c r="G1526" s="21"/>
      <c r="H1526" s="21"/>
      <c r="I1526" s="21"/>
      <c r="J1526" s="9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</row>
    <row r="1527" spans="1:30" ht="13.2">
      <c r="A1527" s="21"/>
      <c r="B1527" s="21"/>
      <c r="C1527" s="21"/>
      <c r="D1527" s="21"/>
      <c r="E1527" s="21"/>
      <c r="F1527" s="91"/>
      <c r="G1527" s="21"/>
      <c r="H1527" s="21"/>
      <c r="I1527" s="21"/>
      <c r="J1527" s="9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</row>
    <row r="1528" spans="1:30" ht="13.2">
      <c r="A1528" s="21"/>
      <c r="B1528" s="21"/>
      <c r="C1528" s="21"/>
      <c r="D1528" s="21"/>
      <c r="E1528" s="21"/>
      <c r="F1528" s="91"/>
      <c r="G1528" s="21"/>
      <c r="H1528" s="21"/>
      <c r="I1528" s="21"/>
      <c r="J1528" s="9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</row>
    <row r="1529" spans="1:30" ht="13.2">
      <c r="A1529" s="21"/>
      <c r="B1529" s="21"/>
      <c r="C1529" s="21"/>
      <c r="D1529" s="21"/>
      <c r="E1529" s="21"/>
      <c r="F1529" s="91"/>
      <c r="G1529" s="21"/>
      <c r="H1529" s="21"/>
      <c r="I1529" s="21"/>
      <c r="J1529" s="9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</row>
    <row r="1530" spans="1:30" ht="13.2">
      <c r="A1530" s="21"/>
      <c r="B1530" s="21"/>
      <c r="C1530" s="21"/>
      <c r="D1530" s="21"/>
      <c r="E1530" s="21"/>
      <c r="F1530" s="91"/>
      <c r="G1530" s="21"/>
      <c r="H1530" s="21"/>
      <c r="I1530" s="21"/>
      <c r="J1530" s="9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</row>
    <row r="1531" spans="1:30" ht="13.2">
      <c r="A1531" s="21"/>
      <c r="B1531" s="21"/>
      <c r="C1531" s="21"/>
      <c r="D1531" s="21"/>
      <c r="E1531" s="21"/>
      <c r="F1531" s="91"/>
      <c r="G1531" s="21"/>
      <c r="H1531" s="21"/>
      <c r="I1531" s="21"/>
      <c r="J1531" s="9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</row>
    <row r="1532" spans="1:30" ht="13.2">
      <c r="A1532" s="21"/>
      <c r="B1532" s="21"/>
      <c r="C1532" s="21"/>
      <c r="D1532" s="21"/>
      <c r="E1532" s="21"/>
      <c r="F1532" s="91"/>
      <c r="G1532" s="21"/>
      <c r="H1532" s="21"/>
      <c r="I1532" s="21"/>
      <c r="J1532" s="9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</row>
    <row r="1533" spans="1:30" ht="13.2">
      <c r="A1533" s="21"/>
      <c r="B1533" s="21"/>
      <c r="C1533" s="21"/>
      <c r="D1533" s="21"/>
      <c r="E1533" s="21"/>
      <c r="F1533" s="91"/>
      <c r="G1533" s="21"/>
      <c r="H1533" s="21"/>
      <c r="I1533" s="21"/>
      <c r="J1533" s="9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</row>
    <row r="1534" spans="1:30" ht="13.2">
      <c r="A1534" s="21"/>
      <c r="B1534" s="21"/>
      <c r="C1534" s="21"/>
      <c r="D1534" s="21"/>
      <c r="E1534" s="21"/>
      <c r="F1534" s="91"/>
      <c r="G1534" s="21"/>
      <c r="H1534" s="21"/>
      <c r="I1534" s="21"/>
      <c r="J1534" s="9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</row>
    <row r="1535" spans="1:30" ht="13.2">
      <c r="A1535" s="21"/>
      <c r="B1535" s="21"/>
      <c r="C1535" s="21"/>
      <c r="D1535" s="21"/>
      <c r="E1535" s="21"/>
      <c r="F1535" s="91"/>
      <c r="G1535" s="21"/>
      <c r="H1535" s="21"/>
      <c r="I1535" s="21"/>
      <c r="J1535" s="9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</row>
    <row r="1536" spans="1:30" ht="13.2">
      <c r="A1536" s="21"/>
      <c r="B1536" s="21"/>
      <c r="C1536" s="21"/>
      <c r="D1536" s="21"/>
      <c r="E1536" s="21"/>
      <c r="F1536" s="91"/>
      <c r="G1536" s="21"/>
      <c r="H1536" s="21"/>
      <c r="I1536" s="21"/>
      <c r="J1536" s="9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</row>
    <row r="1537" spans="1:30" ht="13.2">
      <c r="A1537" s="21"/>
      <c r="B1537" s="21"/>
      <c r="C1537" s="21"/>
      <c r="D1537" s="21"/>
      <c r="E1537" s="21"/>
      <c r="F1537" s="91"/>
      <c r="G1537" s="21"/>
      <c r="H1537" s="21"/>
      <c r="I1537" s="21"/>
      <c r="J1537" s="9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</row>
    <row r="1538" spans="1:30" ht="13.2">
      <c r="A1538" s="21"/>
      <c r="B1538" s="21"/>
      <c r="C1538" s="21"/>
      <c r="D1538" s="21"/>
      <c r="E1538" s="21"/>
      <c r="F1538" s="91"/>
      <c r="G1538" s="21"/>
      <c r="H1538" s="21"/>
      <c r="I1538" s="21"/>
      <c r="J1538" s="9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</row>
    <row r="1539" spans="1:30" ht="13.2">
      <c r="A1539" s="21"/>
      <c r="B1539" s="21"/>
      <c r="C1539" s="21"/>
      <c r="D1539" s="21"/>
      <c r="E1539" s="21"/>
      <c r="F1539" s="91"/>
      <c r="G1539" s="21"/>
      <c r="H1539" s="21"/>
      <c r="I1539" s="21"/>
      <c r="J1539" s="9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</row>
    <row r="1540" spans="1:30" ht="13.2">
      <c r="A1540" s="21"/>
      <c r="B1540" s="21"/>
      <c r="C1540" s="21"/>
      <c r="D1540" s="21"/>
      <c r="E1540" s="21"/>
      <c r="F1540" s="91"/>
      <c r="G1540" s="21"/>
      <c r="H1540" s="21"/>
      <c r="I1540" s="21"/>
      <c r="J1540" s="9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</row>
    <row r="1541" spans="1:30" ht="13.2">
      <c r="A1541" s="21"/>
      <c r="B1541" s="21"/>
      <c r="C1541" s="21"/>
      <c r="D1541" s="21"/>
      <c r="E1541" s="21"/>
      <c r="F1541" s="91"/>
      <c r="G1541" s="21"/>
      <c r="H1541" s="21"/>
      <c r="I1541" s="21"/>
      <c r="J1541" s="9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</row>
    <row r="1542" spans="1:30" ht="13.2">
      <c r="A1542" s="21"/>
      <c r="B1542" s="21"/>
      <c r="C1542" s="21"/>
      <c r="D1542" s="21"/>
      <c r="E1542" s="21"/>
      <c r="F1542" s="91"/>
      <c r="G1542" s="21"/>
      <c r="H1542" s="21"/>
      <c r="I1542" s="21"/>
      <c r="J1542" s="9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</row>
    <row r="1543" spans="1:30" ht="13.2">
      <c r="A1543" s="21"/>
      <c r="B1543" s="21"/>
      <c r="C1543" s="21"/>
      <c r="D1543" s="21"/>
      <c r="E1543" s="21"/>
      <c r="F1543" s="91"/>
      <c r="G1543" s="21"/>
      <c r="H1543" s="21"/>
      <c r="I1543" s="21"/>
      <c r="J1543" s="9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</row>
    <row r="1544" spans="1:30" ht="13.2">
      <c r="A1544" s="21"/>
      <c r="B1544" s="21"/>
      <c r="C1544" s="21"/>
      <c r="D1544" s="21"/>
      <c r="E1544" s="21"/>
      <c r="F1544" s="91"/>
      <c r="G1544" s="21"/>
      <c r="H1544" s="21"/>
      <c r="I1544" s="21"/>
      <c r="J1544" s="9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</row>
    <row r="1545" spans="1:30" ht="13.2">
      <c r="A1545" s="21"/>
      <c r="B1545" s="21"/>
      <c r="C1545" s="21"/>
      <c r="D1545" s="21"/>
      <c r="E1545" s="21"/>
      <c r="F1545" s="91"/>
      <c r="G1545" s="21"/>
      <c r="H1545" s="21"/>
      <c r="I1545" s="21"/>
      <c r="J1545" s="9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</row>
    <row r="1546" spans="1:30" ht="13.2">
      <c r="A1546" s="21"/>
      <c r="B1546" s="21"/>
      <c r="C1546" s="21"/>
      <c r="D1546" s="21"/>
      <c r="E1546" s="21"/>
      <c r="F1546" s="91"/>
      <c r="G1546" s="21"/>
      <c r="H1546" s="21"/>
      <c r="I1546" s="21"/>
      <c r="J1546" s="9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</row>
    <row r="1547" spans="1:30" ht="13.2">
      <c r="A1547" s="21"/>
      <c r="B1547" s="21"/>
      <c r="C1547" s="21"/>
      <c r="D1547" s="21"/>
      <c r="E1547" s="21"/>
      <c r="F1547" s="91"/>
      <c r="G1547" s="21"/>
      <c r="H1547" s="21"/>
      <c r="I1547" s="21"/>
      <c r="J1547" s="9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</row>
    <row r="1548" spans="1:30" ht="13.2">
      <c r="A1548" s="21"/>
      <c r="B1548" s="21"/>
      <c r="C1548" s="21"/>
      <c r="D1548" s="21"/>
      <c r="E1548" s="21"/>
      <c r="F1548" s="91"/>
      <c r="G1548" s="21"/>
      <c r="H1548" s="21"/>
      <c r="I1548" s="21"/>
      <c r="J1548" s="9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</row>
    <row r="1549" spans="1:30" ht="13.2">
      <c r="A1549" s="21"/>
      <c r="B1549" s="21"/>
      <c r="C1549" s="21"/>
      <c r="D1549" s="21"/>
      <c r="E1549" s="21"/>
      <c r="F1549" s="91"/>
      <c r="G1549" s="21"/>
      <c r="H1549" s="21"/>
      <c r="I1549" s="21"/>
      <c r="J1549" s="9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</row>
    <row r="1550" spans="1:30" ht="13.2">
      <c r="A1550" s="21"/>
      <c r="B1550" s="21"/>
      <c r="C1550" s="21"/>
      <c r="D1550" s="21"/>
      <c r="E1550" s="21"/>
      <c r="F1550" s="91"/>
      <c r="G1550" s="21"/>
      <c r="H1550" s="21"/>
      <c r="I1550" s="21"/>
      <c r="J1550" s="9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</row>
    <row r="1551" spans="1:30" ht="13.2">
      <c r="A1551" s="21"/>
      <c r="B1551" s="21"/>
      <c r="C1551" s="21"/>
      <c r="D1551" s="21"/>
      <c r="E1551" s="21"/>
      <c r="F1551" s="91"/>
      <c r="G1551" s="21"/>
      <c r="H1551" s="21"/>
      <c r="I1551" s="21"/>
      <c r="J1551" s="9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</row>
    <row r="1552" spans="1:30" ht="13.2">
      <c r="A1552" s="21"/>
      <c r="B1552" s="21"/>
      <c r="C1552" s="21"/>
      <c r="D1552" s="21"/>
      <c r="E1552" s="21"/>
      <c r="F1552" s="91"/>
      <c r="G1552" s="21"/>
      <c r="H1552" s="21"/>
      <c r="I1552" s="21"/>
      <c r="J1552" s="9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</row>
    <row r="1553" spans="1:30" ht="13.2">
      <c r="A1553" s="21"/>
      <c r="B1553" s="21"/>
      <c r="C1553" s="21"/>
      <c r="D1553" s="21"/>
      <c r="E1553" s="21"/>
      <c r="F1553" s="91"/>
      <c r="G1553" s="21"/>
      <c r="H1553" s="21"/>
      <c r="I1553" s="21"/>
      <c r="J1553" s="9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</row>
    <row r="1554" spans="1:30" ht="13.2">
      <c r="A1554" s="21"/>
      <c r="B1554" s="21"/>
      <c r="C1554" s="21"/>
      <c r="D1554" s="21"/>
      <c r="E1554" s="21"/>
      <c r="F1554" s="91"/>
      <c r="G1554" s="21"/>
      <c r="H1554" s="21"/>
      <c r="I1554" s="21"/>
      <c r="J1554" s="9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</row>
    <row r="1555" spans="1:30" ht="13.2">
      <c r="A1555" s="21"/>
      <c r="B1555" s="21"/>
      <c r="C1555" s="21"/>
      <c r="D1555" s="21"/>
      <c r="E1555" s="21"/>
      <c r="F1555" s="91"/>
      <c r="G1555" s="21"/>
      <c r="H1555" s="21"/>
      <c r="I1555" s="21"/>
      <c r="J1555" s="9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</row>
    <row r="1556" spans="1:30" ht="13.2">
      <c r="A1556" s="21"/>
      <c r="B1556" s="21"/>
      <c r="C1556" s="21"/>
      <c r="D1556" s="21"/>
      <c r="E1556" s="21"/>
      <c r="F1556" s="91"/>
      <c r="G1556" s="21"/>
      <c r="H1556" s="21"/>
      <c r="I1556" s="21"/>
      <c r="J1556" s="9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</row>
    <row r="1557" spans="1:30" ht="13.2">
      <c r="A1557" s="21"/>
      <c r="B1557" s="21"/>
      <c r="C1557" s="21"/>
      <c r="D1557" s="21"/>
      <c r="E1557" s="21"/>
      <c r="F1557" s="91"/>
      <c r="G1557" s="21"/>
      <c r="H1557" s="21"/>
      <c r="I1557" s="21"/>
      <c r="J1557" s="9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</row>
    <row r="1558" spans="1:30" ht="13.2">
      <c r="A1558" s="21"/>
      <c r="B1558" s="21"/>
      <c r="C1558" s="21"/>
      <c r="D1558" s="21"/>
      <c r="E1558" s="21"/>
      <c r="F1558" s="91"/>
      <c r="G1558" s="21"/>
      <c r="H1558" s="21"/>
      <c r="I1558" s="21"/>
      <c r="J1558" s="9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</row>
    <row r="1559" spans="1:30" ht="13.2">
      <c r="A1559" s="21"/>
      <c r="B1559" s="21"/>
      <c r="C1559" s="21"/>
      <c r="D1559" s="21"/>
      <c r="E1559" s="21"/>
      <c r="F1559" s="91"/>
      <c r="G1559" s="21"/>
      <c r="H1559" s="21"/>
      <c r="I1559" s="21"/>
      <c r="J1559" s="9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</row>
    <row r="1560" spans="1:30" ht="13.2">
      <c r="A1560" s="21"/>
      <c r="B1560" s="21"/>
      <c r="C1560" s="21"/>
      <c r="D1560" s="21"/>
      <c r="E1560" s="21"/>
      <c r="F1560" s="91"/>
      <c r="G1560" s="21"/>
      <c r="H1560" s="21"/>
      <c r="I1560" s="21"/>
      <c r="J1560" s="9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</row>
    <row r="1561" spans="1:30" ht="13.2">
      <c r="A1561" s="21"/>
      <c r="B1561" s="21"/>
      <c r="C1561" s="21"/>
      <c r="D1561" s="21"/>
      <c r="E1561" s="21"/>
      <c r="F1561" s="91"/>
      <c r="G1561" s="21"/>
      <c r="H1561" s="21"/>
      <c r="I1561" s="21"/>
      <c r="J1561" s="9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</row>
    <row r="1562" spans="1:30" ht="13.2">
      <c r="A1562" s="21"/>
      <c r="B1562" s="21"/>
      <c r="C1562" s="21"/>
      <c r="D1562" s="21"/>
      <c r="E1562" s="21"/>
      <c r="F1562" s="91"/>
      <c r="G1562" s="21"/>
      <c r="H1562" s="21"/>
      <c r="I1562" s="21"/>
      <c r="J1562" s="9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</row>
    <row r="1563" spans="1:30" ht="13.2">
      <c r="A1563" s="21"/>
      <c r="B1563" s="21"/>
      <c r="C1563" s="21"/>
      <c r="D1563" s="21"/>
      <c r="E1563" s="21"/>
      <c r="F1563" s="91"/>
      <c r="G1563" s="21"/>
      <c r="H1563" s="21"/>
      <c r="I1563" s="21"/>
      <c r="J1563" s="9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</row>
    <row r="1564" spans="1:30" ht="13.2">
      <c r="A1564" s="21"/>
      <c r="B1564" s="21"/>
      <c r="C1564" s="21"/>
      <c r="D1564" s="21"/>
      <c r="E1564" s="21"/>
      <c r="F1564" s="91"/>
      <c r="G1564" s="21"/>
      <c r="H1564" s="21"/>
      <c r="I1564" s="21"/>
      <c r="J1564" s="9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</row>
    <row r="1565" spans="1:30" ht="13.2">
      <c r="A1565" s="21"/>
      <c r="B1565" s="21"/>
      <c r="C1565" s="21"/>
      <c r="D1565" s="21"/>
      <c r="E1565" s="21"/>
      <c r="F1565" s="91"/>
      <c r="G1565" s="21"/>
      <c r="H1565" s="21"/>
      <c r="I1565" s="21"/>
      <c r="J1565" s="9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</row>
    <row r="1566" spans="1:30" ht="13.2">
      <c r="A1566" s="21"/>
      <c r="B1566" s="21"/>
      <c r="C1566" s="21"/>
      <c r="D1566" s="21"/>
      <c r="E1566" s="21"/>
      <c r="F1566" s="91"/>
      <c r="G1566" s="21"/>
      <c r="H1566" s="21"/>
      <c r="I1566" s="21"/>
      <c r="J1566" s="9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</row>
    <row r="1567" spans="1:30" ht="13.2">
      <c r="A1567" s="21"/>
      <c r="B1567" s="21"/>
      <c r="C1567" s="21"/>
      <c r="D1567" s="21"/>
      <c r="E1567" s="21"/>
      <c r="F1567" s="91"/>
      <c r="G1567" s="21"/>
      <c r="H1567" s="21"/>
      <c r="I1567" s="21"/>
      <c r="J1567" s="9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</row>
    <row r="1568" spans="1:30" ht="13.2">
      <c r="A1568" s="21"/>
      <c r="B1568" s="21"/>
      <c r="C1568" s="21"/>
      <c r="D1568" s="21"/>
      <c r="E1568" s="21"/>
      <c r="F1568" s="91"/>
      <c r="G1568" s="21"/>
      <c r="H1568" s="21"/>
      <c r="I1568" s="21"/>
      <c r="J1568" s="9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</row>
    <row r="1569" spans="1:30" ht="13.2">
      <c r="A1569" s="21"/>
      <c r="B1569" s="21"/>
      <c r="C1569" s="21"/>
      <c r="D1569" s="21"/>
      <c r="E1569" s="21"/>
      <c r="F1569" s="91"/>
      <c r="G1569" s="21"/>
      <c r="H1569" s="21"/>
      <c r="I1569" s="21"/>
      <c r="J1569" s="9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</row>
    <row r="1570" spans="1:30" ht="13.2">
      <c r="A1570" s="21"/>
      <c r="B1570" s="21"/>
      <c r="C1570" s="21"/>
      <c r="D1570" s="21"/>
      <c r="E1570" s="21"/>
      <c r="F1570" s="91"/>
      <c r="G1570" s="21"/>
      <c r="H1570" s="21"/>
      <c r="I1570" s="21"/>
      <c r="J1570" s="9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</row>
    <row r="1571" spans="1:30" ht="13.2">
      <c r="A1571" s="21"/>
      <c r="B1571" s="21"/>
      <c r="C1571" s="21"/>
      <c r="D1571" s="21"/>
      <c r="E1571" s="21"/>
      <c r="F1571" s="91"/>
      <c r="G1571" s="21"/>
      <c r="H1571" s="21"/>
      <c r="I1571" s="21"/>
      <c r="J1571" s="9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</row>
    <row r="1572" spans="1:30" ht="13.2">
      <c r="A1572" s="21"/>
      <c r="B1572" s="21"/>
      <c r="C1572" s="21"/>
      <c r="D1572" s="21"/>
      <c r="E1572" s="21"/>
      <c r="F1572" s="91"/>
      <c r="G1572" s="21"/>
      <c r="H1572" s="21"/>
      <c r="I1572" s="21"/>
      <c r="J1572" s="9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</row>
    <row r="1573" spans="1:30" ht="13.2">
      <c r="A1573" s="21"/>
      <c r="B1573" s="21"/>
      <c r="C1573" s="21"/>
      <c r="D1573" s="21"/>
      <c r="E1573" s="21"/>
      <c r="F1573" s="91"/>
      <c r="G1573" s="21"/>
      <c r="H1573" s="21"/>
      <c r="I1573" s="21"/>
      <c r="J1573" s="9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</row>
    <row r="1574" spans="1:30" ht="13.2">
      <c r="A1574" s="21"/>
      <c r="B1574" s="21"/>
      <c r="C1574" s="21"/>
      <c r="D1574" s="21"/>
      <c r="E1574" s="21"/>
      <c r="F1574" s="91"/>
      <c r="G1574" s="21"/>
      <c r="H1574" s="21"/>
      <c r="I1574" s="21"/>
      <c r="J1574" s="9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</row>
    <row r="1575" spans="1:30" ht="13.2">
      <c r="A1575" s="21"/>
      <c r="B1575" s="21"/>
      <c r="C1575" s="21"/>
      <c r="D1575" s="21"/>
      <c r="E1575" s="21"/>
      <c r="F1575" s="91"/>
      <c r="G1575" s="21"/>
      <c r="H1575" s="21"/>
      <c r="I1575" s="21"/>
      <c r="J1575" s="9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</row>
    <row r="1576" spans="1:30" ht="13.2">
      <c r="A1576" s="21"/>
      <c r="B1576" s="21"/>
      <c r="C1576" s="21"/>
      <c r="D1576" s="21"/>
      <c r="E1576" s="21"/>
      <c r="F1576" s="91"/>
      <c r="G1576" s="21"/>
      <c r="H1576" s="21"/>
      <c r="I1576" s="21"/>
      <c r="J1576" s="9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</row>
    <row r="1577" spans="1:30" ht="13.2">
      <c r="A1577" s="21"/>
      <c r="B1577" s="21"/>
      <c r="C1577" s="21"/>
      <c r="D1577" s="21"/>
      <c r="E1577" s="21"/>
      <c r="F1577" s="91"/>
      <c r="G1577" s="21"/>
      <c r="H1577" s="21"/>
      <c r="I1577" s="21"/>
      <c r="J1577" s="9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</row>
    <row r="1578" spans="1:30" ht="13.2">
      <c r="A1578" s="21"/>
      <c r="B1578" s="21"/>
      <c r="C1578" s="21"/>
      <c r="D1578" s="21"/>
      <c r="E1578" s="21"/>
      <c r="F1578" s="91"/>
      <c r="G1578" s="21"/>
      <c r="H1578" s="21"/>
      <c r="I1578" s="21"/>
      <c r="J1578" s="9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</row>
    <row r="1579" spans="1:30" ht="13.2">
      <c r="A1579" s="21"/>
      <c r="B1579" s="21"/>
      <c r="C1579" s="21"/>
      <c r="D1579" s="21"/>
      <c r="E1579" s="21"/>
      <c r="F1579" s="91"/>
      <c r="G1579" s="21"/>
      <c r="H1579" s="21"/>
      <c r="I1579" s="21"/>
      <c r="J1579" s="9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</row>
    <row r="1580" spans="1:30" ht="13.2">
      <c r="A1580" s="21"/>
      <c r="B1580" s="21"/>
      <c r="C1580" s="21"/>
      <c r="D1580" s="21"/>
      <c r="E1580" s="21"/>
      <c r="F1580" s="91"/>
      <c r="G1580" s="21"/>
      <c r="H1580" s="21"/>
      <c r="I1580" s="21"/>
      <c r="J1580" s="9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</row>
    <row r="1581" spans="1:30" ht="13.2">
      <c r="A1581" s="21"/>
      <c r="B1581" s="21"/>
      <c r="C1581" s="21"/>
      <c r="D1581" s="21"/>
      <c r="E1581" s="21"/>
      <c r="F1581" s="91"/>
      <c r="G1581" s="21"/>
      <c r="H1581" s="21"/>
      <c r="I1581" s="21"/>
      <c r="J1581" s="9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</row>
    <row r="1582" spans="1:30" ht="13.2">
      <c r="A1582" s="21"/>
      <c r="B1582" s="21"/>
      <c r="C1582" s="21"/>
      <c r="D1582" s="21"/>
      <c r="E1582" s="21"/>
      <c r="F1582" s="91"/>
      <c r="G1582" s="21"/>
      <c r="H1582" s="21"/>
      <c r="I1582" s="21"/>
      <c r="J1582" s="9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</row>
    <row r="1583" spans="1:30" ht="13.2">
      <c r="A1583" s="21"/>
      <c r="B1583" s="21"/>
      <c r="C1583" s="21"/>
      <c r="D1583" s="21"/>
      <c r="E1583" s="21"/>
      <c r="F1583" s="91"/>
      <c r="G1583" s="21"/>
      <c r="H1583" s="21"/>
      <c r="I1583" s="21"/>
      <c r="J1583" s="9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</row>
    <row r="1584" spans="1:30" ht="13.2">
      <c r="A1584" s="21"/>
      <c r="B1584" s="21"/>
      <c r="C1584" s="21"/>
      <c r="D1584" s="21"/>
      <c r="E1584" s="21"/>
      <c r="F1584" s="91"/>
      <c r="G1584" s="21"/>
      <c r="H1584" s="21"/>
      <c r="I1584" s="21"/>
      <c r="J1584" s="9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</row>
    <row r="1585" spans="1:30" ht="13.2">
      <c r="A1585" s="21"/>
      <c r="B1585" s="21"/>
      <c r="C1585" s="21"/>
      <c r="D1585" s="21"/>
      <c r="E1585" s="21"/>
      <c r="F1585" s="91"/>
      <c r="G1585" s="21"/>
      <c r="H1585" s="21"/>
      <c r="I1585" s="21"/>
      <c r="J1585" s="9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</row>
    <row r="1586" spans="1:30" ht="13.2">
      <c r="A1586" s="21"/>
      <c r="B1586" s="21"/>
      <c r="C1586" s="21"/>
      <c r="D1586" s="21"/>
      <c r="E1586" s="21"/>
      <c r="F1586" s="91"/>
      <c r="G1586" s="21"/>
      <c r="H1586" s="21"/>
      <c r="I1586" s="21"/>
      <c r="J1586" s="9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</row>
    <row r="1587" spans="1:30" ht="13.2">
      <c r="A1587" s="21"/>
      <c r="B1587" s="21"/>
      <c r="C1587" s="21"/>
      <c r="D1587" s="21"/>
      <c r="E1587" s="21"/>
      <c r="F1587" s="91"/>
      <c r="G1587" s="21"/>
      <c r="H1587" s="21"/>
      <c r="I1587" s="21"/>
      <c r="J1587" s="9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</row>
    <row r="1588" spans="1:30" ht="13.2">
      <c r="A1588" s="21"/>
      <c r="B1588" s="21"/>
      <c r="C1588" s="21"/>
      <c r="D1588" s="21"/>
      <c r="E1588" s="21"/>
      <c r="F1588" s="91"/>
      <c r="G1588" s="21"/>
      <c r="H1588" s="21"/>
      <c r="I1588" s="21"/>
      <c r="J1588" s="9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</row>
    <row r="1589" spans="1:30" ht="13.2">
      <c r="A1589" s="21"/>
      <c r="B1589" s="21"/>
      <c r="C1589" s="21"/>
      <c r="D1589" s="21"/>
      <c r="E1589" s="21"/>
      <c r="F1589" s="91"/>
      <c r="G1589" s="21"/>
      <c r="H1589" s="21"/>
      <c r="I1589" s="21"/>
      <c r="J1589" s="9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</row>
    <row r="1590" spans="1:30" ht="13.2">
      <c r="A1590" s="21"/>
      <c r="B1590" s="21"/>
      <c r="C1590" s="21"/>
      <c r="D1590" s="21"/>
      <c r="E1590" s="21"/>
      <c r="F1590" s="91"/>
      <c r="G1590" s="21"/>
      <c r="H1590" s="21"/>
      <c r="I1590" s="21"/>
      <c r="J1590" s="9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</row>
    <row r="1591" spans="1:30" ht="13.2">
      <c r="A1591" s="21"/>
      <c r="B1591" s="21"/>
      <c r="C1591" s="21"/>
      <c r="D1591" s="21"/>
      <c r="E1591" s="21"/>
      <c r="F1591" s="91"/>
      <c r="G1591" s="21"/>
      <c r="H1591" s="21"/>
      <c r="I1591" s="21"/>
      <c r="J1591" s="9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</row>
    <row r="1592" spans="1:30" ht="13.2">
      <c r="A1592" s="21"/>
      <c r="B1592" s="21"/>
      <c r="C1592" s="21"/>
      <c r="D1592" s="21"/>
      <c r="E1592" s="21"/>
      <c r="F1592" s="91"/>
      <c r="G1592" s="21"/>
      <c r="H1592" s="21"/>
      <c r="I1592" s="21"/>
      <c r="J1592" s="9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</row>
    <row r="1593" spans="1:30" ht="13.2">
      <c r="A1593" s="21"/>
      <c r="B1593" s="21"/>
      <c r="C1593" s="21"/>
      <c r="D1593" s="21"/>
      <c r="E1593" s="21"/>
      <c r="F1593" s="91"/>
      <c r="G1593" s="21"/>
      <c r="H1593" s="21"/>
      <c r="I1593" s="21"/>
      <c r="J1593" s="9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</row>
    <row r="1594" spans="1:30" ht="13.2">
      <c r="A1594" s="21"/>
      <c r="B1594" s="21"/>
      <c r="C1594" s="21"/>
      <c r="D1594" s="21"/>
      <c r="E1594" s="21"/>
      <c r="F1594" s="91"/>
      <c r="G1594" s="21"/>
      <c r="H1594" s="21"/>
      <c r="I1594" s="21"/>
      <c r="J1594" s="9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</row>
    <row r="1595" spans="1:30" ht="13.2">
      <c r="A1595" s="21"/>
      <c r="B1595" s="21"/>
      <c r="C1595" s="21"/>
      <c r="D1595" s="21"/>
      <c r="E1595" s="21"/>
      <c r="F1595" s="91"/>
      <c r="G1595" s="21"/>
      <c r="H1595" s="21"/>
      <c r="I1595" s="21"/>
      <c r="J1595" s="9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</row>
    <row r="1596" spans="1:30" ht="13.2">
      <c r="A1596" s="21"/>
      <c r="B1596" s="21"/>
      <c r="C1596" s="21"/>
      <c r="D1596" s="21"/>
      <c r="E1596" s="21"/>
      <c r="F1596" s="91"/>
      <c r="G1596" s="21"/>
      <c r="H1596" s="21"/>
      <c r="I1596" s="21"/>
      <c r="J1596" s="9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</row>
    <row r="1597" spans="1:30" ht="13.2">
      <c r="A1597" s="21"/>
      <c r="B1597" s="21"/>
      <c r="C1597" s="21"/>
      <c r="D1597" s="21"/>
      <c r="E1597" s="21"/>
      <c r="F1597" s="91"/>
      <c r="G1597" s="21"/>
      <c r="H1597" s="21"/>
      <c r="I1597" s="21"/>
      <c r="J1597" s="9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</row>
    <row r="1598" spans="1:30" ht="13.2">
      <c r="A1598" s="21"/>
      <c r="B1598" s="21"/>
      <c r="C1598" s="21"/>
      <c r="D1598" s="21"/>
      <c r="E1598" s="21"/>
      <c r="F1598" s="91"/>
      <c r="G1598" s="21"/>
      <c r="H1598" s="21"/>
      <c r="I1598" s="21"/>
      <c r="J1598" s="9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</row>
    <row r="1599" spans="1:30" ht="13.2">
      <c r="A1599" s="21"/>
      <c r="B1599" s="21"/>
      <c r="C1599" s="21"/>
      <c r="D1599" s="21"/>
      <c r="E1599" s="21"/>
      <c r="F1599" s="91"/>
      <c r="G1599" s="21"/>
      <c r="H1599" s="21"/>
      <c r="I1599" s="21"/>
      <c r="J1599" s="9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</row>
    <row r="1600" spans="1:30" ht="13.2">
      <c r="A1600" s="21"/>
      <c r="B1600" s="21"/>
      <c r="C1600" s="21"/>
      <c r="D1600" s="21"/>
      <c r="E1600" s="21"/>
      <c r="F1600" s="91"/>
      <c r="G1600" s="21"/>
      <c r="H1600" s="21"/>
      <c r="I1600" s="21"/>
      <c r="J1600" s="9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</row>
    <row r="1601" spans="1:30" ht="13.2">
      <c r="A1601" s="21"/>
      <c r="B1601" s="21"/>
      <c r="C1601" s="21"/>
      <c r="D1601" s="21"/>
      <c r="E1601" s="21"/>
      <c r="F1601" s="91"/>
      <c r="G1601" s="21"/>
      <c r="H1601" s="21"/>
      <c r="I1601" s="21"/>
      <c r="J1601" s="9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</row>
    <row r="1602" spans="1:30" ht="13.2">
      <c r="A1602" s="21"/>
      <c r="B1602" s="21"/>
      <c r="C1602" s="21"/>
      <c r="D1602" s="21"/>
      <c r="E1602" s="21"/>
      <c r="F1602" s="91"/>
      <c r="G1602" s="21"/>
      <c r="H1602" s="21"/>
      <c r="I1602" s="21"/>
      <c r="J1602" s="9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</row>
    <row r="1603" spans="1:30" ht="13.2">
      <c r="A1603" s="21"/>
      <c r="B1603" s="21"/>
      <c r="C1603" s="21"/>
      <c r="D1603" s="21"/>
      <c r="E1603" s="21"/>
      <c r="F1603" s="91"/>
      <c r="G1603" s="21"/>
      <c r="H1603" s="21"/>
      <c r="I1603" s="21"/>
      <c r="J1603" s="9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</row>
    <row r="1604" spans="1:30" ht="13.2">
      <c r="A1604" s="21"/>
      <c r="B1604" s="21"/>
      <c r="C1604" s="21"/>
      <c r="D1604" s="21"/>
      <c r="E1604" s="21"/>
      <c r="F1604" s="91"/>
      <c r="G1604" s="21"/>
      <c r="H1604" s="21"/>
      <c r="I1604" s="21"/>
      <c r="J1604" s="9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</row>
    <row r="1605" spans="1:30" ht="13.2">
      <c r="A1605" s="21"/>
      <c r="B1605" s="21"/>
      <c r="C1605" s="21"/>
      <c r="D1605" s="21"/>
      <c r="E1605" s="21"/>
      <c r="F1605" s="91"/>
      <c r="G1605" s="21"/>
      <c r="H1605" s="21"/>
      <c r="I1605" s="21"/>
      <c r="J1605" s="9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</row>
    <row r="1606" spans="1:30" ht="13.2">
      <c r="A1606" s="21"/>
      <c r="B1606" s="21"/>
      <c r="C1606" s="21"/>
      <c r="D1606" s="21"/>
      <c r="E1606" s="21"/>
      <c r="F1606" s="91"/>
      <c r="G1606" s="21"/>
      <c r="H1606" s="21"/>
      <c r="I1606" s="21"/>
      <c r="J1606" s="9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</row>
    <row r="1607" spans="1:30" ht="13.2">
      <c r="A1607" s="21"/>
      <c r="B1607" s="21"/>
      <c r="C1607" s="21"/>
      <c r="D1607" s="21"/>
      <c r="E1607" s="21"/>
      <c r="F1607" s="91"/>
      <c r="G1607" s="21"/>
      <c r="H1607" s="21"/>
      <c r="I1607" s="21"/>
      <c r="J1607" s="9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</row>
    <row r="1608" spans="1:30" ht="13.2">
      <c r="A1608" s="21"/>
      <c r="B1608" s="21"/>
      <c r="C1608" s="21"/>
      <c r="D1608" s="21"/>
      <c r="E1608" s="21"/>
      <c r="F1608" s="91"/>
      <c r="G1608" s="21"/>
      <c r="H1608" s="21"/>
      <c r="I1608" s="21"/>
      <c r="J1608" s="9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</row>
    <row r="1609" spans="1:30" ht="13.2">
      <c r="A1609" s="21"/>
      <c r="B1609" s="21"/>
      <c r="C1609" s="21"/>
      <c r="D1609" s="21"/>
      <c r="E1609" s="21"/>
      <c r="F1609" s="91"/>
      <c r="G1609" s="21"/>
      <c r="H1609" s="21"/>
      <c r="I1609" s="21"/>
      <c r="J1609" s="9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</row>
    <row r="1610" spans="1:30" ht="13.2">
      <c r="A1610" s="21"/>
      <c r="B1610" s="21"/>
      <c r="C1610" s="21"/>
      <c r="D1610" s="21"/>
      <c r="E1610" s="21"/>
      <c r="F1610" s="91"/>
      <c r="G1610" s="21"/>
      <c r="H1610" s="21"/>
      <c r="I1610" s="21"/>
      <c r="J1610" s="9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</row>
    <row r="1611" spans="1:30" ht="13.2">
      <c r="A1611" s="21"/>
      <c r="B1611" s="21"/>
      <c r="C1611" s="21"/>
      <c r="D1611" s="21"/>
      <c r="E1611" s="21"/>
      <c r="F1611" s="91"/>
      <c r="G1611" s="21"/>
      <c r="H1611" s="21"/>
      <c r="I1611" s="21"/>
      <c r="J1611" s="9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</row>
    <row r="1612" spans="1:30" ht="13.2">
      <c r="A1612" s="21"/>
      <c r="B1612" s="21"/>
      <c r="C1612" s="21"/>
      <c r="D1612" s="21"/>
      <c r="E1612" s="21"/>
      <c r="F1612" s="91"/>
      <c r="G1612" s="21"/>
      <c r="H1612" s="21"/>
      <c r="I1612" s="21"/>
      <c r="J1612" s="9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</row>
    <row r="1613" spans="1:30" ht="13.2">
      <c r="A1613" s="21"/>
      <c r="B1613" s="21"/>
      <c r="C1613" s="21"/>
      <c r="D1613" s="21"/>
      <c r="E1613" s="21"/>
      <c r="F1613" s="91"/>
      <c r="G1613" s="21"/>
      <c r="H1613" s="21"/>
      <c r="I1613" s="21"/>
      <c r="J1613" s="9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</row>
    <row r="1614" spans="1:30" ht="13.2">
      <c r="A1614" s="21"/>
      <c r="B1614" s="21"/>
      <c r="C1614" s="21"/>
      <c r="D1614" s="21"/>
      <c r="E1614" s="21"/>
      <c r="F1614" s="91"/>
      <c r="G1614" s="21"/>
      <c r="H1614" s="21"/>
      <c r="I1614" s="21"/>
      <c r="J1614" s="9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</row>
    <row r="1615" spans="1:30" ht="13.2">
      <c r="A1615" s="21"/>
      <c r="B1615" s="21"/>
      <c r="C1615" s="21"/>
      <c r="D1615" s="21"/>
      <c r="E1615" s="21"/>
      <c r="F1615" s="91"/>
      <c r="G1615" s="21"/>
      <c r="H1615" s="21"/>
      <c r="I1615" s="21"/>
      <c r="J1615" s="9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</row>
    <row r="1616" spans="1:30" ht="13.2">
      <c r="A1616" s="21"/>
      <c r="B1616" s="21"/>
      <c r="C1616" s="21"/>
      <c r="D1616" s="21"/>
      <c r="E1616" s="21"/>
      <c r="F1616" s="91"/>
      <c r="G1616" s="21"/>
      <c r="H1616" s="21"/>
      <c r="I1616" s="21"/>
      <c r="J1616" s="9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</row>
    <row r="1617" spans="1:30" ht="13.2">
      <c r="A1617" s="21"/>
      <c r="B1617" s="21"/>
      <c r="C1617" s="21"/>
      <c r="D1617" s="21"/>
      <c r="E1617" s="21"/>
      <c r="F1617" s="91"/>
      <c r="G1617" s="21"/>
      <c r="H1617" s="21"/>
      <c r="I1617" s="21"/>
      <c r="J1617" s="9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</row>
    <row r="1618" spans="1:30" ht="13.2">
      <c r="A1618" s="21"/>
      <c r="B1618" s="21"/>
      <c r="C1618" s="21"/>
      <c r="D1618" s="21"/>
      <c r="E1618" s="21"/>
      <c r="F1618" s="91"/>
      <c r="G1618" s="21"/>
      <c r="H1618" s="21"/>
      <c r="I1618" s="21"/>
      <c r="J1618" s="9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</row>
    <row r="1619" spans="1:30" ht="13.2">
      <c r="A1619" s="21"/>
      <c r="B1619" s="21"/>
      <c r="C1619" s="21"/>
      <c r="D1619" s="21"/>
      <c r="E1619" s="21"/>
      <c r="F1619" s="91"/>
      <c r="G1619" s="21"/>
      <c r="H1619" s="21"/>
      <c r="I1619" s="21"/>
      <c r="J1619" s="9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</row>
    <row r="1620" spans="1:30" ht="13.2">
      <c r="A1620" s="21"/>
      <c r="B1620" s="21"/>
      <c r="C1620" s="21"/>
      <c r="D1620" s="21"/>
      <c r="E1620" s="21"/>
      <c r="F1620" s="91"/>
      <c r="G1620" s="21"/>
      <c r="H1620" s="21"/>
      <c r="I1620" s="21"/>
      <c r="J1620" s="9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</row>
    <row r="1621" spans="1:30" ht="13.2">
      <c r="A1621" s="21"/>
      <c r="B1621" s="21"/>
      <c r="C1621" s="21"/>
      <c r="D1621" s="21"/>
      <c r="E1621" s="21"/>
      <c r="F1621" s="91"/>
      <c r="G1621" s="21"/>
      <c r="H1621" s="21"/>
      <c r="I1621" s="21"/>
      <c r="J1621" s="9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</row>
    <row r="1622" spans="1:30" ht="13.2">
      <c r="A1622" s="21"/>
      <c r="B1622" s="21"/>
      <c r="C1622" s="21"/>
      <c r="D1622" s="21"/>
      <c r="E1622" s="21"/>
      <c r="F1622" s="91"/>
      <c r="G1622" s="21"/>
      <c r="H1622" s="21"/>
      <c r="I1622" s="21"/>
      <c r="J1622" s="9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</row>
    <row r="1623" spans="1:30" ht="13.2">
      <c r="A1623" s="21"/>
      <c r="B1623" s="21"/>
      <c r="C1623" s="21"/>
      <c r="D1623" s="21"/>
      <c r="E1623" s="21"/>
      <c r="F1623" s="91"/>
      <c r="G1623" s="21"/>
      <c r="H1623" s="21"/>
      <c r="I1623" s="21"/>
      <c r="J1623" s="9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</row>
    <row r="1624" spans="1:30" ht="13.2">
      <c r="A1624" s="21"/>
      <c r="B1624" s="21"/>
      <c r="C1624" s="21"/>
      <c r="D1624" s="21"/>
      <c r="E1624" s="21"/>
      <c r="F1624" s="91"/>
      <c r="G1624" s="21"/>
      <c r="H1624" s="21"/>
      <c r="I1624" s="21"/>
      <c r="J1624" s="9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</row>
    <row r="1625" spans="1:30" ht="13.2">
      <c r="A1625" s="21"/>
      <c r="B1625" s="21"/>
      <c r="C1625" s="21"/>
      <c r="D1625" s="21"/>
      <c r="E1625" s="21"/>
      <c r="F1625" s="91"/>
      <c r="G1625" s="21"/>
      <c r="H1625" s="21"/>
      <c r="I1625" s="21"/>
      <c r="J1625" s="9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</row>
    <row r="1626" spans="1:30" ht="13.2">
      <c r="A1626" s="21"/>
      <c r="B1626" s="21"/>
      <c r="C1626" s="21"/>
      <c r="D1626" s="21"/>
      <c r="E1626" s="21"/>
      <c r="F1626" s="91"/>
      <c r="G1626" s="21"/>
      <c r="H1626" s="21"/>
      <c r="I1626" s="21"/>
      <c r="J1626" s="9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</row>
    <row r="1627" spans="1:30" ht="13.2">
      <c r="A1627" s="21"/>
      <c r="B1627" s="21"/>
      <c r="C1627" s="21"/>
      <c r="D1627" s="21"/>
      <c r="E1627" s="21"/>
      <c r="F1627" s="91"/>
      <c r="G1627" s="21"/>
      <c r="H1627" s="21"/>
      <c r="I1627" s="21"/>
      <c r="J1627" s="9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</row>
    <row r="1628" spans="1:30" ht="13.2">
      <c r="A1628" s="21"/>
      <c r="B1628" s="21"/>
      <c r="C1628" s="21"/>
      <c r="D1628" s="21"/>
      <c r="E1628" s="21"/>
      <c r="F1628" s="91"/>
      <c r="G1628" s="21"/>
      <c r="H1628" s="21"/>
      <c r="I1628" s="21"/>
      <c r="J1628" s="9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</row>
    <row r="1629" spans="1:30" ht="13.2">
      <c r="A1629" s="21"/>
      <c r="B1629" s="21"/>
      <c r="C1629" s="21"/>
      <c r="D1629" s="21"/>
      <c r="E1629" s="21"/>
      <c r="F1629" s="91"/>
      <c r="G1629" s="21"/>
      <c r="H1629" s="21"/>
      <c r="I1629" s="21"/>
      <c r="J1629" s="9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</row>
    <row r="1630" spans="1:30" ht="13.2">
      <c r="A1630" s="21"/>
      <c r="B1630" s="21"/>
      <c r="C1630" s="21"/>
      <c r="D1630" s="21"/>
      <c r="E1630" s="21"/>
      <c r="F1630" s="91"/>
      <c r="G1630" s="21"/>
      <c r="H1630" s="21"/>
      <c r="I1630" s="21"/>
      <c r="J1630" s="9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</row>
    <row r="1631" spans="1:30" ht="13.2">
      <c r="A1631" s="21"/>
      <c r="B1631" s="21"/>
      <c r="C1631" s="21"/>
      <c r="D1631" s="21"/>
      <c r="E1631" s="21"/>
      <c r="F1631" s="91"/>
      <c r="G1631" s="21"/>
      <c r="H1631" s="21"/>
      <c r="I1631" s="21"/>
      <c r="J1631" s="9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</row>
    <row r="1632" spans="1:30" ht="13.2">
      <c r="A1632" s="21"/>
      <c r="B1632" s="21"/>
      <c r="C1632" s="21"/>
      <c r="D1632" s="21"/>
      <c r="E1632" s="21"/>
      <c r="F1632" s="91"/>
      <c r="G1632" s="21"/>
      <c r="H1632" s="21"/>
      <c r="I1632" s="21"/>
      <c r="J1632" s="9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</row>
    <row r="1633" spans="1:30" ht="13.2">
      <c r="A1633" s="21"/>
      <c r="B1633" s="21"/>
      <c r="C1633" s="21"/>
      <c r="D1633" s="21"/>
      <c r="E1633" s="21"/>
      <c r="F1633" s="91"/>
      <c r="G1633" s="21"/>
      <c r="H1633" s="21"/>
      <c r="I1633" s="21"/>
      <c r="J1633" s="9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</row>
    <row r="1634" spans="1:30" ht="13.2">
      <c r="A1634" s="21"/>
      <c r="B1634" s="21"/>
      <c r="C1634" s="21"/>
      <c r="D1634" s="21"/>
      <c r="E1634" s="21"/>
      <c r="F1634" s="91"/>
      <c r="G1634" s="21"/>
      <c r="H1634" s="21"/>
      <c r="I1634" s="21"/>
      <c r="J1634" s="9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</row>
    <row r="1635" spans="1:30" ht="13.2">
      <c r="A1635" s="21"/>
      <c r="B1635" s="21"/>
      <c r="C1635" s="21"/>
      <c r="D1635" s="21"/>
      <c r="E1635" s="21"/>
      <c r="F1635" s="91"/>
      <c r="G1635" s="21"/>
      <c r="H1635" s="21"/>
      <c r="I1635" s="21"/>
      <c r="J1635" s="9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</row>
    <row r="1636" spans="1:30" ht="13.2">
      <c r="A1636" s="21"/>
      <c r="B1636" s="21"/>
      <c r="C1636" s="21"/>
      <c r="D1636" s="21"/>
      <c r="E1636" s="21"/>
      <c r="F1636" s="91"/>
      <c r="G1636" s="21"/>
      <c r="H1636" s="21"/>
      <c r="I1636" s="21"/>
      <c r="J1636" s="9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</row>
    <row r="1637" spans="1:30" ht="13.2">
      <c r="A1637" s="21"/>
      <c r="B1637" s="21"/>
      <c r="C1637" s="21"/>
      <c r="D1637" s="21"/>
      <c r="E1637" s="21"/>
      <c r="F1637" s="91"/>
      <c r="G1637" s="21"/>
      <c r="H1637" s="21"/>
      <c r="I1637" s="21"/>
      <c r="J1637" s="9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</row>
    <row r="1638" spans="1:30" ht="13.2">
      <c r="A1638" s="21"/>
      <c r="B1638" s="21"/>
      <c r="C1638" s="21"/>
      <c r="D1638" s="21"/>
      <c r="E1638" s="21"/>
      <c r="F1638" s="91"/>
      <c r="G1638" s="21"/>
      <c r="H1638" s="21"/>
      <c r="I1638" s="21"/>
      <c r="J1638" s="9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</row>
    <row r="1639" spans="1:30" ht="13.2">
      <c r="A1639" s="21"/>
      <c r="B1639" s="21"/>
      <c r="C1639" s="21"/>
      <c r="D1639" s="21"/>
      <c r="E1639" s="21"/>
      <c r="F1639" s="91"/>
      <c r="G1639" s="21"/>
      <c r="H1639" s="21"/>
      <c r="I1639" s="21"/>
      <c r="J1639" s="9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</row>
    <row r="1640" spans="1:30" ht="13.2">
      <c r="A1640" s="21"/>
      <c r="B1640" s="21"/>
      <c r="C1640" s="21"/>
      <c r="D1640" s="21"/>
      <c r="E1640" s="21"/>
      <c r="F1640" s="91"/>
      <c r="G1640" s="21"/>
      <c r="H1640" s="21"/>
      <c r="I1640" s="21"/>
      <c r="J1640" s="9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</row>
    <row r="1641" spans="1:30" ht="13.2">
      <c r="A1641" s="21"/>
      <c r="B1641" s="21"/>
      <c r="C1641" s="21"/>
      <c r="D1641" s="21"/>
      <c r="E1641" s="21"/>
      <c r="F1641" s="91"/>
      <c r="G1641" s="21"/>
      <c r="H1641" s="21"/>
      <c r="I1641" s="21"/>
      <c r="J1641" s="9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</row>
    <row r="1642" spans="1:30" ht="13.2">
      <c r="A1642" s="21"/>
      <c r="B1642" s="21"/>
      <c r="C1642" s="21"/>
      <c r="D1642" s="21"/>
      <c r="E1642" s="21"/>
      <c r="F1642" s="91"/>
      <c r="G1642" s="21"/>
      <c r="H1642" s="21"/>
      <c r="I1642" s="21"/>
      <c r="J1642" s="9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</row>
    <row r="1643" spans="1:30" ht="13.2">
      <c r="A1643" s="21"/>
      <c r="B1643" s="21"/>
      <c r="C1643" s="21"/>
      <c r="D1643" s="21"/>
      <c r="E1643" s="21"/>
      <c r="F1643" s="91"/>
      <c r="G1643" s="21"/>
      <c r="H1643" s="21"/>
      <c r="I1643" s="21"/>
      <c r="J1643" s="9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</row>
    <row r="1644" spans="1:30" ht="13.2">
      <c r="A1644" s="21"/>
      <c r="B1644" s="21"/>
      <c r="C1644" s="21"/>
      <c r="D1644" s="21"/>
      <c r="E1644" s="21"/>
      <c r="F1644" s="91"/>
      <c r="G1644" s="21"/>
      <c r="H1644" s="21"/>
      <c r="I1644" s="21"/>
      <c r="J1644" s="9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</row>
    <row r="1645" spans="1:30" ht="13.2">
      <c r="A1645" s="21"/>
      <c r="B1645" s="21"/>
      <c r="C1645" s="21"/>
      <c r="D1645" s="21"/>
      <c r="E1645" s="21"/>
      <c r="F1645" s="91"/>
      <c r="G1645" s="21"/>
      <c r="H1645" s="21"/>
      <c r="I1645" s="21"/>
      <c r="J1645" s="9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</row>
    <row r="1646" spans="1:30" ht="13.2">
      <c r="A1646" s="21"/>
      <c r="B1646" s="21"/>
      <c r="C1646" s="21"/>
      <c r="D1646" s="21"/>
      <c r="E1646" s="21"/>
      <c r="F1646" s="91"/>
      <c r="G1646" s="21"/>
      <c r="H1646" s="21"/>
      <c r="I1646" s="21"/>
      <c r="J1646" s="9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</row>
    <row r="1647" spans="1:30" ht="13.2">
      <c r="A1647" s="21"/>
      <c r="B1647" s="21"/>
      <c r="C1647" s="21"/>
      <c r="D1647" s="21"/>
      <c r="E1647" s="21"/>
      <c r="F1647" s="91"/>
      <c r="G1647" s="21"/>
      <c r="H1647" s="21"/>
      <c r="I1647" s="21"/>
      <c r="J1647" s="9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</row>
    <row r="1648" spans="1:30" ht="13.2">
      <c r="A1648" s="21"/>
      <c r="B1648" s="21"/>
      <c r="C1648" s="21"/>
      <c r="D1648" s="21"/>
      <c r="E1648" s="21"/>
      <c r="F1648" s="91"/>
      <c r="G1648" s="21"/>
      <c r="H1648" s="21"/>
      <c r="I1648" s="21"/>
      <c r="J1648" s="9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</row>
    <row r="1649" spans="1:30" ht="13.2">
      <c r="A1649" s="21"/>
      <c r="B1649" s="21"/>
      <c r="C1649" s="21"/>
      <c r="D1649" s="21"/>
      <c r="E1649" s="21"/>
      <c r="F1649" s="91"/>
      <c r="G1649" s="21"/>
      <c r="H1649" s="21"/>
      <c r="I1649" s="21"/>
      <c r="J1649" s="9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</row>
    <row r="1650" spans="1:30" ht="13.2">
      <c r="A1650" s="21"/>
      <c r="B1650" s="21"/>
      <c r="C1650" s="21"/>
      <c r="D1650" s="21"/>
      <c r="E1650" s="21"/>
      <c r="F1650" s="91"/>
      <c r="G1650" s="21"/>
      <c r="H1650" s="21"/>
      <c r="I1650" s="21"/>
      <c r="J1650" s="9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</row>
    <row r="1651" spans="1:30" ht="13.2">
      <c r="A1651" s="21"/>
      <c r="B1651" s="21"/>
      <c r="C1651" s="21"/>
      <c r="D1651" s="21"/>
      <c r="E1651" s="21"/>
      <c r="F1651" s="91"/>
      <c r="G1651" s="21"/>
      <c r="H1651" s="21"/>
      <c r="I1651" s="21"/>
      <c r="J1651" s="9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</row>
    <row r="1652" spans="1:30" ht="13.2">
      <c r="A1652" s="21"/>
      <c r="B1652" s="21"/>
      <c r="C1652" s="21"/>
      <c r="D1652" s="21"/>
      <c r="E1652" s="21"/>
      <c r="F1652" s="91"/>
      <c r="G1652" s="21"/>
      <c r="H1652" s="21"/>
      <c r="I1652" s="21"/>
      <c r="J1652" s="9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</row>
    <row r="1653" spans="1:30" ht="13.2">
      <c r="A1653" s="21"/>
      <c r="B1653" s="21"/>
      <c r="C1653" s="21"/>
      <c r="D1653" s="21"/>
      <c r="E1653" s="21"/>
      <c r="F1653" s="91"/>
      <c r="G1653" s="21"/>
      <c r="H1653" s="21"/>
      <c r="I1653" s="21"/>
      <c r="J1653" s="9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</row>
    <row r="1654" spans="1:30" ht="13.2">
      <c r="A1654" s="21"/>
      <c r="B1654" s="21"/>
      <c r="C1654" s="21"/>
      <c r="D1654" s="21"/>
      <c r="E1654" s="21"/>
      <c r="F1654" s="91"/>
      <c r="G1654" s="21"/>
      <c r="H1654" s="21"/>
      <c r="I1654" s="21"/>
      <c r="J1654" s="9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</row>
    <row r="1655" spans="1:30" ht="13.2">
      <c r="A1655" s="21"/>
      <c r="B1655" s="21"/>
      <c r="C1655" s="21"/>
      <c r="D1655" s="21"/>
      <c r="E1655" s="21"/>
      <c r="F1655" s="91"/>
      <c r="G1655" s="21"/>
      <c r="H1655" s="21"/>
      <c r="I1655" s="21"/>
      <c r="J1655" s="9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</row>
    <row r="1656" spans="1:30" ht="13.2">
      <c r="A1656" s="21"/>
      <c r="B1656" s="21"/>
      <c r="C1656" s="21"/>
      <c r="D1656" s="21"/>
      <c r="E1656" s="21"/>
      <c r="F1656" s="91"/>
      <c r="G1656" s="21"/>
      <c r="H1656" s="21"/>
      <c r="I1656" s="21"/>
      <c r="J1656" s="9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</row>
    <row r="1657" spans="1:30" ht="13.2">
      <c r="A1657" s="21"/>
      <c r="B1657" s="21"/>
      <c r="C1657" s="21"/>
      <c r="D1657" s="21"/>
      <c r="E1657" s="21"/>
      <c r="F1657" s="91"/>
      <c r="G1657" s="21"/>
      <c r="H1657" s="21"/>
      <c r="I1657" s="21"/>
      <c r="J1657" s="9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</row>
    <row r="1658" spans="1:30" ht="13.2">
      <c r="A1658" s="21"/>
      <c r="B1658" s="21"/>
      <c r="C1658" s="21"/>
      <c r="D1658" s="21"/>
      <c r="E1658" s="21"/>
      <c r="F1658" s="91"/>
      <c r="G1658" s="21"/>
      <c r="H1658" s="21"/>
      <c r="I1658" s="21"/>
      <c r="J1658" s="9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</row>
    <row r="1659" spans="1:30" ht="13.2">
      <c r="A1659" s="21"/>
      <c r="B1659" s="21"/>
      <c r="C1659" s="21"/>
      <c r="D1659" s="21"/>
      <c r="E1659" s="21"/>
      <c r="F1659" s="91"/>
      <c r="G1659" s="21"/>
      <c r="H1659" s="21"/>
      <c r="I1659" s="21"/>
      <c r="J1659" s="9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</row>
    <row r="1660" spans="1:30" ht="13.2">
      <c r="A1660" s="21"/>
      <c r="B1660" s="21"/>
      <c r="C1660" s="21"/>
      <c r="D1660" s="21"/>
      <c r="E1660" s="21"/>
      <c r="F1660" s="91"/>
      <c r="G1660" s="21"/>
      <c r="H1660" s="21"/>
      <c r="I1660" s="21"/>
      <c r="J1660" s="9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</row>
    <row r="1661" spans="1:30" ht="13.2">
      <c r="A1661" s="21"/>
      <c r="B1661" s="21"/>
      <c r="C1661" s="21"/>
      <c r="D1661" s="21"/>
      <c r="E1661" s="21"/>
      <c r="F1661" s="91"/>
      <c r="G1661" s="21"/>
      <c r="H1661" s="21"/>
      <c r="I1661" s="21"/>
      <c r="J1661" s="9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</row>
    <row r="1662" spans="1:30" ht="13.2">
      <c r="A1662" s="21"/>
      <c r="B1662" s="21"/>
      <c r="C1662" s="21"/>
      <c r="D1662" s="21"/>
      <c r="E1662" s="21"/>
      <c r="F1662" s="91"/>
      <c r="G1662" s="21"/>
      <c r="H1662" s="21"/>
      <c r="I1662" s="21"/>
      <c r="J1662" s="9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</row>
    <row r="1663" spans="1:30" ht="13.2">
      <c r="A1663" s="21"/>
      <c r="B1663" s="21"/>
      <c r="C1663" s="21"/>
      <c r="D1663" s="21"/>
      <c r="E1663" s="21"/>
      <c r="F1663" s="91"/>
      <c r="G1663" s="21"/>
      <c r="H1663" s="21"/>
      <c r="I1663" s="21"/>
      <c r="J1663" s="9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</row>
    <row r="1664" spans="1:30" ht="13.2">
      <c r="A1664" s="21"/>
      <c r="B1664" s="21"/>
      <c r="C1664" s="21"/>
      <c r="D1664" s="21"/>
      <c r="E1664" s="21"/>
      <c r="F1664" s="91"/>
      <c r="G1664" s="21"/>
      <c r="H1664" s="21"/>
      <c r="I1664" s="21"/>
      <c r="J1664" s="9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</row>
    <row r="1665" spans="1:30" ht="13.2">
      <c r="A1665" s="21"/>
      <c r="B1665" s="21"/>
      <c r="C1665" s="21"/>
      <c r="D1665" s="21"/>
      <c r="E1665" s="21"/>
      <c r="F1665" s="91"/>
      <c r="G1665" s="21"/>
      <c r="H1665" s="21"/>
      <c r="I1665" s="21"/>
      <c r="J1665" s="9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</row>
    <row r="1666" spans="1:30" ht="13.2">
      <c r="A1666" s="21"/>
      <c r="B1666" s="21"/>
      <c r="C1666" s="21"/>
      <c r="D1666" s="21"/>
      <c r="E1666" s="21"/>
      <c r="F1666" s="91"/>
      <c r="G1666" s="21"/>
      <c r="H1666" s="21"/>
      <c r="I1666" s="21"/>
      <c r="J1666" s="9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</row>
    <row r="1667" spans="1:30" ht="13.2">
      <c r="A1667" s="21"/>
      <c r="B1667" s="21"/>
      <c r="C1667" s="21"/>
      <c r="D1667" s="21"/>
      <c r="E1667" s="21"/>
      <c r="F1667" s="91"/>
      <c r="G1667" s="21"/>
      <c r="H1667" s="21"/>
      <c r="I1667" s="21"/>
      <c r="J1667" s="9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</row>
    <row r="1668" spans="1:30" ht="13.2">
      <c r="A1668" s="21"/>
      <c r="B1668" s="21"/>
      <c r="C1668" s="21"/>
      <c r="D1668" s="21"/>
      <c r="E1668" s="21"/>
      <c r="F1668" s="91"/>
      <c r="G1668" s="21"/>
      <c r="H1668" s="21"/>
      <c r="I1668" s="21"/>
      <c r="J1668" s="9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</row>
    <row r="1669" spans="1:30" ht="13.2">
      <c r="A1669" s="21"/>
      <c r="B1669" s="21"/>
      <c r="C1669" s="21"/>
      <c r="D1669" s="21"/>
      <c r="E1669" s="21"/>
      <c r="F1669" s="91"/>
      <c r="G1669" s="21"/>
      <c r="H1669" s="21"/>
      <c r="I1669" s="21"/>
      <c r="J1669" s="9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</row>
    <row r="1670" spans="1:30" ht="13.2">
      <c r="A1670" s="21"/>
      <c r="B1670" s="21"/>
      <c r="C1670" s="21"/>
      <c r="D1670" s="21"/>
      <c r="E1670" s="21"/>
      <c r="F1670" s="91"/>
      <c r="G1670" s="21"/>
      <c r="H1670" s="21"/>
      <c r="I1670" s="21"/>
      <c r="J1670" s="9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</row>
    <row r="1671" spans="1:30" ht="13.2">
      <c r="A1671" s="21"/>
      <c r="B1671" s="21"/>
      <c r="C1671" s="21"/>
      <c r="D1671" s="21"/>
      <c r="E1671" s="21"/>
      <c r="F1671" s="91"/>
      <c r="G1671" s="21"/>
      <c r="H1671" s="21"/>
      <c r="I1671" s="21"/>
      <c r="J1671" s="9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</row>
    <row r="1672" spans="1:30" ht="13.2">
      <c r="A1672" s="21"/>
      <c r="B1672" s="21"/>
      <c r="C1672" s="21"/>
      <c r="D1672" s="21"/>
      <c r="E1672" s="21"/>
      <c r="F1672" s="91"/>
      <c r="G1672" s="21"/>
      <c r="H1672" s="21"/>
      <c r="I1672" s="21"/>
      <c r="J1672" s="9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</row>
    <row r="1673" spans="1:30" ht="13.2">
      <c r="A1673" s="21"/>
      <c r="B1673" s="21"/>
      <c r="C1673" s="21"/>
      <c r="D1673" s="21"/>
      <c r="E1673" s="21"/>
      <c r="F1673" s="91"/>
      <c r="G1673" s="21"/>
      <c r="H1673" s="21"/>
      <c r="I1673" s="21"/>
      <c r="J1673" s="9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</row>
    <row r="1674" spans="1:30" ht="13.2">
      <c r="A1674" s="21"/>
      <c r="B1674" s="21"/>
      <c r="C1674" s="21"/>
      <c r="D1674" s="21"/>
      <c r="E1674" s="21"/>
      <c r="F1674" s="91"/>
      <c r="G1674" s="21"/>
      <c r="H1674" s="21"/>
      <c r="I1674" s="21"/>
      <c r="J1674" s="9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</row>
    <row r="1675" spans="1:30" ht="13.2">
      <c r="A1675" s="21"/>
      <c r="B1675" s="21"/>
      <c r="C1675" s="21"/>
      <c r="D1675" s="21"/>
      <c r="E1675" s="21"/>
      <c r="F1675" s="91"/>
      <c r="G1675" s="21"/>
      <c r="H1675" s="21"/>
      <c r="I1675" s="21"/>
      <c r="J1675" s="9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</row>
    <row r="1676" spans="1:30" ht="13.2">
      <c r="A1676" s="21"/>
      <c r="B1676" s="21"/>
      <c r="C1676" s="21"/>
      <c r="D1676" s="21"/>
      <c r="E1676" s="21"/>
      <c r="F1676" s="91"/>
      <c r="G1676" s="21"/>
      <c r="H1676" s="21"/>
      <c r="I1676" s="21"/>
      <c r="J1676" s="9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</row>
    <row r="1677" spans="1:30" ht="13.2">
      <c r="A1677" s="21"/>
      <c r="B1677" s="21"/>
      <c r="C1677" s="21"/>
      <c r="D1677" s="21"/>
      <c r="E1677" s="21"/>
      <c r="F1677" s="91"/>
      <c r="G1677" s="21"/>
      <c r="H1677" s="21"/>
      <c r="I1677" s="21"/>
      <c r="J1677" s="9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</row>
    <row r="1678" spans="1:30" ht="13.2">
      <c r="A1678" s="21"/>
      <c r="B1678" s="21"/>
      <c r="C1678" s="21"/>
      <c r="D1678" s="21"/>
      <c r="E1678" s="21"/>
      <c r="F1678" s="91"/>
      <c r="G1678" s="21"/>
      <c r="H1678" s="21"/>
      <c r="I1678" s="21"/>
      <c r="J1678" s="9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</row>
    <row r="1679" spans="1:30" ht="13.2">
      <c r="A1679" s="21"/>
      <c r="B1679" s="21"/>
      <c r="C1679" s="21"/>
      <c r="D1679" s="21"/>
      <c r="E1679" s="21"/>
      <c r="F1679" s="91"/>
      <c r="G1679" s="21"/>
      <c r="H1679" s="21"/>
      <c r="I1679" s="21"/>
      <c r="J1679" s="9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</row>
    <row r="1680" spans="1:30" ht="13.2">
      <c r="A1680" s="21"/>
      <c r="B1680" s="21"/>
      <c r="C1680" s="21"/>
      <c r="D1680" s="21"/>
      <c r="E1680" s="21"/>
      <c r="F1680" s="91"/>
      <c r="G1680" s="21"/>
      <c r="H1680" s="21"/>
      <c r="I1680" s="21"/>
      <c r="J1680" s="9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</row>
    <row r="1681" spans="1:30" ht="13.2">
      <c r="A1681" s="21"/>
      <c r="B1681" s="21"/>
      <c r="C1681" s="21"/>
      <c r="D1681" s="21"/>
      <c r="E1681" s="21"/>
      <c r="F1681" s="91"/>
      <c r="G1681" s="21"/>
      <c r="H1681" s="21"/>
      <c r="I1681" s="21"/>
      <c r="J1681" s="9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</row>
    <row r="1682" spans="1:30" ht="13.2">
      <c r="A1682" s="21"/>
      <c r="B1682" s="21"/>
      <c r="C1682" s="21"/>
      <c r="D1682" s="21"/>
      <c r="E1682" s="21"/>
      <c r="F1682" s="91"/>
      <c r="G1682" s="21"/>
      <c r="H1682" s="21"/>
      <c r="I1682" s="21"/>
      <c r="J1682" s="9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</row>
    <row r="1683" spans="1:30" ht="13.2">
      <c r="A1683" s="21"/>
      <c r="B1683" s="21"/>
      <c r="C1683" s="21"/>
      <c r="D1683" s="21"/>
      <c r="E1683" s="21"/>
      <c r="F1683" s="91"/>
      <c r="G1683" s="21"/>
      <c r="H1683" s="21"/>
      <c r="I1683" s="21"/>
      <c r="J1683" s="9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</row>
    <row r="1684" spans="1:30" ht="13.2">
      <c r="A1684" s="21"/>
      <c r="B1684" s="21"/>
      <c r="C1684" s="21"/>
      <c r="D1684" s="21"/>
      <c r="E1684" s="21"/>
      <c r="F1684" s="91"/>
      <c r="G1684" s="21"/>
      <c r="H1684" s="21"/>
      <c r="I1684" s="21"/>
      <c r="J1684" s="9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</row>
    <row r="1685" spans="1:30" ht="13.2">
      <c r="A1685" s="21"/>
      <c r="B1685" s="21"/>
      <c r="C1685" s="21"/>
      <c r="D1685" s="21"/>
      <c r="E1685" s="21"/>
      <c r="F1685" s="91"/>
      <c r="G1685" s="21"/>
      <c r="H1685" s="21"/>
      <c r="I1685" s="21"/>
      <c r="J1685" s="9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</row>
    <row r="1686" spans="1:30" ht="13.2">
      <c r="A1686" s="21"/>
      <c r="B1686" s="21"/>
      <c r="C1686" s="21"/>
      <c r="D1686" s="21"/>
      <c r="E1686" s="21"/>
      <c r="F1686" s="91"/>
      <c r="G1686" s="21"/>
      <c r="H1686" s="21"/>
      <c r="I1686" s="21"/>
      <c r="J1686" s="9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</row>
    <row r="1687" spans="1:30" ht="13.2">
      <c r="A1687" s="21"/>
      <c r="B1687" s="21"/>
      <c r="C1687" s="21"/>
      <c r="D1687" s="21"/>
      <c r="E1687" s="21"/>
      <c r="F1687" s="91"/>
      <c r="G1687" s="21"/>
      <c r="H1687" s="21"/>
      <c r="I1687" s="21"/>
      <c r="J1687" s="9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</row>
    <row r="1688" spans="1:30" ht="13.2">
      <c r="A1688" s="21"/>
      <c r="B1688" s="21"/>
      <c r="C1688" s="21"/>
      <c r="D1688" s="21"/>
      <c r="E1688" s="21"/>
      <c r="F1688" s="91"/>
      <c r="G1688" s="21"/>
      <c r="H1688" s="21"/>
      <c r="I1688" s="21"/>
      <c r="J1688" s="9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</row>
    <row r="1689" spans="1:30" ht="13.2">
      <c r="A1689" s="21"/>
      <c r="B1689" s="21"/>
      <c r="C1689" s="21"/>
      <c r="D1689" s="21"/>
      <c r="E1689" s="21"/>
      <c r="F1689" s="91"/>
      <c r="G1689" s="21"/>
      <c r="H1689" s="21"/>
      <c r="I1689" s="21"/>
      <c r="J1689" s="9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</row>
    <row r="1690" spans="1:30" ht="13.2">
      <c r="A1690" s="21"/>
      <c r="B1690" s="21"/>
      <c r="C1690" s="21"/>
      <c r="D1690" s="21"/>
      <c r="E1690" s="21"/>
      <c r="F1690" s="91"/>
      <c r="G1690" s="21"/>
      <c r="H1690" s="21"/>
      <c r="I1690" s="21"/>
      <c r="J1690" s="9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</row>
    <row r="1691" spans="1:30" ht="13.2">
      <c r="A1691" s="21"/>
      <c r="B1691" s="21"/>
      <c r="C1691" s="21"/>
      <c r="D1691" s="21"/>
      <c r="E1691" s="21"/>
      <c r="F1691" s="91"/>
      <c r="G1691" s="21"/>
      <c r="H1691" s="21"/>
      <c r="I1691" s="21"/>
      <c r="J1691" s="9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</row>
    <row r="1692" spans="1:30" ht="13.2">
      <c r="A1692" s="21"/>
      <c r="B1692" s="21"/>
      <c r="C1692" s="21"/>
      <c r="D1692" s="21"/>
      <c r="E1692" s="21"/>
      <c r="F1692" s="91"/>
      <c r="G1692" s="21"/>
      <c r="H1692" s="21"/>
      <c r="I1692" s="21"/>
      <c r="J1692" s="9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</row>
    <row r="1693" spans="1:30" ht="13.2">
      <c r="A1693" s="21"/>
      <c r="B1693" s="21"/>
      <c r="C1693" s="21"/>
      <c r="D1693" s="21"/>
      <c r="E1693" s="21"/>
      <c r="F1693" s="91"/>
      <c r="G1693" s="21"/>
      <c r="H1693" s="21"/>
      <c r="I1693" s="21"/>
      <c r="J1693" s="9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</row>
    <row r="1694" spans="1:30" ht="13.2">
      <c r="A1694" s="21"/>
      <c r="B1694" s="21"/>
      <c r="C1694" s="21"/>
      <c r="D1694" s="21"/>
      <c r="E1694" s="21"/>
      <c r="F1694" s="91"/>
      <c r="G1694" s="21"/>
      <c r="H1694" s="21"/>
      <c r="I1694" s="21"/>
      <c r="J1694" s="9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</row>
    <row r="1695" spans="1:30" ht="13.2">
      <c r="A1695" s="21"/>
      <c r="B1695" s="21"/>
      <c r="C1695" s="21"/>
      <c r="D1695" s="21"/>
      <c r="E1695" s="21"/>
      <c r="F1695" s="91"/>
      <c r="G1695" s="21"/>
      <c r="H1695" s="21"/>
      <c r="I1695" s="21"/>
      <c r="J1695" s="9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</row>
    <row r="1696" spans="1:30" ht="13.2">
      <c r="A1696" s="21"/>
      <c r="B1696" s="21"/>
      <c r="C1696" s="21"/>
      <c r="D1696" s="21"/>
      <c r="E1696" s="21"/>
      <c r="F1696" s="91"/>
      <c r="G1696" s="21"/>
      <c r="H1696" s="21"/>
      <c r="I1696" s="21"/>
      <c r="J1696" s="9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</row>
    <row r="1697" spans="1:30" ht="13.2">
      <c r="A1697" s="21"/>
      <c r="B1697" s="21"/>
      <c r="C1697" s="21"/>
      <c r="D1697" s="21"/>
      <c r="E1697" s="21"/>
      <c r="F1697" s="91"/>
      <c r="G1697" s="21"/>
      <c r="H1697" s="21"/>
      <c r="I1697" s="21"/>
      <c r="J1697" s="9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</row>
    <row r="1698" spans="1:30" ht="13.2">
      <c r="A1698" s="21"/>
      <c r="B1698" s="21"/>
      <c r="C1698" s="21"/>
      <c r="D1698" s="21"/>
      <c r="E1698" s="21"/>
      <c r="F1698" s="91"/>
      <c r="G1698" s="21"/>
      <c r="H1698" s="21"/>
      <c r="I1698" s="21"/>
      <c r="J1698" s="9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</row>
    <row r="1699" spans="1:30" ht="13.2">
      <c r="A1699" s="21"/>
      <c r="B1699" s="21"/>
      <c r="C1699" s="21"/>
      <c r="D1699" s="21"/>
      <c r="E1699" s="21"/>
      <c r="F1699" s="91"/>
      <c r="G1699" s="21"/>
      <c r="H1699" s="21"/>
      <c r="I1699" s="21"/>
      <c r="J1699" s="9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</row>
    <row r="1700" spans="1:30" ht="13.2">
      <c r="A1700" s="21"/>
      <c r="B1700" s="21"/>
      <c r="C1700" s="21"/>
      <c r="D1700" s="21"/>
      <c r="E1700" s="21"/>
      <c r="F1700" s="91"/>
      <c r="G1700" s="21"/>
      <c r="H1700" s="21"/>
      <c r="I1700" s="21"/>
      <c r="J1700" s="9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</row>
    <row r="1701" spans="1:30" ht="13.2">
      <c r="A1701" s="21"/>
      <c r="B1701" s="21"/>
      <c r="C1701" s="21"/>
      <c r="D1701" s="21"/>
      <c r="E1701" s="21"/>
      <c r="F1701" s="91"/>
      <c r="G1701" s="21"/>
      <c r="H1701" s="21"/>
      <c r="I1701" s="21"/>
      <c r="J1701" s="9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</row>
    <row r="1702" spans="1:30" ht="13.2">
      <c r="A1702" s="21"/>
      <c r="B1702" s="21"/>
      <c r="C1702" s="21"/>
      <c r="D1702" s="21"/>
      <c r="E1702" s="21"/>
      <c r="F1702" s="91"/>
      <c r="G1702" s="21"/>
      <c r="H1702" s="21"/>
      <c r="I1702" s="21"/>
      <c r="J1702" s="9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</row>
    <row r="1703" spans="1:30" ht="13.2">
      <c r="A1703" s="21"/>
      <c r="B1703" s="21"/>
      <c r="C1703" s="21"/>
      <c r="D1703" s="21"/>
      <c r="E1703" s="21"/>
      <c r="F1703" s="91"/>
      <c r="G1703" s="21"/>
      <c r="H1703" s="21"/>
      <c r="I1703" s="21"/>
      <c r="J1703" s="9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</row>
    <row r="1704" spans="1:30" ht="13.2">
      <c r="A1704" s="21"/>
      <c r="B1704" s="21"/>
      <c r="C1704" s="21"/>
      <c r="D1704" s="21"/>
      <c r="E1704" s="21"/>
      <c r="F1704" s="91"/>
      <c r="G1704" s="21"/>
      <c r="H1704" s="21"/>
      <c r="I1704" s="21"/>
      <c r="J1704" s="9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</row>
    <row r="1705" spans="1:30" ht="13.2">
      <c r="A1705" s="21"/>
      <c r="B1705" s="21"/>
      <c r="C1705" s="21"/>
      <c r="D1705" s="21"/>
      <c r="E1705" s="21"/>
      <c r="F1705" s="91"/>
      <c r="G1705" s="21"/>
      <c r="H1705" s="21"/>
      <c r="I1705" s="21"/>
      <c r="J1705" s="9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</row>
    <row r="1706" spans="1:30" ht="13.2">
      <c r="A1706" s="21"/>
      <c r="B1706" s="21"/>
      <c r="C1706" s="21"/>
      <c r="D1706" s="21"/>
      <c r="E1706" s="21"/>
      <c r="F1706" s="91"/>
      <c r="G1706" s="21"/>
      <c r="H1706" s="21"/>
      <c r="I1706" s="21"/>
      <c r="J1706" s="9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</row>
    <row r="1707" spans="1:30" ht="13.2">
      <c r="A1707" s="21"/>
      <c r="B1707" s="21"/>
      <c r="C1707" s="21"/>
      <c r="D1707" s="21"/>
      <c r="E1707" s="21"/>
      <c r="F1707" s="91"/>
      <c r="G1707" s="21"/>
      <c r="H1707" s="21"/>
      <c r="I1707" s="21"/>
      <c r="J1707" s="9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</row>
    <row r="1708" spans="1:30" ht="13.2">
      <c r="A1708" s="21"/>
      <c r="B1708" s="21"/>
      <c r="C1708" s="21"/>
      <c r="D1708" s="21"/>
      <c r="E1708" s="21"/>
      <c r="F1708" s="91"/>
      <c r="G1708" s="21"/>
      <c r="H1708" s="21"/>
      <c r="I1708" s="21"/>
      <c r="J1708" s="9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</row>
    <row r="1709" spans="1:30" ht="13.2">
      <c r="A1709" s="21"/>
      <c r="B1709" s="21"/>
      <c r="C1709" s="21"/>
      <c r="D1709" s="21"/>
      <c r="E1709" s="21"/>
      <c r="F1709" s="91"/>
      <c r="G1709" s="21"/>
      <c r="H1709" s="21"/>
      <c r="I1709" s="21"/>
      <c r="J1709" s="9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</row>
    <row r="1710" spans="1:30" ht="13.2">
      <c r="A1710" s="21"/>
      <c r="B1710" s="21"/>
      <c r="C1710" s="21"/>
      <c r="D1710" s="21"/>
      <c r="E1710" s="21"/>
      <c r="F1710" s="91"/>
      <c r="G1710" s="21"/>
      <c r="H1710" s="21"/>
      <c r="I1710" s="21"/>
      <c r="J1710" s="9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</row>
    <row r="1711" spans="1:30" ht="13.2">
      <c r="A1711" s="21"/>
      <c r="B1711" s="21"/>
      <c r="C1711" s="21"/>
      <c r="D1711" s="21"/>
      <c r="E1711" s="21"/>
      <c r="F1711" s="91"/>
      <c r="G1711" s="21"/>
      <c r="H1711" s="21"/>
      <c r="I1711" s="21"/>
      <c r="J1711" s="9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</row>
    <row r="1712" spans="1:30" ht="13.2">
      <c r="A1712" s="21"/>
      <c r="B1712" s="21"/>
      <c r="C1712" s="21"/>
      <c r="D1712" s="21"/>
      <c r="E1712" s="21"/>
      <c r="F1712" s="91"/>
      <c r="G1712" s="21"/>
      <c r="H1712" s="21"/>
      <c r="I1712" s="21"/>
      <c r="J1712" s="9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</row>
    <row r="1713" spans="1:30" ht="13.2">
      <c r="A1713" s="21"/>
      <c r="B1713" s="21"/>
      <c r="C1713" s="21"/>
      <c r="D1713" s="21"/>
      <c r="E1713" s="21"/>
      <c r="F1713" s="91"/>
      <c r="G1713" s="21"/>
      <c r="H1713" s="21"/>
      <c r="I1713" s="21"/>
      <c r="J1713" s="9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</row>
    <row r="1714" spans="1:30" ht="13.2">
      <c r="A1714" s="21"/>
      <c r="B1714" s="21"/>
      <c r="C1714" s="21"/>
      <c r="D1714" s="21"/>
      <c r="E1714" s="21"/>
      <c r="F1714" s="91"/>
      <c r="G1714" s="21"/>
      <c r="H1714" s="21"/>
      <c r="I1714" s="21"/>
      <c r="J1714" s="9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</row>
    <row r="1715" spans="1:30" ht="13.2">
      <c r="A1715" s="21"/>
      <c r="B1715" s="21"/>
      <c r="C1715" s="21"/>
      <c r="D1715" s="21"/>
      <c r="E1715" s="21"/>
      <c r="F1715" s="91"/>
      <c r="G1715" s="21"/>
      <c r="H1715" s="21"/>
      <c r="I1715" s="21"/>
      <c r="J1715" s="9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</row>
    <row r="1716" spans="1:30" ht="13.2">
      <c r="A1716" s="21"/>
      <c r="B1716" s="21"/>
      <c r="C1716" s="21"/>
      <c r="D1716" s="21"/>
      <c r="E1716" s="21"/>
      <c r="F1716" s="91"/>
      <c r="G1716" s="21"/>
      <c r="H1716" s="21"/>
      <c r="I1716" s="21"/>
      <c r="J1716" s="9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</row>
    <row r="1717" spans="1:30" ht="13.2">
      <c r="A1717" s="21"/>
      <c r="B1717" s="21"/>
      <c r="C1717" s="21"/>
      <c r="D1717" s="21"/>
      <c r="E1717" s="21"/>
      <c r="F1717" s="91"/>
      <c r="G1717" s="21"/>
      <c r="H1717" s="21"/>
      <c r="I1717" s="21"/>
      <c r="J1717" s="9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</row>
    <row r="1718" spans="1:30" ht="13.2">
      <c r="A1718" s="21"/>
      <c r="B1718" s="21"/>
      <c r="C1718" s="21"/>
      <c r="D1718" s="21"/>
      <c r="E1718" s="21"/>
      <c r="F1718" s="91"/>
      <c r="G1718" s="21"/>
      <c r="H1718" s="21"/>
      <c r="I1718" s="21"/>
      <c r="J1718" s="9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</row>
    <row r="1719" spans="1:30" ht="13.2">
      <c r="A1719" s="21"/>
      <c r="B1719" s="21"/>
      <c r="C1719" s="21"/>
      <c r="D1719" s="21"/>
      <c r="E1719" s="21"/>
      <c r="F1719" s="91"/>
      <c r="G1719" s="21"/>
      <c r="H1719" s="21"/>
      <c r="I1719" s="21"/>
      <c r="J1719" s="9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</row>
    <row r="1720" spans="1:30" ht="13.2">
      <c r="A1720" s="21"/>
      <c r="B1720" s="21"/>
      <c r="C1720" s="21"/>
      <c r="D1720" s="21"/>
      <c r="E1720" s="21"/>
      <c r="F1720" s="91"/>
      <c r="G1720" s="21"/>
      <c r="H1720" s="21"/>
      <c r="I1720" s="21"/>
      <c r="J1720" s="9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</row>
    <row r="1721" spans="1:30" ht="13.2">
      <c r="A1721" s="21"/>
      <c r="B1721" s="21"/>
      <c r="C1721" s="21"/>
      <c r="D1721" s="21"/>
      <c r="E1721" s="21"/>
      <c r="F1721" s="91"/>
      <c r="G1721" s="21"/>
      <c r="H1721" s="21"/>
      <c r="I1721" s="21"/>
      <c r="J1721" s="9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</row>
    <row r="1722" spans="1:30" ht="13.2">
      <c r="A1722" s="21"/>
      <c r="B1722" s="21"/>
      <c r="C1722" s="21"/>
      <c r="D1722" s="21"/>
      <c r="E1722" s="21"/>
      <c r="F1722" s="91"/>
      <c r="G1722" s="21"/>
      <c r="H1722" s="21"/>
      <c r="I1722" s="21"/>
      <c r="J1722" s="9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</row>
    <row r="1723" spans="1:30" ht="13.2">
      <c r="A1723" s="21"/>
      <c r="B1723" s="21"/>
      <c r="C1723" s="21"/>
      <c r="D1723" s="21"/>
      <c r="E1723" s="21"/>
      <c r="F1723" s="91"/>
      <c r="G1723" s="21"/>
      <c r="H1723" s="21"/>
      <c r="I1723" s="21"/>
      <c r="J1723" s="9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</row>
    <row r="1724" spans="1:30" ht="13.2">
      <c r="A1724" s="21"/>
      <c r="B1724" s="21"/>
      <c r="C1724" s="21"/>
      <c r="D1724" s="21"/>
      <c r="E1724" s="21"/>
      <c r="F1724" s="91"/>
      <c r="G1724" s="21"/>
      <c r="H1724" s="21"/>
      <c r="I1724" s="21"/>
      <c r="J1724" s="9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</row>
    <row r="1725" spans="1:30" ht="13.2">
      <c r="A1725" s="21"/>
      <c r="B1725" s="21"/>
      <c r="C1725" s="21"/>
      <c r="D1725" s="21"/>
      <c r="E1725" s="21"/>
      <c r="F1725" s="91"/>
      <c r="G1725" s="21"/>
      <c r="H1725" s="21"/>
      <c r="I1725" s="21"/>
      <c r="J1725" s="9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</row>
    <row r="1726" spans="1:30" ht="13.2">
      <c r="A1726" s="21"/>
      <c r="B1726" s="21"/>
      <c r="C1726" s="21"/>
      <c r="D1726" s="21"/>
      <c r="E1726" s="21"/>
      <c r="F1726" s="91"/>
      <c r="G1726" s="21"/>
      <c r="H1726" s="21"/>
      <c r="I1726" s="21"/>
      <c r="J1726" s="9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</row>
    <row r="1727" spans="1:30" ht="13.2">
      <c r="A1727" s="21"/>
      <c r="B1727" s="21"/>
      <c r="C1727" s="21"/>
      <c r="D1727" s="21"/>
      <c r="E1727" s="21"/>
      <c r="F1727" s="91"/>
      <c r="G1727" s="21"/>
      <c r="H1727" s="21"/>
      <c r="I1727" s="21"/>
      <c r="J1727" s="9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</row>
    <row r="1728" spans="1:30" ht="13.2">
      <c r="A1728" s="21"/>
      <c r="B1728" s="21"/>
      <c r="C1728" s="21"/>
      <c r="D1728" s="21"/>
      <c r="E1728" s="21"/>
      <c r="F1728" s="91"/>
      <c r="G1728" s="21"/>
      <c r="H1728" s="21"/>
      <c r="I1728" s="21"/>
      <c r="J1728" s="9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</row>
    <row r="1729" spans="1:30" ht="13.2">
      <c r="A1729" s="21"/>
      <c r="B1729" s="21"/>
      <c r="C1729" s="21"/>
      <c r="D1729" s="21"/>
      <c r="E1729" s="21"/>
      <c r="F1729" s="91"/>
      <c r="G1729" s="21"/>
      <c r="H1729" s="21"/>
      <c r="I1729" s="21"/>
      <c r="J1729" s="9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</row>
    <row r="1730" spans="1:30" ht="13.2">
      <c r="A1730" s="21"/>
      <c r="B1730" s="21"/>
      <c r="C1730" s="21"/>
      <c r="D1730" s="21"/>
      <c r="E1730" s="21"/>
      <c r="F1730" s="91"/>
      <c r="G1730" s="21"/>
      <c r="H1730" s="21"/>
      <c r="I1730" s="21"/>
      <c r="J1730" s="9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</row>
    <row r="1731" spans="1:30" ht="13.2">
      <c r="A1731" s="21"/>
      <c r="B1731" s="21"/>
      <c r="C1731" s="21"/>
      <c r="D1731" s="21"/>
      <c r="E1731" s="21"/>
      <c r="F1731" s="91"/>
      <c r="G1731" s="21"/>
      <c r="H1731" s="21"/>
      <c r="I1731" s="21"/>
      <c r="J1731" s="9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</row>
    <row r="1732" spans="1:30" ht="13.2">
      <c r="A1732" s="21"/>
      <c r="B1732" s="21"/>
      <c r="C1732" s="21"/>
      <c r="D1732" s="21"/>
      <c r="E1732" s="21"/>
      <c r="F1732" s="91"/>
      <c r="G1732" s="21"/>
      <c r="H1732" s="21"/>
      <c r="I1732" s="21"/>
      <c r="J1732" s="9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</row>
    <row r="1733" spans="1:30" ht="13.2">
      <c r="A1733" s="21"/>
      <c r="B1733" s="21"/>
      <c r="C1733" s="21"/>
      <c r="D1733" s="21"/>
      <c r="E1733" s="21"/>
      <c r="F1733" s="91"/>
      <c r="G1733" s="21"/>
      <c r="H1733" s="21"/>
      <c r="I1733" s="21"/>
      <c r="J1733" s="9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</row>
    <row r="1734" spans="1:30" ht="13.2">
      <c r="A1734" s="21"/>
      <c r="B1734" s="21"/>
      <c r="C1734" s="21"/>
      <c r="D1734" s="21"/>
      <c r="E1734" s="21"/>
      <c r="F1734" s="91"/>
      <c r="G1734" s="21"/>
      <c r="H1734" s="21"/>
      <c r="I1734" s="21"/>
      <c r="J1734" s="9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</row>
    <row r="1735" spans="1:30" ht="13.2">
      <c r="A1735" s="21"/>
      <c r="B1735" s="21"/>
      <c r="C1735" s="21"/>
      <c r="D1735" s="21"/>
      <c r="E1735" s="21"/>
      <c r="F1735" s="91"/>
      <c r="G1735" s="21"/>
      <c r="H1735" s="21"/>
      <c r="I1735" s="21"/>
      <c r="J1735" s="9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</row>
    <row r="1736" spans="1:30" ht="13.2">
      <c r="A1736" s="21"/>
      <c r="B1736" s="21"/>
      <c r="C1736" s="21"/>
      <c r="D1736" s="21"/>
      <c r="E1736" s="21"/>
      <c r="F1736" s="91"/>
      <c r="G1736" s="21"/>
      <c r="H1736" s="21"/>
      <c r="I1736" s="21"/>
      <c r="J1736" s="9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</row>
    <row r="1737" spans="1:30" ht="13.2">
      <c r="A1737" s="21"/>
      <c r="B1737" s="21"/>
      <c r="C1737" s="21"/>
      <c r="D1737" s="21"/>
      <c r="E1737" s="21"/>
      <c r="F1737" s="91"/>
      <c r="G1737" s="21"/>
      <c r="H1737" s="21"/>
      <c r="I1737" s="21"/>
      <c r="J1737" s="9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</row>
    <row r="1738" spans="1:30" ht="13.2">
      <c r="A1738" s="21"/>
      <c r="B1738" s="21"/>
      <c r="C1738" s="21"/>
      <c r="D1738" s="21"/>
      <c r="E1738" s="21"/>
      <c r="F1738" s="91"/>
      <c r="G1738" s="21"/>
      <c r="H1738" s="21"/>
      <c r="I1738" s="21"/>
      <c r="J1738" s="9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</row>
    <row r="1739" spans="1:30" ht="13.2">
      <c r="A1739" s="21"/>
      <c r="B1739" s="21"/>
      <c r="C1739" s="21"/>
      <c r="D1739" s="21"/>
      <c r="E1739" s="21"/>
      <c r="F1739" s="91"/>
      <c r="G1739" s="21"/>
      <c r="H1739" s="21"/>
      <c r="I1739" s="21"/>
      <c r="J1739" s="9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</row>
    <row r="1740" spans="1:30" ht="13.2">
      <c r="A1740" s="21"/>
      <c r="B1740" s="21"/>
      <c r="C1740" s="21"/>
      <c r="D1740" s="21"/>
      <c r="E1740" s="21"/>
      <c r="F1740" s="91"/>
      <c r="G1740" s="21"/>
      <c r="H1740" s="21"/>
      <c r="I1740" s="21"/>
      <c r="J1740" s="9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</row>
    <row r="1741" spans="1:30" ht="13.2">
      <c r="A1741" s="21"/>
      <c r="B1741" s="21"/>
      <c r="C1741" s="21"/>
      <c r="D1741" s="21"/>
      <c r="E1741" s="21"/>
      <c r="F1741" s="91"/>
      <c r="G1741" s="21"/>
      <c r="H1741" s="21"/>
      <c r="I1741" s="21"/>
      <c r="J1741" s="9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</row>
    <row r="1742" spans="1:30" ht="13.2">
      <c r="A1742" s="21"/>
      <c r="B1742" s="21"/>
      <c r="C1742" s="21"/>
      <c r="D1742" s="21"/>
      <c r="E1742" s="21"/>
      <c r="F1742" s="91"/>
      <c r="G1742" s="21"/>
      <c r="H1742" s="21"/>
      <c r="I1742" s="21"/>
      <c r="J1742" s="9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</row>
    <row r="1743" spans="1:30" ht="13.2">
      <c r="A1743" s="21"/>
      <c r="B1743" s="21"/>
      <c r="C1743" s="21"/>
      <c r="D1743" s="21"/>
      <c r="E1743" s="21"/>
      <c r="F1743" s="91"/>
      <c r="G1743" s="21"/>
      <c r="H1743" s="21"/>
      <c r="I1743" s="21"/>
      <c r="J1743" s="9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</row>
    <row r="1744" spans="1:30" ht="13.2">
      <c r="A1744" s="21"/>
      <c r="B1744" s="21"/>
      <c r="C1744" s="21"/>
      <c r="D1744" s="21"/>
      <c r="E1744" s="21"/>
      <c r="F1744" s="91"/>
      <c r="G1744" s="21"/>
      <c r="H1744" s="21"/>
      <c r="I1744" s="21"/>
      <c r="J1744" s="9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</row>
    <row r="1745" spans="1:30" ht="13.2">
      <c r="A1745" s="21"/>
      <c r="B1745" s="21"/>
      <c r="C1745" s="21"/>
      <c r="D1745" s="21"/>
      <c r="E1745" s="21"/>
      <c r="F1745" s="91"/>
      <c r="G1745" s="21"/>
      <c r="H1745" s="21"/>
      <c r="I1745" s="21"/>
      <c r="J1745" s="9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</row>
    <row r="1746" spans="1:30" ht="13.2">
      <c r="A1746" s="21"/>
      <c r="B1746" s="21"/>
      <c r="C1746" s="21"/>
      <c r="D1746" s="21"/>
      <c r="E1746" s="21"/>
      <c r="F1746" s="91"/>
      <c r="G1746" s="21"/>
      <c r="H1746" s="21"/>
      <c r="I1746" s="21"/>
      <c r="J1746" s="9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</row>
    <row r="1747" spans="1:30" ht="13.2">
      <c r="A1747" s="21"/>
      <c r="B1747" s="21"/>
      <c r="C1747" s="21"/>
      <c r="D1747" s="21"/>
      <c r="E1747" s="21"/>
      <c r="F1747" s="91"/>
      <c r="G1747" s="21"/>
      <c r="H1747" s="21"/>
      <c r="I1747" s="21"/>
      <c r="J1747" s="9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</row>
    <row r="1748" spans="1:30" ht="13.2">
      <c r="A1748" s="21"/>
      <c r="B1748" s="21"/>
      <c r="C1748" s="21"/>
      <c r="D1748" s="21"/>
      <c r="E1748" s="21"/>
      <c r="F1748" s="91"/>
      <c r="G1748" s="21"/>
      <c r="H1748" s="21"/>
      <c r="I1748" s="21"/>
      <c r="J1748" s="9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</row>
    <row r="1749" spans="1:30" ht="13.2">
      <c r="A1749" s="21"/>
      <c r="B1749" s="21"/>
      <c r="C1749" s="21"/>
      <c r="D1749" s="21"/>
      <c r="E1749" s="21"/>
      <c r="F1749" s="91"/>
      <c r="G1749" s="21"/>
      <c r="H1749" s="21"/>
      <c r="I1749" s="21"/>
      <c r="J1749" s="9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</row>
    <row r="1750" spans="1:30" ht="13.2">
      <c r="A1750" s="21"/>
      <c r="B1750" s="21"/>
      <c r="C1750" s="21"/>
      <c r="D1750" s="21"/>
      <c r="E1750" s="21"/>
      <c r="F1750" s="91"/>
      <c r="G1750" s="21"/>
      <c r="H1750" s="21"/>
      <c r="I1750" s="21"/>
      <c r="J1750" s="9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</row>
    <row r="1751" spans="1:30" ht="13.2">
      <c r="A1751" s="21"/>
      <c r="B1751" s="21"/>
      <c r="C1751" s="21"/>
      <c r="D1751" s="21"/>
      <c r="E1751" s="21"/>
      <c r="F1751" s="91"/>
      <c r="G1751" s="21"/>
      <c r="H1751" s="21"/>
      <c r="I1751" s="21"/>
      <c r="J1751" s="9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</row>
    <row r="1752" spans="1:30" ht="13.2">
      <c r="A1752" s="21"/>
      <c r="B1752" s="21"/>
      <c r="C1752" s="21"/>
      <c r="D1752" s="21"/>
      <c r="E1752" s="21"/>
      <c r="F1752" s="91"/>
      <c r="G1752" s="21"/>
      <c r="H1752" s="21"/>
      <c r="I1752" s="21"/>
      <c r="J1752" s="9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</row>
    <row r="1753" spans="1:30" ht="13.2">
      <c r="A1753" s="21"/>
      <c r="B1753" s="21"/>
      <c r="C1753" s="21"/>
      <c r="D1753" s="21"/>
      <c r="E1753" s="21"/>
      <c r="F1753" s="91"/>
      <c r="G1753" s="21"/>
      <c r="H1753" s="21"/>
      <c r="I1753" s="21"/>
      <c r="J1753" s="9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</row>
    <row r="1754" spans="1:30" ht="13.2">
      <c r="A1754" s="21"/>
      <c r="B1754" s="21"/>
      <c r="C1754" s="21"/>
      <c r="D1754" s="21"/>
      <c r="E1754" s="21"/>
      <c r="F1754" s="91"/>
      <c r="G1754" s="21"/>
      <c r="H1754" s="21"/>
      <c r="I1754" s="21"/>
      <c r="J1754" s="9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</row>
    <row r="1755" spans="1:30" ht="13.2">
      <c r="A1755" s="21"/>
      <c r="B1755" s="21"/>
      <c r="C1755" s="21"/>
      <c r="D1755" s="21"/>
      <c r="E1755" s="21"/>
      <c r="F1755" s="91"/>
      <c r="G1755" s="21"/>
      <c r="H1755" s="21"/>
      <c r="I1755" s="21"/>
      <c r="J1755" s="9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</row>
    <row r="1756" spans="1:30" ht="13.2">
      <c r="A1756" s="21"/>
      <c r="B1756" s="21"/>
      <c r="C1756" s="21"/>
      <c r="D1756" s="21"/>
      <c r="E1756" s="21"/>
      <c r="F1756" s="91"/>
      <c r="G1756" s="21"/>
      <c r="H1756" s="21"/>
      <c r="I1756" s="21"/>
      <c r="J1756" s="9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</row>
    <row r="1757" spans="1:30" ht="13.2">
      <c r="A1757" s="21"/>
      <c r="B1757" s="21"/>
      <c r="C1757" s="21"/>
      <c r="D1757" s="21"/>
      <c r="E1757" s="21"/>
      <c r="F1757" s="91"/>
      <c r="G1757" s="21"/>
      <c r="H1757" s="21"/>
      <c r="I1757" s="21"/>
      <c r="J1757" s="9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</row>
    <row r="1758" spans="1:30" ht="13.2">
      <c r="A1758" s="21"/>
      <c r="B1758" s="21"/>
      <c r="C1758" s="21"/>
      <c r="D1758" s="21"/>
      <c r="E1758" s="21"/>
      <c r="F1758" s="91"/>
      <c r="G1758" s="21"/>
      <c r="H1758" s="21"/>
      <c r="I1758" s="21"/>
      <c r="J1758" s="9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</row>
    <row r="1759" spans="1:30" ht="13.2">
      <c r="A1759" s="21"/>
      <c r="B1759" s="21"/>
      <c r="C1759" s="21"/>
      <c r="D1759" s="21"/>
      <c r="E1759" s="21"/>
      <c r="F1759" s="91"/>
      <c r="G1759" s="21"/>
      <c r="H1759" s="21"/>
      <c r="I1759" s="21"/>
      <c r="J1759" s="9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</row>
    <row r="1760" spans="1:30" ht="13.2">
      <c r="A1760" s="21"/>
      <c r="B1760" s="21"/>
      <c r="C1760" s="21"/>
      <c r="D1760" s="21"/>
      <c r="E1760" s="21"/>
      <c r="F1760" s="91"/>
      <c r="G1760" s="21"/>
      <c r="H1760" s="21"/>
      <c r="I1760" s="21"/>
      <c r="J1760" s="9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</row>
    <row r="1761" spans="1:30" ht="13.2">
      <c r="A1761" s="21"/>
      <c r="B1761" s="21"/>
      <c r="C1761" s="21"/>
      <c r="D1761" s="21"/>
      <c r="E1761" s="21"/>
      <c r="F1761" s="91"/>
      <c r="G1761" s="21"/>
      <c r="H1761" s="21"/>
      <c r="I1761" s="21"/>
      <c r="J1761" s="9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</row>
    <row r="1762" spans="1:30" ht="13.2">
      <c r="A1762" s="21"/>
      <c r="B1762" s="21"/>
      <c r="C1762" s="21"/>
      <c r="D1762" s="21"/>
      <c r="E1762" s="21"/>
      <c r="F1762" s="91"/>
      <c r="G1762" s="21"/>
      <c r="H1762" s="21"/>
      <c r="I1762" s="21"/>
      <c r="J1762" s="9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</row>
    <row r="1763" spans="1:30" ht="13.2">
      <c r="A1763" s="21"/>
      <c r="B1763" s="21"/>
      <c r="C1763" s="21"/>
      <c r="D1763" s="21"/>
      <c r="E1763" s="21"/>
      <c r="F1763" s="91"/>
      <c r="G1763" s="21"/>
      <c r="H1763" s="21"/>
      <c r="I1763" s="21"/>
      <c r="J1763" s="9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</row>
    <row r="1764" spans="1:30" ht="13.2">
      <c r="A1764" s="21"/>
      <c r="B1764" s="21"/>
      <c r="C1764" s="21"/>
      <c r="D1764" s="21"/>
      <c r="E1764" s="21"/>
      <c r="F1764" s="91"/>
      <c r="G1764" s="21"/>
      <c r="H1764" s="21"/>
      <c r="I1764" s="21"/>
      <c r="J1764" s="9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</row>
    <row r="1765" spans="1:30" ht="13.2">
      <c r="A1765" s="21"/>
      <c r="B1765" s="21"/>
      <c r="C1765" s="21"/>
      <c r="D1765" s="21"/>
      <c r="E1765" s="21"/>
      <c r="F1765" s="91"/>
      <c r="G1765" s="21"/>
      <c r="H1765" s="21"/>
      <c r="I1765" s="21"/>
      <c r="J1765" s="9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</row>
    <row r="1766" spans="1:30" ht="13.2">
      <c r="A1766" s="21"/>
      <c r="B1766" s="21"/>
      <c r="C1766" s="21"/>
      <c r="D1766" s="21"/>
      <c r="E1766" s="21"/>
      <c r="F1766" s="91"/>
      <c r="G1766" s="21"/>
      <c r="H1766" s="21"/>
      <c r="I1766" s="21"/>
      <c r="J1766" s="9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</row>
    <row r="1767" spans="1:30" ht="13.2">
      <c r="A1767" s="21"/>
      <c r="B1767" s="21"/>
      <c r="C1767" s="21"/>
      <c r="D1767" s="21"/>
      <c r="E1767" s="21"/>
      <c r="F1767" s="91"/>
      <c r="G1767" s="21"/>
      <c r="H1767" s="21"/>
      <c r="I1767" s="21"/>
      <c r="J1767" s="9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</row>
    <row r="1768" spans="1:30" ht="13.2">
      <c r="A1768" s="21"/>
      <c r="B1768" s="21"/>
      <c r="C1768" s="21"/>
      <c r="D1768" s="21"/>
      <c r="E1768" s="21"/>
      <c r="F1768" s="91"/>
      <c r="G1768" s="21"/>
      <c r="H1768" s="21"/>
      <c r="I1768" s="21"/>
      <c r="J1768" s="9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</row>
    <row r="1769" spans="1:30" ht="13.2">
      <c r="A1769" s="21"/>
      <c r="B1769" s="21"/>
      <c r="C1769" s="21"/>
      <c r="D1769" s="21"/>
      <c r="E1769" s="21"/>
      <c r="F1769" s="91"/>
      <c r="G1769" s="21"/>
      <c r="H1769" s="21"/>
      <c r="I1769" s="21"/>
      <c r="J1769" s="9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</row>
    <row r="1770" spans="1:30" ht="13.2">
      <c r="A1770" s="21"/>
      <c r="B1770" s="21"/>
      <c r="C1770" s="21"/>
      <c r="D1770" s="21"/>
      <c r="E1770" s="21"/>
      <c r="F1770" s="91"/>
      <c r="G1770" s="21"/>
      <c r="H1770" s="21"/>
      <c r="I1770" s="21"/>
      <c r="J1770" s="9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</row>
    <row r="1771" spans="1:30" ht="13.2">
      <c r="A1771" s="21"/>
      <c r="B1771" s="21"/>
      <c r="C1771" s="21"/>
      <c r="D1771" s="21"/>
      <c r="E1771" s="21"/>
      <c r="F1771" s="91"/>
      <c r="G1771" s="21"/>
      <c r="H1771" s="21"/>
      <c r="I1771" s="21"/>
      <c r="J1771" s="9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</row>
    <row r="1772" spans="1:30" ht="13.2">
      <c r="A1772" s="21"/>
      <c r="B1772" s="21"/>
      <c r="C1772" s="21"/>
      <c r="D1772" s="21"/>
      <c r="E1772" s="21"/>
      <c r="F1772" s="91"/>
      <c r="G1772" s="21"/>
      <c r="H1772" s="21"/>
      <c r="I1772" s="21"/>
      <c r="J1772" s="9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</row>
    <row r="1773" spans="1:30" ht="13.2">
      <c r="A1773" s="21"/>
      <c r="B1773" s="21"/>
      <c r="C1773" s="21"/>
      <c r="D1773" s="21"/>
      <c r="E1773" s="21"/>
      <c r="F1773" s="91"/>
      <c r="G1773" s="21"/>
      <c r="H1773" s="21"/>
      <c r="I1773" s="21"/>
      <c r="J1773" s="9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</row>
    <row r="1774" spans="1:30" ht="13.2">
      <c r="A1774" s="21"/>
      <c r="B1774" s="21"/>
      <c r="C1774" s="21"/>
      <c r="D1774" s="21"/>
      <c r="E1774" s="21"/>
      <c r="F1774" s="91"/>
      <c r="G1774" s="21"/>
      <c r="H1774" s="21"/>
      <c r="I1774" s="21"/>
      <c r="J1774" s="9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</row>
    <row r="1775" spans="1:30" ht="13.2">
      <c r="A1775" s="21"/>
      <c r="B1775" s="21"/>
      <c r="C1775" s="21"/>
      <c r="D1775" s="21"/>
      <c r="E1775" s="21"/>
      <c r="F1775" s="91"/>
      <c r="G1775" s="21"/>
      <c r="H1775" s="21"/>
      <c r="I1775" s="21"/>
      <c r="J1775" s="9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</row>
    <row r="1776" spans="1:30" ht="13.2">
      <c r="A1776" s="21"/>
      <c r="B1776" s="21"/>
      <c r="C1776" s="21"/>
      <c r="D1776" s="21"/>
      <c r="E1776" s="21"/>
      <c r="F1776" s="91"/>
      <c r="G1776" s="21"/>
      <c r="H1776" s="21"/>
      <c r="I1776" s="21"/>
      <c r="J1776" s="9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</row>
    <row r="1777" spans="1:30" ht="13.2">
      <c r="A1777" s="21"/>
      <c r="B1777" s="21"/>
      <c r="C1777" s="21"/>
      <c r="D1777" s="21"/>
      <c r="E1777" s="21"/>
      <c r="F1777" s="91"/>
      <c r="G1777" s="21"/>
      <c r="H1777" s="21"/>
      <c r="I1777" s="21"/>
      <c r="J1777" s="9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</row>
    <row r="1778" spans="1:30" ht="13.2">
      <c r="A1778" s="21"/>
      <c r="B1778" s="21"/>
      <c r="C1778" s="21"/>
      <c r="D1778" s="21"/>
      <c r="E1778" s="21"/>
      <c r="F1778" s="91"/>
      <c r="G1778" s="21"/>
      <c r="H1778" s="21"/>
      <c r="I1778" s="21"/>
      <c r="J1778" s="9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</row>
    <row r="1779" spans="1:30" ht="13.2">
      <c r="A1779" s="21"/>
      <c r="B1779" s="21"/>
      <c r="C1779" s="21"/>
      <c r="D1779" s="21"/>
      <c r="E1779" s="21"/>
      <c r="F1779" s="91"/>
      <c r="G1779" s="21"/>
      <c r="H1779" s="21"/>
      <c r="I1779" s="21"/>
      <c r="J1779" s="9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</row>
    <row r="1780" spans="1:30" ht="13.2">
      <c r="A1780" s="21"/>
      <c r="B1780" s="21"/>
      <c r="C1780" s="21"/>
      <c r="D1780" s="21"/>
      <c r="E1780" s="21"/>
      <c r="F1780" s="91"/>
      <c r="G1780" s="21"/>
      <c r="H1780" s="21"/>
      <c r="I1780" s="21"/>
      <c r="J1780" s="9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</row>
    <row r="1781" spans="1:30" ht="13.2">
      <c r="A1781" s="21"/>
      <c r="B1781" s="21"/>
      <c r="C1781" s="21"/>
      <c r="D1781" s="21"/>
      <c r="E1781" s="21"/>
      <c r="F1781" s="91"/>
      <c r="G1781" s="21"/>
      <c r="H1781" s="21"/>
      <c r="I1781" s="21"/>
      <c r="J1781" s="9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</row>
    <row r="1782" spans="1:30" ht="13.2">
      <c r="A1782" s="21"/>
      <c r="B1782" s="21"/>
      <c r="C1782" s="21"/>
      <c r="D1782" s="21"/>
      <c r="E1782" s="21"/>
      <c r="F1782" s="91"/>
      <c r="G1782" s="21"/>
      <c r="H1782" s="21"/>
      <c r="I1782" s="21"/>
      <c r="J1782" s="9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</row>
    <row r="1783" spans="1:30" ht="13.2">
      <c r="A1783" s="21"/>
      <c r="B1783" s="21"/>
      <c r="C1783" s="21"/>
      <c r="D1783" s="21"/>
      <c r="E1783" s="21"/>
      <c r="F1783" s="91"/>
      <c r="G1783" s="21"/>
      <c r="H1783" s="21"/>
      <c r="I1783" s="21"/>
      <c r="J1783" s="9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</row>
    <row r="1784" spans="1:30" ht="13.2">
      <c r="A1784" s="21"/>
      <c r="B1784" s="21"/>
      <c r="C1784" s="21"/>
      <c r="D1784" s="21"/>
      <c r="E1784" s="21"/>
      <c r="F1784" s="91"/>
      <c r="G1784" s="21"/>
      <c r="H1784" s="21"/>
      <c r="I1784" s="21"/>
      <c r="J1784" s="9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</row>
    <row r="1785" spans="1:30" ht="13.2">
      <c r="A1785" s="21"/>
      <c r="B1785" s="21"/>
      <c r="C1785" s="21"/>
      <c r="D1785" s="21"/>
      <c r="E1785" s="21"/>
      <c r="F1785" s="91"/>
      <c r="G1785" s="21"/>
      <c r="H1785" s="21"/>
      <c r="I1785" s="21"/>
      <c r="J1785" s="9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</row>
    <row r="1786" spans="1:30" ht="13.2">
      <c r="A1786" s="21"/>
      <c r="B1786" s="21"/>
      <c r="C1786" s="21"/>
      <c r="D1786" s="21"/>
      <c r="E1786" s="21"/>
      <c r="F1786" s="91"/>
      <c r="G1786" s="21"/>
      <c r="H1786" s="21"/>
      <c r="I1786" s="21"/>
      <c r="J1786" s="9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</row>
    <row r="1787" spans="1:30" ht="13.2">
      <c r="A1787" s="21"/>
      <c r="B1787" s="21"/>
      <c r="C1787" s="21"/>
      <c r="D1787" s="21"/>
      <c r="E1787" s="21"/>
      <c r="F1787" s="91"/>
      <c r="G1787" s="21"/>
      <c r="H1787" s="21"/>
      <c r="I1787" s="21"/>
      <c r="J1787" s="9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</row>
    <row r="1788" spans="1:30" ht="13.2">
      <c r="A1788" s="21"/>
      <c r="B1788" s="21"/>
      <c r="C1788" s="21"/>
      <c r="D1788" s="21"/>
      <c r="E1788" s="21"/>
      <c r="F1788" s="91"/>
      <c r="G1788" s="21"/>
      <c r="H1788" s="21"/>
      <c r="I1788" s="21"/>
      <c r="J1788" s="9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</row>
    <row r="1789" spans="1:30" ht="13.2">
      <c r="A1789" s="21"/>
      <c r="B1789" s="21"/>
      <c r="C1789" s="21"/>
      <c r="D1789" s="21"/>
      <c r="E1789" s="21"/>
      <c r="F1789" s="91"/>
      <c r="G1789" s="21"/>
      <c r="H1789" s="21"/>
      <c r="I1789" s="21"/>
      <c r="J1789" s="9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</row>
    <row r="1790" spans="1:30" ht="13.2">
      <c r="A1790" s="21"/>
      <c r="B1790" s="21"/>
      <c r="C1790" s="21"/>
      <c r="D1790" s="21"/>
      <c r="E1790" s="21"/>
      <c r="F1790" s="91"/>
      <c r="G1790" s="21"/>
      <c r="H1790" s="21"/>
      <c r="I1790" s="21"/>
      <c r="J1790" s="9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</row>
    <row r="1791" spans="1:30" ht="13.2">
      <c r="A1791" s="21"/>
      <c r="B1791" s="21"/>
      <c r="C1791" s="21"/>
      <c r="D1791" s="21"/>
      <c r="E1791" s="21"/>
      <c r="F1791" s="91"/>
      <c r="G1791" s="21"/>
      <c r="H1791" s="21"/>
      <c r="I1791" s="21"/>
      <c r="J1791" s="9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</row>
    <row r="1792" spans="1:30" ht="13.2">
      <c r="A1792" s="21"/>
      <c r="B1792" s="21"/>
      <c r="C1792" s="21"/>
      <c r="D1792" s="21"/>
      <c r="E1792" s="21"/>
      <c r="F1792" s="91"/>
      <c r="G1792" s="21"/>
      <c r="H1792" s="21"/>
      <c r="I1792" s="21"/>
      <c r="J1792" s="9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</row>
    <row r="1793" spans="1:30" ht="13.2">
      <c r="A1793" s="21"/>
      <c r="B1793" s="21"/>
      <c r="C1793" s="21"/>
      <c r="D1793" s="21"/>
      <c r="E1793" s="21"/>
      <c r="F1793" s="91"/>
      <c r="G1793" s="21"/>
      <c r="H1793" s="21"/>
      <c r="I1793" s="21"/>
      <c r="J1793" s="9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</row>
    <row r="1794" spans="1:30" ht="13.2">
      <c r="A1794" s="21"/>
      <c r="B1794" s="21"/>
      <c r="C1794" s="21"/>
      <c r="D1794" s="21"/>
      <c r="E1794" s="21"/>
      <c r="F1794" s="91"/>
      <c r="G1794" s="21"/>
      <c r="H1794" s="21"/>
      <c r="I1794" s="21"/>
      <c r="J1794" s="9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</row>
    <row r="1795" spans="1:30" ht="13.2">
      <c r="A1795" s="21"/>
      <c r="B1795" s="21"/>
      <c r="C1795" s="21"/>
      <c r="D1795" s="21"/>
      <c r="E1795" s="21"/>
      <c r="F1795" s="91"/>
      <c r="G1795" s="21"/>
      <c r="H1795" s="21"/>
      <c r="I1795" s="21"/>
      <c r="J1795" s="9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</row>
    <row r="1796" spans="1:30" ht="13.2">
      <c r="A1796" s="21"/>
      <c r="B1796" s="21"/>
      <c r="C1796" s="21"/>
      <c r="D1796" s="21"/>
      <c r="E1796" s="21"/>
      <c r="F1796" s="91"/>
      <c r="G1796" s="21"/>
      <c r="H1796" s="21"/>
      <c r="I1796" s="21"/>
      <c r="J1796" s="9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</row>
    <row r="1797" spans="1:30" ht="13.2">
      <c r="A1797" s="21"/>
      <c r="B1797" s="21"/>
      <c r="C1797" s="21"/>
      <c r="D1797" s="21"/>
      <c r="E1797" s="21"/>
      <c r="F1797" s="91"/>
      <c r="G1797" s="21"/>
      <c r="H1797" s="21"/>
      <c r="I1797" s="21"/>
      <c r="J1797" s="9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</row>
    <row r="1798" spans="1:30" ht="13.2">
      <c r="A1798" s="21"/>
      <c r="B1798" s="21"/>
      <c r="C1798" s="21"/>
      <c r="D1798" s="21"/>
      <c r="E1798" s="21"/>
      <c r="F1798" s="91"/>
      <c r="G1798" s="21"/>
      <c r="H1798" s="21"/>
      <c r="I1798" s="21"/>
      <c r="J1798" s="9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</row>
    <row r="1799" spans="1:30" ht="13.2">
      <c r="A1799" s="21"/>
      <c r="B1799" s="21"/>
      <c r="C1799" s="21"/>
      <c r="D1799" s="21"/>
      <c r="E1799" s="21"/>
      <c r="F1799" s="91"/>
      <c r="G1799" s="21"/>
      <c r="H1799" s="21"/>
      <c r="I1799" s="21"/>
      <c r="J1799" s="9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</row>
    <row r="1800" spans="1:30" ht="13.2">
      <c r="A1800" s="21"/>
      <c r="B1800" s="21"/>
      <c r="C1800" s="21"/>
      <c r="D1800" s="21"/>
      <c r="E1800" s="21"/>
      <c r="F1800" s="91"/>
      <c r="G1800" s="21"/>
      <c r="H1800" s="21"/>
      <c r="I1800" s="21"/>
      <c r="J1800" s="9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</row>
    <row r="1801" spans="1:30" ht="13.2">
      <c r="A1801" s="21"/>
      <c r="B1801" s="21"/>
      <c r="C1801" s="21"/>
      <c r="D1801" s="21"/>
      <c r="E1801" s="21"/>
      <c r="F1801" s="91"/>
      <c r="G1801" s="21"/>
      <c r="H1801" s="21"/>
      <c r="I1801" s="21"/>
      <c r="J1801" s="9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</row>
    <row r="1802" spans="1:30" ht="13.2">
      <c r="A1802" s="21"/>
      <c r="B1802" s="21"/>
      <c r="C1802" s="21"/>
      <c r="D1802" s="21"/>
      <c r="E1802" s="21"/>
      <c r="F1802" s="91"/>
      <c r="G1802" s="21"/>
      <c r="H1802" s="21"/>
      <c r="I1802" s="21"/>
      <c r="J1802" s="9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</row>
    <row r="1803" spans="1:30" ht="13.2">
      <c r="A1803" s="21"/>
      <c r="B1803" s="21"/>
      <c r="C1803" s="21"/>
      <c r="D1803" s="21"/>
      <c r="E1803" s="21"/>
      <c r="F1803" s="91"/>
      <c r="G1803" s="21"/>
      <c r="H1803" s="21"/>
      <c r="I1803" s="21"/>
      <c r="J1803" s="9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</row>
    <row r="1804" spans="1:30" ht="13.2">
      <c r="A1804" s="21"/>
      <c r="B1804" s="21"/>
      <c r="C1804" s="21"/>
      <c r="D1804" s="21"/>
      <c r="E1804" s="21"/>
      <c r="F1804" s="91"/>
      <c r="G1804" s="21"/>
      <c r="H1804" s="21"/>
      <c r="I1804" s="21"/>
      <c r="J1804" s="9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</row>
    <row r="1805" spans="1:30" ht="13.2">
      <c r="A1805" s="21"/>
      <c r="B1805" s="21"/>
      <c r="C1805" s="21"/>
      <c r="D1805" s="21"/>
      <c r="E1805" s="21"/>
      <c r="F1805" s="91"/>
      <c r="G1805" s="21"/>
      <c r="H1805" s="21"/>
      <c r="I1805" s="21"/>
      <c r="J1805" s="9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</row>
    <row r="1806" spans="1:30" ht="13.2">
      <c r="A1806" s="21"/>
      <c r="B1806" s="21"/>
      <c r="C1806" s="21"/>
      <c r="D1806" s="21"/>
      <c r="E1806" s="21"/>
      <c r="F1806" s="91"/>
      <c r="G1806" s="21"/>
      <c r="H1806" s="21"/>
      <c r="I1806" s="21"/>
      <c r="J1806" s="9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</row>
    <row r="1807" spans="1:30" ht="13.2">
      <c r="A1807" s="21"/>
      <c r="B1807" s="21"/>
      <c r="C1807" s="21"/>
      <c r="D1807" s="21"/>
      <c r="E1807" s="21"/>
      <c r="F1807" s="91"/>
      <c r="G1807" s="21"/>
      <c r="H1807" s="21"/>
      <c r="I1807" s="21"/>
      <c r="J1807" s="9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</row>
    <row r="1808" spans="1:30" ht="13.2">
      <c r="A1808" s="21"/>
      <c r="B1808" s="21"/>
      <c r="C1808" s="21"/>
      <c r="D1808" s="21"/>
      <c r="E1808" s="21"/>
      <c r="F1808" s="91"/>
      <c r="G1808" s="21"/>
      <c r="H1808" s="21"/>
      <c r="I1808" s="21"/>
      <c r="J1808" s="9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</row>
    <row r="1809" spans="1:30" ht="13.2">
      <c r="A1809" s="21"/>
      <c r="B1809" s="21"/>
      <c r="C1809" s="21"/>
      <c r="D1809" s="21"/>
      <c r="E1809" s="21"/>
      <c r="F1809" s="91"/>
      <c r="G1809" s="21"/>
      <c r="H1809" s="21"/>
      <c r="I1809" s="21"/>
      <c r="J1809" s="9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</row>
    <row r="1810" spans="1:30" ht="13.2">
      <c r="A1810" s="21"/>
      <c r="B1810" s="21"/>
      <c r="C1810" s="21"/>
      <c r="D1810" s="21"/>
      <c r="E1810" s="21"/>
      <c r="F1810" s="91"/>
      <c r="G1810" s="21"/>
      <c r="H1810" s="21"/>
      <c r="I1810" s="21"/>
      <c r="J1810" s="9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</row>
    <row r="1811" spans="1:30" ht="13.2">
      <c r="A1811" s="21"/>
      <c r="B1811" s="21"/>
      <c r="C1811" s="21"/>
      <c r="D1811" s="21"/>
      <c r="E1811" s="21"/>
      <c r="F1811" s="91"/>
      <c r="G1811" s="21"/>
      <c r="H1811" s="21"/>
      <c r="I1811" s="21"/>
      <c r="J1811" s="9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</row>
    <row r="1812" spans="1:30" ht="13.2">
      <c r="A1812" s="21"/>
      <c r="B1812" s="21"/>
      <c r="C1812" s="21"/>
      <c r="D1812" s="21"/>
      <c r="E1812" s="21"/>
      <c r="F1812" s="91"/>
      <c r="G1812" s="21"/>
      <c r="H1812" s="21"/>
      <c r="I1812" s="21"/>
      <c r="J1812" s="9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</row>
    <row r="1813" spans="1:30" ht="13.2">
      <c r="A1813" s="21"/>
      <c r="B1813" s="21"/>
      <c r="C1813" s="21"/>
      <c r="D1813" s="21"/>
      <c r="E1813" s="21"/>
      <c r="F1813" s="91"/>
      <c r="G1813" s="21"/>
      <c r="H1813" s="21"/>
      <c r="I1813" s="21"/>
      <c r="J1813" s="9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</row>
    <row r="1814" spans="1:30" ht="13.2">
      <c r="A1814" s="21"/>
      <c r="B1814" s="21"/>
      <c r="C1814" s="21"/>
      <c r="D1814" s="21"/>
      <c r="E1814" s="21"/>
      <c r="F1814" s="91"/>
      <c r="G1814" s="21"/>
      <c r="H1814" s="21"/>
      <c r="I1814" s="21"/>
      <c r="J1814" s="9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</row>
    <row r="1815" spans="1:30" ht="13.2">
      <c r="A1815" s="21"/>
      <c r="B1815" s="21"/>
      <c r="C1815" s="21"/>
      <c r="D1815" s="21"/>
      <c r="E1815" s="21"/>
      <c r="F1815" s="91"/>
      <c r="G1815" s="21"/>
      <c r="H1815" s="21"/>
      <c r="I1815" s="21"/>
      <c r="J1815" s="9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</row>
    <row r="1816" spans="1:30" ht="13.2">
      <c r="A1816" s="21"/>
      <c r="B1816" s="21"/>
      <c r="C1816" s="21"/>
      <c r="D1816" s="21"/>
      <c r="E1816" s="21"/>
      <c r="F1816" s="91"/>
      <c r="G1816" s="21"/>
      <c r="H1816" s="21"/>
      <c r="I1816" s="21"/>
      <c r="J1816" s="9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</row>
    <row r="1817" spans="1:30" ht="13.2">
      <c r="A1817" s="21"/>
      <c r="B1817" s="21"/>
      <c r="C1817" s="21"/>
      <c r="D1817" s="21"/>
      <c r="E1817" s="21"/>
      <c r="F1817" s="91"/>
      <c r="G1817" s="21"/>
      <c r="H1817" s="21"/>
      <c r="I1817" s="21"/>
      <c r="J1817" s="9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</row>
    <row r="1818" spans="1:30" ht="13.2">
      <c r="A1818" s="21"/>
      <c r="B1818" s="21"/>
      <c r="C1818" s="21"/>
      <c r="D1818" s="21"/>
      <c r="E1818" s="21"/>
      <c r="F1818" s="91"/>
      <c r="G1818" s="21"/>
      <c r="H1818" s="21"/>
      <c r="I1818" s="21"/>
      <c r="J1818" s="9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</row>
    <row r="1819" spans="1:30" ht="13.2">
      <c r="A1819" s="21"/>
      <c r="B1819" s="21"/>
      <c r="C1819" s="21"/>
      <c r="D1819" s="21"/>
      <c r="E1819" s="21"/>
      <c r="F1819" s="91"/>
      <c r="G1819" s="21"/>
      <c r="H1819" s="21"/>
      <c r="I1819" s="21"/>
      <c r="J1819" s="9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</row>
    <row r="1820" spans="1:30" ht="13.2">
      <c r="A1820" s="21"/>
      <c r="B1820" s="21"/>
      <c r="C1820" s="21"/>
      <c r="D1820" s="21"/>
      <c r="E1820" s="21"/>
      <c r="F1820" s="91"/>
      <c r="G1820" s="21"/>
      <c r="H1820" s="21"/>
      <c r="I1820" s="21"/>
      <c r="J1820" s="9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</row>
    <row r="1821" spans="1:30" ht="13.2">
      <c r="A1821" s="21"/>
      <c r="B1821" s="21"/>
      <c r="C1821" s="21"/>
      <c r="D1821" s="21"/>
      <c r="E1821" s="21"/>
      <c r="F1821" s="91"/>
      <c r="G1821" s="21"/>
      <c r="H1821" s="21"/>
      <c r="I1821" s="21"/>
      <c r="J1821" s="9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</row>
    <row r="1822" spans="1:30" ht="13.2">
      <c r="A1822" s="21"/>
      <c r="B1822" s="21"/>
      <c r="C1822" s="21"/>
      <c r="D1822" s="21"/>
      <c r="E1822" s="21"/>
      <c r="F1822" s="91"/>
      <c r="G1822" s="21"/>
      <c r="H1822" s="21"/>
      <c r="I1822" s="21"/>
      <c r="J1822" s="9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</row>
    <row r="1823" spans="1:30" ht="13.2">
      <c r="A1823" s="21"/>
      <c r="B1823" s="21"/>
      <c r="C1823" s="21"/>
      <c r="D1823" s="21"/>
      <c r="E1823" s="21"/>
      <c r="F1823" s="91"/>
      <c r="G1823" s="21"/>
      <c r="H1823" s="21"/>
      <c r="I1823" s="21"/>
      <c r="J1823" s="9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</row>
    <row r="1824" spans="1:30" ht="13.2">
      <c r="A1824" s="21"/>
      <c r="B1824" s="21"/>
      <c r="C1824" s="21"/>
      <c r="D1824" s="21"/>
      <c r="E1824" s="21"/>
      <c r="F1824" s="91"/>
      <c r="G1824" s="21"/>
      <c r="H1824" s="21"/>
      <c r="I1824" s="21"/>
      <c r="J1824" s="9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</row>
    <row r="1825" spans="1:30" ht="13.2">
      <c r="A1825" s="21"/>
      <c r="B1825" s="21"/>
      <c r="C1825" s="21"/>
      <c r="D1825" s="21"/>
      <c r="E1825" s="21"/>
      <c r="F1825" s="91"/>
      <c r="G1825" s="21"/>
      <c r="H1825" s="21"/>
      <c r="I1825" s="21"/>
      <c r="J1825" s="9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</row>
    <row r="1826" spans="1:30" ht="13.2">
      <c r="A1826" s="21"/>
      <c r="B1826" s="21"/>
      <c r="C1826" s="21"/>
      <c r="D1826" s="21"/>
      <c r="E1826" s="21"/>
      <c r="F1826" s="91"/>
      <c r="G1826" s="21"/>
      <c r="H1826" s="21"/>
      <c r="I1826" s="21"/>
      <c r="J1826" s="9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</row>
    <row r="1827" spans="1:30" ht="13.2">
      <c r="A1827" s="21"/>
      <c r="B1827" s="21"/>
      <c r="C1827" s="21"/>
      <c r="D1827" s="21"/>
      <c r="E1827" s="21"/>
      <c r="F1827" s="91"/>
      <c r="G1827" s="21"/>
      <c r="H1827" s="21"/>
      <c r="I1827" s="21"/>
      <c r="J1827" s="9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</row>
    <row r="1828" spans="1:30" ht="13.2">
      <c r="A1828" s="21"/>
      <c r="B1828" s="21"/>
      <c r="C1828" s="21"/>
      <c r="D1828" s="21"/>
      <c r="E1828" s="21"/>
      <c r="F1828" s="91"/>
      <c r="G1828" s="21"/>
      <c r="H1828" s="21"/>
      <c r="I1828" s="21"/>
      <c r="J1828" s="9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</row>
    <row r="1829" spans="1:30" ht="13.2">
      <c r="A1829" s="21"/>
      <c r="B1829" s="21"/>
      <c r="C1829" s="21"/>
      <c r="D1829" s="21"/>
      <c r="E1829" s="21"/>
      <c r="F1829" s="91"/>
      <c r="G1829" s="21"/>
      <c r="H1829" s="21"/>
      <c r="I1829" s="21"/>
      <c r="J1829" s="9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</row>
    <row r="1830" spans="1:30" ht="13.2">
      <c r="A1830" s="21"/>
      <c r="B1830" s="21"/>
      <c r="C1830" s="21"/>
      <c r="D1830" s="21"/>
      <c r="E1830" s="21"/>
      <c r="F1830" s="91"/>
      <c r="G1830" s="21"/>
      <c r="H1830" s="21"/>
      <c r="I1830" s="21"/>
      <c r="J1830" s="9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</row>
    <row r="1831" spans="1:30" ht="13.2">
      <c r="A1831" s="21"/>
      <c r="B1831" s="21"/>
      <c r="C1831" s="21"/>
      <c r="D1831" s="21"/>
      <c r="E1831" s="21"/>
      <c r="F1831" s="91"/>
      <c r="G1831" s="21"/>
      <c r="H1831" s="21"/>
      <c r="I1831" s="21"/>
      <c r="J1831" s="9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</row>
    <row r="1832" spans="1:30" ht="13.2">
      <c r="A1832" s="21"/>
      <c r="B1832" s="21"/>
      <c r="C1832" s="21"/>
      <c r="D1832" s="21"/>
      <c r="E1832" s="21"/>
      <c r="F1832" s="91"/>
      <c r="G1832" s="21"/>
      <c r="H1832" s="21"/>
      <c r="I1832" s="21"/>
      <c r="J1832" s="9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</row>
    <row r="1833" spans="1:30" ht="13.2">
      <c r="A1833" s="21"/>
      <c r="B1833" s="21"/>
      <c r="C1833" s="21"/>
      <c r="D1833" s="21"/>
      <c r="E1833" s="21"/>
      <c r="F1833" s="91"/>
      <c r="G1833" s="21"/>
      <c r="H1833" s="21"/>
      <c r="I1833" s="21"/>
      <c r="J1833" s="9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</row>
    <row r="1834" spans="1:30" ht="13.2">
      <c r="A1834" s="21"/>
      <c r="B1834" s="21"/>
      <c r="C1834" s="21"/>
      <c r="D1834" s="21"/>
      <c r="E1834" s="21"/>
      <c r="F1834" s="91"/>
      <c r="G1834" s="21"/>
      <c r="H1834" s="21"/>
      <c r="I1834" s="21"/>
      <c r="J1834" s="9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</row>
    <row r="1835" spans="1:30" ht="13.2">
      <c r="A1835" s="21"/>
      <c r="B1835" s="21"/>
      <c r="C1835" s="21"/>
      <c r="D1835" s="21"/>
      <c r="E1835" s="21"/>
      <c r="F1835" s="91"/>
      <c r="G1835" s="21"/>
      <c r="H1835" s="21"/>
      <c r="I1835" s="21"/>
      <c r="J1835" s="9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</row>
  </sheetData>
  <autoFilter ref="E2:E26" xr:uid="{00000000-0009-0000-0000-000003000000}"/>
  <mergeCells count="1">
    <mergeCell ref="A1:J1"/>
  </mergeCells>
  <hyperlinks>
    <hyperlink ref="A2" r:id="rId1" xr:uid="{00000000-0004-0000-0300-000000000000}"/>
    <hyperlink ref="J3" r:id="rId2" xr:uid="{00000000-0004-0000-0300-000001000000}"/>
    <hyperlink ref="J4" r:id="rId3" xr:uid="{00000000-0004-0000-0300-000002000000}"/>
    <hyperlink ref="J8" r:id="rId4" xr:uid="{00000000-0004-0000-0300-000003000000}"/>
    <hyperlink ref="J10" r:id="rId5" xr:uid="{00000000-0004-0000-0300-000004000000}"/>
    <hyperlink ref="J11" r:id="rId6" xr:uid="{00000000-0004-0000-0300-000005000000}"/>
    <hyperlink ref="J12" r:id="rId7" xr:uid="{00000000-0004-0000-0300-000006000000}"/>
    <hyperlink ref="J13" r:id="rId8" xr:uid="{00000000-0004-0000-0300-000007000000}"/>
    <hyperlink ref="J14" r:id="rId9" xr:uid="{00000000-0004-0000-0300-000008000000}"/>
    <hyperlink ref="J15" r:id="rId10" xr:uid="{00000000-0004-0000-0300-000009000000}"/>
    <hyperlink ref="J16" r:id="rId11" xr:uid="{00000000-0004-0000-0300-00000A000000}"/>
    <hyperlink ref="J17" r:id="rId12" xr:uid="{00000000-0004-0000-0300-00000B000000}"/>
    <hyperlink ref="J20" r:id="rId13" xr:uid="{00000000-0004-0000-0300-00000C000000}"/>
    <hyperlink ref="J21" r:id="rId14" xr:uid="{00000000-0004-0000-0300-00000D000000}"/>
    <hyperlink ref="J22" r:id="rId15" xr:uid="{00000000-0004-0000-0300-00000E000000}"/>
    <hyperlink ref="J33" r:id="rId16" xr:uid="{00000000-0004-0000-0300-00000F000000}"/>
    <hyperlink ref="J34" r:id="rId17" xr:uid="{00000000-0004-0000-0300-000010000000}"/>
    <hyperlink ref="J38" r:id="rId18" xr:uid="{00000000-0004-0000-0300-000011000000}"/>
    <hyperlink ref="J46" r:id="rId19" xr:uid="{00000000-0004-0000-0300-000012000000}"/>
    <hyperlink ref="J47" r:id="rId20" xr:uid="{00000000-0004-0000-0300-000013000000}"/>
    <hyperlink ref="J52" r:id="rId21" xr:uid="{00000000-0004-0000-0300-000014000000}"/>
    <hyperlink ref="J53" r:id="rId22" xr:uid="{00000000-0004-0000-0300-000015000000}"/>
    <hyperlink ref="J54" r:id="rId23" xr:uid="{00000000-0004-0000-0300-000016000000}"/>
    <hyperlink ref="J55" r:id="rId24" xr:uid="{00000000-0004-0000-0300-000017000000}"/>
    <hyperlink ref="J58" r:id="rId25" xr:uid="{00000000-0004-0000-0300-000018000000}"/>
    <hyperlink ref="J59" r:id="rId26" xr:uid="{00000000-0004-0000-0300-000019000000}"/>
    <hyperlink ref="J60" r:id="rId27" xr:uid="{00000000-0004-0000-0300-00001A000000}"/>
    <hyperlink ref="J61" r:id="rId28" xr:uid="{00000000-0004-0000-0300-00001B000000}"/>
    <hyperlink ref="J62" r:id="rId29" xr:uid="{00000000-0004-0000-0300-00001C000000}"/>
    <hyperlink ref="J63" r:id="rId30" xr:uid="{00000000-0004-0000-0300-00001D000000}"/>
    <hyperlink ref="J64" r:id="rId31" xr:uid="{00000000-0004-0000-0300-00001E000000}"/>
    <hyperlink ref="J65" r:id="rId32" xr:uid="{00000000-0004-0000-0300-00001F000000}"/>
    <hyperlink ref="J66" r:id="rId33" xr:uid="{00000000-0004-0000-0300-000020000000}"/>
    <hyperlink ref="J67" r:id="rId34" xr:uid="{00000000-0004-0000-0300-000021000000}"/>
    <hyperlink ref="J68" r:id="rId35" xr:uid="{00000000-0004-0000-0300-000022000000}"/>
    <hyperlink ref="J69" r:id="rId36" xr:uid="{00000000-0004-0000-0300-000023000000}"/>
    <hyperlink ref="J70" r:id="rId37" xr:uid="{00000000-0004-0000-0300-000024000000}"/>
    <hyperlink ref="J71" r:id="rId38" xr:uid="{00000000-0004-0000-0300-000025000000}"/>
    <hyperlink ref="J72" r:id="rId39" xr:uid="{00000000-0004-0000-0300-000026000000}"/>
    <hyperlink ref="J73" r:id="rId40" xr:uid="{00000000-0004-0000-0300-000027000000}"/>
    <hyperlink ref="J74" r:id="rId41" xr:uid="{00000000-0004-0000-0300-000028000000}"/>
    <hyperlink ref="J78" r:id="rId42" xr:uid="{00000000-0004-0000-0300-000029000000}"/>
    <hyperlink ref="J79" r:id="rId43" xr:uid="{00000000-0004-0000-0300-00002A000000}"/>
    <hyperlink ref="J80" r:id="rId44" xr:uid="{00000000-0004-0000-0300-00002B000000}"/>
    <hyperlink ref="J81" r:id="rId45" xr:uid="{00000000-0004-0000-0300-00002C000000}"/>
    <hyperlink ref="J82" r:id="rId46" xr:uid="{00000000-0004-0000-0300-00002D000000}"/>
    <hyperlink ref="J83" r:id="rId47" xr:uid="{00000000-0004-0000-0300-00002E000000}"/>
    <hyperlink ref="J86" r:id="rId48" xr:uid="{00000000-0004-0000-0300-00002F000000}"/>
    <hyperlink ref="J89" r:id="rId49" xr:uid="{00000000-0004-0000-0300-000030000000}"/>
    <hyperlink ref="J90" r:id="rId50" xr:uid="{00000000-0004-0000-0300-000031000000}"/>
    <hyperlink ref="J91" r:id="rId51" xr:uid="{00000000-0004-0000-0300-000032000000}"/>
    <hyperlink ref="J92" r:id="rId52" xr:uid="{00000000-0004-0000-0300-000033000000}"/>
    <hyperlink ref="J93" r:id="rId53" xr:uid="{00000000-0004-0000-0300-000034000000}"/>
    <hyperlink ref="J94" r:id="rId54" xr:uid="{00000000-0004-0000-0300-000035000000}"/>
    <hyperlink ref="J95" r:id="rId55" xr:uid="{00000000-0004-0000-0300-000036000000}"/>
    <hyperlink ref="J102" r:id="rId56" xr:uid="{00000000-0004-0000-0300-000037000000}"/>
    <hyperlink ref="J103" r:id="rId57" xr:uid="{00000000-0004-0000-0300-000038000000}"/>
    <hyperlink ref="J104" r:id="rId58" xr:uid="{00000000-0004-0000-0300-000039000000}"/>
    <hyperlink ref="J105" r:id="rId59" xr:uid="{00000000-0004-0000-0300-00003A000000}"/>
    <hyperlink ref="J106" r:id="rId60" xr:uid="{00000000-0004-0000-0300-00003B000000}"/>
    <hyperlink ref="J107" r:id="rId61" xr:uid="{00000000-0004-0000-0300-00003C000000}"/>
    <hyperlink ref="J108" r:id="rId62" xr:uid="{00000000-0004-0000-0300-00003D000000}"/>
    <hyperlink ref="J109" r:id="rId63" xr:uid="{00000000-0004-0000-0300-00003E000000}"/>
    <hyperlink ref="J110" r:id="rId64" xr:uid="{00000000-0004-0000-0300-00003F000000}"/>
    <hyperlink ref="J111" r:id="rId65" xr:uid="{00000000-0004-0000-0300-000040000000}"/>
    <hyperlink ref="J112" r:id="rId66" xr:uid="{00000000-0004-0000-0300-000041000000}"/>
    <hyperlink ref="J113" r:id="rId67" xr:uid="{00000000-0004-0000-0300-000042000000}"/>
    <hyperlink ref="J114" r:id="rId68" xr:uid="{00000000-0004-0000-0300-000043000000}"/>
    <hyperlink ref="J115" r:id="rId69" xr:uid="{00000000-0004-0000-0300-000044000000}"/>
    <hyperlink ref="J116" r:id="rId70" xr:uid="{00000000-0004-0000-0300-000045000000}"/>
    <hyperlink ref="J117" r:id="rId71" xr:uid="{00000000-0004-0000-0300-000046000000}"/>
    <hyperlink ref="J118" r:id="rId72" xr:uid="{00000000-0004-0000-0300-000047000000}"/>
    <hyperlink ref="J119" r:id="rId73" xr:uid="{00000000-0004-0000-0300-000048000000}"/>
    <hyperlink ref="J120" r:id="rId74" xr:uid="{00000000-0004-0000-0300-000049000000}"/>
    <hyperlink ref="J121" r:id="rId75" xr:uid="{00000000-0004-0000-0300-00004A000000}"/>
    <hyperlink ref="J122" r:id="rId76" xr:uid="{00000000-0004-0000-0300-00004B000000}"/>
    <hyperlink ref="J123" r:id="rId77" xr:uid="{00000000-0004-0000-0300-00004C000000}"/>
    <hyperlink ref="J124" r:id="rId78" xr:uid="{00000000-0004-0000-0300-00004D000000}"/>
    <hyperlink ref="J125" r:id="rId79" xr:uid="{00000000-0004-0000-0300-00004E000000}"/>
    <hyperlink ref="J126" r:id="rId80" xr:uid="{00000000-0004-0000-0300-00004F000000}"/>
    <hyperlink ref="J127" r:id="rId81" xr:uid="{00000000-0004-0000-0300-000050000000}"/>
    <hyperlink ref="J128" r:id="rId82" xr:uid="{00000000-0004-0000-0300-000051000000}"/>
    <hyperlink ref="J129" r:id="rId83" xr:uid="{00000000-0004-0000-0300-000052000000}"/>
    <hyperlink ref="J130" r:id="rId84" xr:uid="{00000000-0004-0000-0300-000053000000}"/>
    <hyperlink ref="J134" r:id="rId85" xr:uid="{00000000-0004-0000-0300-000054000000}"/>
    <hyperlink ref="J152" r:id="rId86" xr:uid="{00000000-0004-0000-0300-000055000000}"/>
    <hyperlink ref="J153" r:id="rId87" xr:uid="{00000000-0004-0000-0300-000056000000}"/>
    <hyperlink ref="J164" r:id="rId88" xr:uid="{00000000-0004-0000-0300-000057000000}"/>
    <hyperlink ref="J165" r:id="rId89" xr:uid="{00000000-0004-0000-0300-000058000000}"/>
    <hyperlink ref="J166" r:id="rId90" xr:uid="{00000000-0004-0000-0300-000059000000}"/>
    <hyperlink ref="J167" r:id="rId91" xr:uid="{00000000-0004-0000-0300-00005A000000}"/>
    <hyperlink ref="J168" r:id="rId92" xr:uid="{00000000-0004-0000-0300-00005B000000}"/>
    <hyperlink ref="J169" r:id="rId93" xr:uid="{00000000-0004-0000-0300-00005C000000}"/>
    <hyperlink ref="J170" r:id="rId94" xr:uid="{00000000-0004-0000-0300-00005D000000}"/>
    <hyperlink ref="J171" r:id="rId95" xr:uid="{00000000-0004-0000-0300-00005E000000}"/>
    <hyperlink ref="J172" r:id="rId96" xr:uid="{00000000-0004-0000-0300-00005F000000}"/>
    <hyperlink ref="J173" r:id="rId97" xr:uid="{00000000-0004-0000-0300-000060000000}"/>
    <hyperlink ref="J174" r:id="rId98" xr:uid="{00000000-0004-0000-0300-000061000000}"/>
    <hyperlink ref="J175" r:id="rId99" xr:uid="{00000000-0004-0000-0300-000062000000}"/>
    <hyperlink ref="J176" r:id="rId100" xr:uid="{00000000-0004-0000-0300-000063000000}"/>
    <hyperlink ref="J177" r:id="rId101" xr:uid="{00000000-0004-0000-0300-000064000000}"/>
    <hyperlink ref="J178" r:id="rId102" xr:uid="{00000000-0004-0000-0300-000065000000}"/>
    <hyperlink ref="J179" r:id="rId103" xr:uid="{00000000-0004-0000-0300-000066000000}"/>
    <hyperlink ref="J180" r:id="rId104" xr:uid="{00000000-0004-0000-0300-000067000000}"/>
    <hyperlink ref="J181" r:id="rId105" xr:uid="{00000000-0004-0000-0300-000068000000}"/>
    <hyperlink ref="J182" r:id="rId106" xr:uid="{00000000-0004-0000-0300-000069000000}"/>
    <hyperlink ref="J183" r:id="rId107" xr:uid="{00000000-0004-0000-0300-00006A000000}"/>
    <hyperlink ref="J186" r:id="rId108" xr:uid="{00000000-0004-0000-0300-00006B000000}"/>
    <hyperlink ref="K186" r:id="rId109" xr:uid="{00000000-0004-0000-0300-00006C000000}"/>
  </hyperlinks>
  <printOptions horizontalCentered="1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97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" customWidth="1"/>
    <col min="2" max="2" width="23.77734375" customWidth="1"/>
    <col min="3" max="3" width="13.6640625" customWidth="1"/>
    <col min="4" max="5" width="32.88671875" customWidth="1"/>
    <col min="6" max="6" width="17.33203125" customWidth="1"/>
    <col min="7" max="7" width="24.33203125" customWidth="1"/>
    <col min="8" max="9" width="16.88671875" customWidth="1"/>
    <col min="10" max="10" width="28.33203125" customWidth="1"/>
    <col min="11" max="11" width="38.6640625" customWidth="1"/>
  </cols>
  <sheetData>
    <row r="1" spans="1:31" ht="49.5" customHeight="1">
      <c r="A1" s="236" t="s">
        <v>2688</v>
      </c>
      <c r="B1" s="237" t="s">
        <v>77</v>
      </c>
      <c r="C1" s="238" t="s">
        <v>79</v>
      </c>
      <c r="D1" s="239" t="s">
        <v>2689</v>
      </c>
      <c r="E1" s="239" t="s">
        <v>2690</v>
      </c>
      <c r="F1" s="240" t="s">
        <v>2691</v>
      </c>
      <c r="G1" s="240" t="s">
        <v>2692</v>
      </c>
      <c r="H1" s="240" t="s">
        <v>2693</v>
      </c>
      <c r="I1" s="240" t="s">
        <v>2694</v>
      </c>
      <c r="J1" s="240" t="s">
        <v>2695</v>
      </c>
      <c r="K1" s="240" t="s">
        <v>2696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41.25" customHeight="1">
      <c r="A2" s="241">
        <v>1</v>
      </c>
      <c r="B2" s="242" t="s">
        <v>696</v>
      </c>
      <c r="C2" s="241" t="s">
        <v>15</v>
      </c>
      <c r="D2" s="79" t="s">
        <v>2697</v>
      </c>
      <c r="E2" s="79" t="s">
        <v>2058</v>
      </c>
      <c r="F2" s="243" t="s">
        <v>100</v>
      </c>
      <c r="G2" s="243" t="s">
        <v>100</v>
      </c>
      <c r="H2" s="241">
        <v>5000</v>
      </c>
      <c r="I2" s="241" t="s">
        <v>108</v>
      </c>
      <c r="J2" s="244">
        <v>45505</v>
      </c>
      <c r="K2" s="245" t="s">
        <v>2698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pans="1:31" ht="78.75" customHeight="1">
      <c r="A3" s="246">
        <v>2</v>
      </c>
      <c r="B3" s="247" t="s">
        <v>2699</v>
      </c>
      <c r="C3" s="248" t="s">
        <v>17</v>
      </c>
      <c r="D3" s="37" t="s">
        <v>2700</v>
      </c>
      <c r="E3" s="37" t="s">
        <v>100</v>
      </c>
      <c r="F3" s="249" t="s">
        <v>2701</v>
      </c>
      <c r="G3" s="250" t="s">
        <v>2702</v>
      </c>
      <c r="H3" s="251">
        <v>23050</v>
      </c>
      <c r="I3" s="246" t="s">
        <v>108</v>
      </c>
      <c r="J3" s="252">
        <v>45536</v>
      </c>
      <c r="K3" s="253" t="s">
        <v>2703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 ht="78.75" customHeight="1">
      <c r="A4" s="246">
        <v>3</v>
      </c>
      <c r="B4" s="247" t="s">
        <v>2699</v>
      </c>
      <c r="C4" s="248" t="s">
        <v>17</v>
      </c>
      <c r="D4" s="37" t="s">
        <v>2704</v>
      </c>
      <c r="E4" s="37" t="s">
        <v>2705</v>
      </c>
      <c r="F4" s="249">
        <v>12000</v>
      </c>
      <c r="G4" s="250" t="s">
        <v>2706</v>
      </c>
      <c r="H4" s="251">
        <v>6000</v>
      </c>
      <c r="I4" s="246" t="s">
        <v>108</v>
      </c>
      <c r="J4" s="246" t="s">
        <v>2656</v>
      </c>
      <c r="K4" s="253" t="s">
        <v>2707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 ht="78.75" customHeight="1">
      <c r="A5" s="246">
        <v>4</v>
      </c>
      <c r="B5" s="247" t="s">
        <v>2699</v>
      </c>
      <c r="C5" s="248" t="s">
        <v>17</v>
      </c>
      <c r="D5" s="246" t="s">
        <v>2708</v>
      </c>
      <c r="E5" s="37" t="s">
        <v>2709</v>
      </c>
      <c r="F5" s="249">
        <v>32000</v>
      </c>
      <c r="G5" s="250" t="s">
        <v>2710</v>
      </c>
      <c r="H5" s="251">
        <v>16000</v>
      </c>
      <c r="I5" s="246" t="s">
        <v>108</v>
      </c>
      <c r="J5" s="246" t="s">
        <v>2711</v>
      </c>
      <c r="K5" s="253" t="s">
        <v>2707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 ht="78.75" customHeight="1">
      <c r="A6" s="246">
        <v>5</v>
      </c>
      <c r="B6" s="247" t="s">
        <v>2699</v>
      </c>
      <c r="C6" s="248" t="s">
        <v>17</v>
      </c>
      <c r="D6" s="250" t="s">
        <v>2712</v>
      </c>
      <c r="E6" s="37" t="s">
        <v>2713</v>
      </c>
      <c r="F6" s="249"/>
      <c r="G6" s="250" t="s">
        <v>2714</v>
      </c>
      <c r="H6" s="251">
        <v>10000</v>
      </c>
      <c r="I6" s="246" t="s">
        <v>108</v>
      </c>
      <c r="J6" s="246" t="s">
        <v>2715</v>
      </c>
      <c r="K6" s="253" t="s">
        <v>2707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 ht="78.75" customHeight="1">
      <c r="A7" s="246">
        <v>6</v>
      </c>
      <c r="B7" s="247" t="s">
        <v>2699</v>
      </c>
      <c r="C7" s="248" t="s">
        <v>17</v>
      </c>
      <c r="D7" s="250" t="s">
        <v>2716</v>
      </c>
      <c r="E7" s="37" t="s">
        <v>2717</v>
      </c>
      <c r="F7" s="249"/>
      <c r="G7" s="250" t="s">
        <v>2718</v>
      </c>
      <c r="H7" s="251">
        <v>10000</v>
      </c>
      <c r="I7" s="246" t="s">
        <v>108</v>
      </c>
      <c r="J7" s="246" t="s">
        <v>2719</v>
      </c>
      <c r="K7" s="253" t="s">
        <v>2720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 ht="40.5" customHeight="1">
      <c r="A8" s="246">
        <v>7</v>
      </c>
      <c r="B8" s="126" t="s">
        <v>2721</v>
      </c>
      <c r="C8" s="254" t="s">
        <v>2722</v>
      </c>
      <c r="D8" s="37" t="s">
        <v>2723</v>
      </c>
      <c r="E8" s="37" t="s">
        <v>2724</v>
      </c>
      <c r="F8" s="250" t="s">
        <v>100</v>
      </c>
      <c r="G8" s="250" t="s">
        <v>100</v>
      </c>
      <c r="H8" s="246">
        <v>600</v>
      </c>
      <c r="I8" s="246"/>
      <c r="J8" s="252">
        <v>45536</v>
      </c>
      <c r="K8" s="250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 ht="36.75" customHeight="1">
      <c r="A9" s="246">
        <v>8</v>
      </c>
      <c r="B9" s="126" t="s">
        <v>288</v>
      </c>
      <c r="C9" s="254" t="s">
        <v>24</v>
      </c>
      <c r="D9" s="37" t="s">
        <v>2725</v>
      </c>
      <c r="E9" s="37" t="s">
        <v>2726</v>
      </c>
      <c r="F9" s="250" t="s">
        <v>100</v>
      </c>
      <c r="G9" s="250">
        <v>180</v>
      </c>
      <c r="H9" s="246">
        <v>9000</v>
      </c>
      <c r="I9" s="246" t="s">
        <v>322</v>
      </c>
      <c r="J9" s="255">
        <v>45566</v>
      </c>
      <c r="K9" s="25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 ht="15.75" customHeight="1">
      <c r="A10" s="246">
        <v>9</v>
      </c>
      <c r="B10" s="256" t="s">
        <v>520</v>
      </c>
      <c r="C10" s="257" t="s">
        <v>24</v>
      </c>
      <c r="D10" s="79" t="s">
        <v>2727</v>
      </c>
      <c r="E10" s="79" t="s">
        <v>2728</v>
      </c>
      <c r="F10" s="243" t="s">
        <v>100</v>
      </c>
      <c r="G10" s="242" t="s">
        <v>100</v>
      </c>
      <c r="H10" s="241">
        <v>2000</v>
      </c>
      <c r="I10" s="246" t="s">
        <v>2729</v>
      </c>
      <c r="J10" s="255">
        <v>45597</v>
      </c>
      <c r="K10" s="25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 ht="34.5" customHeight="1">
      <c r="A11" s="246">
        <v>10</v>
      </c>
      <c r="B11" s="126" t="s">
        <v>291</v>
      </c>
      <c r="C11" s="254" t="s">
        <v>17</v>
      </c>
      <c r="D11" s="37" t="s">
        <v>2708</v>
      </c>
      <c r="E11" s="37" t="s">
        <v>2730</v>
      </c>
      <c r="F11" s="250">
        <v>32000</v>
      </c>
      <c r="G11" s="250">
        <v>110</v>
      </c>
      <c r="H11" s="246">
        <v>16000</v>
      </c>
      <c r="I11" s="246" t="s">
        <v>191</v>
      </c>
      <c r="J11" s="255">
        <v>45597</v>
      </c>
      <c r="K11" s="258" t="s">
        <v>2731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 ht="36.75" customHeight="1">
      <c r="A12" s="246">
        <v>11</v>
      </c>
      <c r="B12" s="256" t="s">
        <v>696</v>
      </c>
      <c r="C12" s="257" t="s">
        <v>15</v>
      </c>
      <c r="D12" s="79" t="s">
        <v>2697</v>
      </c>
      <c r="E12" s="79" t="s">
        <v>2058</v>
      </c>
      <c r="F12" s="243" t="s">
        <v>100</v>
      </c>
      <c r="G12" s="243" t="s">
        <v>100</v>
      </c>
      <c r="H12" s="241">
        <v>5516</v>
      </c>
      <c r="I12" s="241" t="s">
        <v>108</v>
      </c>
      <c r="J12" s="244">
        <v>45627</v>
      </c>
      <c r="K12" s="259" t="s">
        <v>2732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 ht="15.75" customHeight="1">
      <c r="A13" s="246">
        <v>12</v>
      </c>
      <c r="B13" s="256" t="s">
        <v>1176</v>
      </c>
      <c r="C13" s="257" t="s">
        <v>15</v>
      </c>
      <c r="D13" s="79" t="s">
        <v>2697</v>
      </c>
      <c r="E13" s="79" t="s">
        <v>2058</v>
      </c>
      <c r="F13" s="243" t="s">
        <v>100</v>
      </c>
      <c r="G13" s="243" t="s">
        <v>100</v>
      </c>
      <c r="H13" s="241">
        <v>5000</v>
      </c>
      <c r="I13" s="241" t="s">
        <v>108</v>
      </c>
      <c r="J13" s="244">
        <v>45627</v>
      </c>
      <c r="K13" s="7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 ht="25.5" customHeight="1">
      <c r="A14" s="246">
        <v>13</v>
      </c>
      <c r="B14" s="126" t="s">
        <v>2733</v>
      </c>
      <c r="C14" s="254" t="s">
        <v>25</v>
      </c>
      <c r="D14" s="37" t="s">
        <v>2734</v>
      </c>
      <c r="E14" s="37" t="s">
        <v>2735</v>
      </c>
      <c r="F14" s="250" t="s">
        <v>100</v>
      </c>
      <c r="G14" s="250" t="s">
        <v>100</v>
      </c>
      <c r="H14" s="260">
        <v>35000</v>
      </c>
      <c r="I14" s="246" t="s">
        <v>108</v>
      </c>
      <c r="J14" s="241" t="s">
        <v>2736</v>
      </c>
      <c r="K14" s="258" t="s">
        <v>2737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 ht="33.75" customHeight="1">
      <c r="A15" s="246">
        <v>14</v>
      </c>
      <c r="B15" s="126" t="s">
        <v>2733</v>
      </c>
      <c r="C15" s="254" t="s">
        <v>25</v>
      </c>
      <c r="D15" s="37" t="s">
        <v>2738</v>
      </c>
      <c r="E15" s="37" t="s">
        <v>2739</v>
      </c>
      <c r="F15" s="249" t="s">
        <v>100</v>
      </c>
      <c r="G15" s="250" t="s">
        <v>100</v>
      </c>
      <c r="H15" s="260">
        <v>16000</v>
      </c>
      <c r="I15" s="246" t="s">
        <v>108</v>
      </c>
      <c r="J15" s="261">
        <v>45679</v>
      </c>
      <c r="K15" s="258" t="s">
        <v>2740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 ht="26.25" customHeight="1">
      <c r="A16" s="246">
        <v>15</v>
      </c>
      <c r="B16" s="126" t="s">
        <v>2733</v>
      </c>
      <c r="C16" s="254" t="s">
        <v>25</v>
      </c>
      <c r="D16" s="37" t="s">
        <v>2741</v>
      </c>
      <c r="E16" s="37" t="s">
        <v>100</v>
      </c>
      <c r="F16" s="249">
        <v>11485</v>
      </c>
      <c r="G16" s="250">
        <v>65</v>
      </c>
      <c r="H16" s="249">
        <v>11485</v>
      </c>
      <c r="I16" s="246" t="s">
        <v>108</v>
      </c>
      <c r="J16" s="246" t="s">
        <v>2742</v>
      </c>
      <c r="K16" s="250"/>
      <c r="L16" s="55" t="s">
        <v>2743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 ht="40.5" customHeight="1">
      <c r="A17" s="246">
        <v>16</v>
      </c>
      <c r="B17" s="126" t="s">
        <v>2733</v>
      </c>
      <c r="C17" s="254" t="s">
        <v>25</v>
      </c>
      <c r="D17" s="37" t="s">
        <v>2744</v>
      </c>
      <c r="E17" s="37" t="s">
        <v>100</v>
      </c>
      <c r="F17" s="250">
        <v>89831</v>
      </c>
      <c r="G17" s="250">
        <v>32</v>
      </c>
      <c r="H17" s="249">
        <v>20086</v>
      </c>
      <c r="I17" s="246">
        <v>69745</v>
      </c>
      <c r="J17" s="246" t="s">
        <v>2745</v>
      </c>
      <c r="L17" s="250" t="s">
        <v>2746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 ht="15.75" customHeight="1">
      <c r="A18" s="246">
        <v>17</v>
      </c>
      <c r="B18" s="37" t="s">
        <v>2747</v>
      </c>
      <c r="C18" s="246" t="s">
        <v>2254</v>
      </c>
      <c r="D18" s="37" t="s">
        <v>2748</v>
      </c>
      <c r="E18" s="37" t="s">
        <v>100</v>
      </c>
      <c r="F18" s="250" t="s">
        <v>2749</v>
      </c>
      <c r="G18" s="250">
        <v>18</v>
      </c>
      <c r="H18" s="250">
        <v>6300</v>
      </c>
      <c r="I18" s="246" t="s">
        <v>108</v>
      </c>
      <c r="J18" s="252">
        <v>45689</v>
      </c>
      <c r="K18" s="25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 ht="15.75" customHeight="1">
      <c r="A19" s="246">
        <v>18</v>
      </c>
      <c r="B19" s="242" t="s">
        <v>2750</v>
      </c>
      <c r="C19" s="241" t="s">
        <v>15</v>
      </c>
      <c r="D19" s="79" t="s">
        <v>2751</v>
      </c>
      <c r="E19" s="79" t="s">
        <v>100</v>
      </c>
      <c r="F19" s="243" t="s">
        <v>2752</v>
      </c>
      <c r="G19" s="243">
        <v>73</v>
      </c>
      <c r="H19" s="241">
        <v>36500</v>
      </c>
      <c r="I19" s="241" t="s">
        <v>2753</v>
      </c>
      <c r="J19" s="241" t="s">
        <v>2754</v>
      </c>
      <c r="K19" s="262" t="s">
        <v>2755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</row>
    <row r="20" spans="1:31" ht="23.25" customHeight="1">
      <c r="A20" s="246">
        <v>19</v>
      </c>
      <c r="B20" s="41" t="s">
        <v>298</v>
      </c>
      <c r="C20" s="246" t="s">
        <v>17</v>
      </c>
      <c r="D20" s="37" t="s">
        <v>2756</v>
      </c>
      <c r="E20" s="37" t="s">
        <v>100</v>
      </c>
      <c r="F20" s="250" t="s">
        <v>2757</v>
      </c>
      <c r="G20" s="250">
        <v>21</v>
      </c>
      <c r="H20" s="246">
        <v>4900</v>
      </c>
      <c r="I20" s="246" t="s">
        <v>108</v>
      </c>
      <c r="J20" s="252">
        <v>45689</v>
      </c>
      <c r="K20" s="263" t="s">
        <v>2758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 ht="15.75" customHeight="1">
      <c r="A21" s="246">
        <v>20</v>
      </c>
      <c r="B21" s="41" t="s">
        <v>386</v>
      </c>
      <c r="C21" s="246" t="s">
        <v>17</v>
      </c>
      <c r="D21" s="37" t="s">
        <v>2759</v>
      </c>
      <c r="E21" s="37" t="s">
        <v>2760</v>
      </c>
      <c r="F21" s="250" t="s">
        <v>47</v>
      </c>
      <c r="G21" s="250" t="s">
        <v>47</v>
      </c>
      <c r="H21" s="264">
        <v>6000</v>
      </c>
      <c r="I21" s="246" t="s">
        <v>108</v>
      </c>
      <c r="J21" s="252">
        <v>45689</v>
      </c>
      <c r="K21" s="38" t="s">
        <v>2761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 ht="57" customHeight="1">
      <c r="A22" s="246">
        <v>21</v>
      </c>
      <c r="B22" s="41" t="s">
        <v>282</v>
      </c>
      <c r="C22" s="246" t="s">
        <v>24</v>
      </c>
      <c r="D22" s="43" t="s">
        <v>2762</v>
      </c>
      <c r="E22" s="43" t="s">
        <v>2763</v>
      </c>
      <c r="F22" s="62" t="s">
        <v>100</v>
      </c>
      <c r="G22" s="62">
        <v>39</v>
      </c>
      <c r="H22" s="23">
        <v>11700</v>
      </c>
      <c r="I22" s="23" t="s">
        <v>108</v>
      </c>
      <c r="J22" s="265">
        <v>45658</v>
      </c>
      <c r="K22" s="49" t="s">
        <v>2764</v>
      </c>
      <c r="L22" s="266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 ht="15.75" customHeight="1">
      <c r="A23" s="246">
        <v>22</v>
      </c>
      <c r="B23" s="41" t="s">
        <v>2470</v>
      </c>
      <c r="C23" s="246" t="s">
        <v>2254</v>
      </c>
      <c r="D23" s="37" t="s">
        <v>2765</v>
      </c>
      <c r="E23" s="37" t="s">
        <v>100</v>
      </c>
      <c r="F23" s="250"/>
      <c r="G23" s="250"/>
      <c r="H23" s="246">
        <v>2000</v>
      </c>
      <c r="I23" s="23" t="s">
        <v>108</v>
      </c>
      <c r="J23" s="246"/>
      <c r="K23" s="25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 ht="47.25" customHeight="1">
      <c r="A24" s="246">
        <v>23</v>
      </c>
      <c r="B24" s="41" t="s">
        <v>503</v>
      </c>
      <c r="C24" s="246" t="s">
        <v>17</v>
      </c>
      <c r="D24" s="37" t="s">
        <v>2766</v>
      </c>
      <c r="E24" s="37" t="s">
        <v>2767</v>
      </c>
      <c r="F24" s="250">
        <v>12500</v>
      </c>
      <c r="G24" s="250" t="s">
        <v>2768</v>
      </c>
      <c r="H24" s="246">
        <v>12500</v>
      </c>
      <c r="I24" s="246" t="s">
        <v>108</v>
      </c>
      <c r="J24" s="255">
        <v>45717</v>
      </c>
      <c r="K24" s="258" t="s">
        <v>2769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15.75" customHeight="1">
      <c r="A25" s="246">
        <v>24</v>
      </c>
      <c r="B25" s="41"/>
      <c r="C25" s="246" t="s">
        <v>2254</v>
      </c>
      <c r="D25" s="37" t="s">
        <v>2770</v>
      </c>
      <c r="E25" s="37" t="s">
        <v>2771</v>
      </c>
      <c r="F25" s="250"/>
      <c r="G25" s="250"/>
      <c r="H25" s="246">
        <v>3000</v>
      </c>
      <c r="I25" s="246" t="s">
        <v>108</v>
      </c>
      <c r="J25" s="252">
        <v>45748</v>
      </c>
      <c r="K25" s="25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 ht="15.75" customHeight="1">
      <c r="A26" s="246">
        <v>25</v>
      </c>
      <c r="B26" s="267" t="s">
        <v>2772</v>
      </c>
      <c r="C26" s="268" t="s">
        <v>24</v>
      </c>
      <c r="D26" s="83" t="s">
        <v>2773</v>
      </c>
      <c r="E26" s="83" t="s">
        <v>2774</v>
      </c>
      <c r="F26" s="268" t="s">
        <v>100</v>
      </c>
      <c r="G26" s="268">
        <v>100</v>
      </c>
      <c r="H26" s="268">
        <v>3000</v>
      </c>
      <c r="I26" s="268" t="s">
        <v>100</v>
      </c>
      <c r="J26" s="269">
        <v>45689</v>
      </c>
      <c r="K26" s="39" t="s">
        <v>2775</v>
      </c>
      <c r="L26" s="270"/>
      <c r="M26" s="83"/>
      <c r="N26" s="268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 ht="15.75" customHeight="1">
      <c r="A27" s="246">
        <v>26</v>
      </c>
      <c r="B27" s="271" t="s">
        <v>2776</v>
      </c>
      <c r="C27" s="272" t="s">
        <v>24</v>
      </c>
      <c r="D27" s="85" t="s">
        <v>2777</v>
      </c>
      <c r="E27" s="85" t="s">
        <v>2778</v>
      </c>
      <c r="F27" s="272" t="s">
        <v>100</v>
      </c>
      <c r="G27" s="272" t="s">
        <v>100</v>
      </c>
      <c r="H27" s="272">
        <v>7000</v>
      </c>
      <c r="I27" s="272" t="s">
        <v>100</v>
      </c>
      <c r="J27" s="273">
        <v>45748</v>
      </c>
      <c r="K27" s="274" t="s">
        <v>2779</v>
      </c>
      <c r="L27" s="275"/>
      <c r="M27" s="85"/>
      <c r="N27" s="272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 ht="50.25" customHeight="1">
      <c r="A28" s="246">
        <v>27</v>
      </c>
      <c r="B28" s="28" t="s">
        <v>2780</v>
      </c>
      <c r="C28" s="250" t="s">
        <v>16</v>
      </c>
      <c r="D28" s="43" t="s">
        <v>2781</v>
      </c>
      <c r="E28" s="43" t="s">
        <v>2782</v>
      </c>
      <c r="F28" s="250">
        <v>495713</v>
      </c>
      <c r="G28" s="250">
        <v>67</v>
      </c>
      <c r="H28" s="250">
        <v>144069</v>
      </c>
      <c r="I28" s="250">
        <v>351644</v>
      </c>
      <c r="J28" s="276">
        <v>45627</v>
      </c>
      <c r="K28" s="277" t="s">
        <v>2783</v>
      </c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</row>
    <row r="29" spans="1:31" ht="24.75" customHeight="1">
      <c r="A29" s="246">
        <v>28</v>
      </c>
      <c r="B29" s="43" t="s">
        <v>1463</v>
      </c>
      <c r="C29" s="23" t="s">
        <v>15</v>
      </c>
      <c r="D29" s="43" t="s">
        <v>2784</v>
      </c>
      <c r="E29" s="43" t="s">
        <v>100</v>
      </c>
      <c r="F29" s="62" t="s">
        <v>2785</v>
      </c>
      <c r="G29" s="62">
        <v>72</v>
      </c>
      <c r="H29" s="23">
        <v>36000</v>
      </c>
      <c r="I29" s="23" t="s">
        <v>108</v>
      </c>
      <c r="J29" s="265">
        <v>45689</v>
      </c>
      <c r="K29" s="42" t="s">
        <v>2786</v>
      </c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</row>
    <row r="30" spans="1:31" ht="15.75" customHeight="1">
      <c r="A30" s="246">
        <v>29</v>
      </c>
      <c r="B30" s="43" t="s">
        <v>2787</v>
      </c>
      <c r="C30" s="23" t="s">
        <v>15</v>
      </c>
      <c r="D30" s="43" t="s">
        <v>2751</v>
      </c>
      <c r="E30" s="43" t="s">
        <v>100</v>
      </c>
      <c r="F30" s="62" t="s">
        <v>2788</v>
      </c>
      <c r="G30" s="62">
        <v>64</v>
      </c>
      <c r="H30" s="23">
        <v>32000</v>
      </c>
      <c r="I30" s="23" t="s">
        <v>2789</v>
      </c>
      <c r="J30" s="278">
        <v>45748</v>
      </c>
      <c r="K30" s="27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</row>
    <row r="31" spans="1:31" ht="15.75" customHeight="1">
      <c r="A31" s="246">
        <v>30</v>
      </c>
      <c r="B31" s="222" t="s">
        <v>2790</v>
      </c>
      <c r="C31" s="279" t="s">
        <v>15</v>
      </c>
      <c r="D31" s="43" t="s">
        <v>2791</v>
      </c>
      <c r="E31" s="43" t="s">
        <v>2792</v>
      </c>
      <c r="F31" s="62" t="s">
        <v>100</v>
      </c>
      <c r="G31" s="62" t="s">
        <v>100</v>
      </c>
      <c r="H31" s="23">
        <v>10000</v>
      </c>
      <c r="I31" s="23" t="s">
        <v>108</v>
      </c>
      <c r="J31" s="278">
        <v>45748</v>
      </c>
      <c r="K31" s="280" t="s">
        <v>2793</v>
      </c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</row>
    <row r="32" spans="1:31" ht="15.75" customHeight="1">
      <c r="A32" s="246">
        <v>31</v>
      </c>
      <c r="B32" s="41" t="s">
        <v>154</v>
      </c>
      <c r="C32" s="246" t="s">
        <v>18</v>
      </c>
      <c r="D32" s="43" t="s">
        <v>2791</v>
      </c>
      <c r="E32" s="37" t="s">
        <v>2794</v>
      </c>
      <c r="F32" s="250" t="s">
        <v>100</v>
      </c>
      <c r="G32" s="250" t="s">
        <v>100</v>
      </c>
      <c r="H32" s="23">
        <v>15000</v>
      </c>
      <c r="I32" s="23" t="s">
        <v>108</v>
      </c>
      <c r="J32" s="255">
        <v>45809</v>
      </c>
      <c r="K32" s="253" t="s">
        <v>2795</v>
      </c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</row>
    <row r="33" spans="1:31" ht="15.75" customHeight="1">
      <c r="A33" s="246">
        <v>32</v>
      </c>
      <c r="B33" s="41" t="s">
        <v>154</v>
      </c>
      <c r="C33" s="246" t="s">
        <v>18</v>
      </c>
      <c r="D33" s="43" t="s">
        <v>2791</v>
      </c>
      <c r="E33" s="37" t="s">
        <v>2796</v>
      </c>
      <c r="F33" s="250" t="s">
        <v>100</v>
      </c>
      <c r="G33" s="250" t="s">
        <v>100</v>
      </c>
      <c r="H33" s="23">
        <v>15000</v>
      </c>
      <c r="I33" s="23" t="s">
        <v>108</v>
      </c>
      <c r="J33" s="255">
        <v>45809</v>
      </c>
      <c r="K33" s="253" t="s">
        <v>2797</v>
      </c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</row>
    <row r="34" spans="1:31" ht="15.75" customHeight="1">
      <c r="A34" s="246">
        <v>33</v>
      </c>
      <c r="B34" s="41" t="s">
        <v>475</v>
      </c>
      <c r="C34" s="246" t="s">
        <v>25</v>
      </c>
      <c r="D34" s="37" t="s">
        <v>2751</v>
      </c>
      <c r="E34" s="37" t="s">
        <v>2798</v>
      </c>
      <c r="F34" s="250">
        <v>6965</v>
      </c>
      <c r="G34" s="250">
        <v>35</v>
      </c>
      <c r="H34" s="246">
        <v>6965</v>
      </c>
      <c r="I34" s="246" t="s">
        <v>108</v>
      </c>
      <c r="J34" s="281">
        <v>45809</v>
      </c>
      <c r="K34" s="250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</row>
    <row r="35" spans="1:31" ht="38.25" customHeight="1">
      <c r="A35" s="246">
        <v>34</v>
      </c>
      <c r="B35" s="41" t="s">
        <v>2799</v>
      </c>
      <c r="C35" s="246" t="s">
        <v>2254</v>
      </c>
      <c r="D35" s="37" t="s">
        <v>2770</v>
      </c>
      <c r="E35" s="37" t="s">
        <v>2717</v>
      </c>
      <c r="F35" s="250" t="s">
        <v>100</v>
      </c>
      <c r="G35" s="250" t="s">
        <v>2768</v>
      </c>
      <c r="H35" s="246">
        <v>3000</v>
      </c>
      <c r="I35" s="246" t="s">
        <v>322</v>
      </c>
      <c r="J35" s="255">
        <v>45778</v>
      </c>
      <c r="K35" s="282" t="s">
        <v>2800</v>
      </c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</row>
    <row r="36" spans="1:31" ht="30.75" customHeight="1">
      <c r="A36" s="246">
        <v>35</v>
      </c>
      <c r="B36" s="27" t="s">
        <v>520</v>
      </c>
      <c r="C36" s="23" t="s">
        <v>24</v>
      </c>
      <c r="D36" s="43" t="s">
        <v>2801</v>
      </c>
      <c r="E36" s="43" t="s">
        <v>2802</v>
      </c>
      <c r="F36" s="62" t="s">
        <v>100</v>
      </c>
      <c r="G36" s="62" t="s">
        <v>100</v>
      </c>
      <c r="H36" s="23">
        <v>10500</v>
      </c>
      <c r="I36" s="23" t="s">
        <v>100</v>
      </c>
      <c r="J36" s="278">
        <v>45778</v>
      </c>
      <c r="K36" s="280" t="s">
        <v>2803</v>
      </c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</row>
    <row r="37" spans="1:31" ht="25.5" customHeight="1">
      <c r="A37" s="246">
        <v>36</v>
      </c>
      <c r="B37" s="27" t="s">
        <v>2776</v>
      </c>
      <c r="C37" s="23" t="s">
        <v>24</v>
      </c>
      <c r="D37" s="43" t="s">
        <v>2804</v>
      </c>
      <c r="E37" s="43" t="s">
        <v>2778</v>
      </c>
      <c r="F37" s="62" t="s">
        <v>100</v>
      </c>
      <c r="G37" s="62" t="s">
        <v>100</v>
      </c>
      <c r="H37" s="23">
        <v>7000</v>
      </c>
      <c r="I37" s="23" t="s">
        <v>100</v>
      </c>
      <c r="J37" s="278">
        <v>45748</v>
      </c>
      <c r="K37" s="38" t="s">
        <v>2805</v>
      </c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</row>
    <row r="38" spans="1:31" ht="71.25" customHeight="1">
      <c r="A38" s="246">
        <v>37</v>
      </c>
      <c r="B38" s="27" t="s">
        <v>430</v>
      </c>
      <c r="C38" s="23" t="s">
        <v>24</v>
      </c>
      <c r="D38" s="43" t="s">
        <v>2806</v>
      </c>
      <c r="E38" s="43" t="s">
        <v>2807</v>
      </c>
      <c r="F38" s="62" t="s">
        <v>100</v>
      </c>
      <c r="G38" s="62" t="s">
        <v>100</v>
      </c>
      <c r="H38" s="23">
        <v>12000</v>
      </c>
      <c r="I38" s="23" t="s">
        <v>100</v>
      </c>
      <c r="J38" s="278">
        <v>45778</v>
      </c>
      <c r="K38" s="258" t="s">
        <v>2808</v>
      </c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</row>
    <row r="39" spans="1:31" ht="15.75" customHeight="1">
      <c r="A39" s="246">
        <v>38</v>
      </c>
      <c r="B39" s="79" t="s">
        <v>2809</v>
      </c>
      <c r="C39" s="23" t="s">
        <v>2810</v>
      </c>
      <c r="D39" s="79" t="s">
        <v>2811</v>
      </c>
      <c r="E39" s="37" t="s">
        <v>100</v>
      </c>
      <c r="F39" s="62">
        <v>1000</v>
      </c>
      <c r="G39" s="62">
        <v>26</v>
      </c>
      <c r="H39" s="23">
        <v>26000</v>
      </c>
      <c r="I39" s="23">
        <v>0</v>
      </c>
      <c r="J39" s="283">
        <v>45717</v>
      </c>
      <c r="K39" s="52" t="s">
        <v>2812</v>
      </c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</row>
    <row r="40" spans="1:31" ht="38.25" customHeight="1">
      <c r="A40" s="254">
        <v>39</v>
      </c>
      <c r="B40" s="256" t="s">
        <v>2813</v>
      </c>
      <c r="C40" s="257" t="s">
        <v>15</v>
      </c>
      <c r="D40" s="284" t="s">
        <v>2814</v>
      </c>
      <c r="E40" s="284" t="s">
        <v>100</v>
      </c>
      <c r="F40" s="78" t="s">
        <v>100</v>
      </c>
      <c r="G40" s="78" t="s">
        <v>100</v>
      </c>
      <c r="H40" s="257">
        <v>352400</v>
      </c>
      <c r="I40" s="257" t="s">
        <v>100</v>
      </c>
      <c r="J40" s="285">
        <v>45778</v>
      </c>
      <c r="K40" s="69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</row>
    <row r="41" spans="1:31" ht="15.75" customHeight="1">
      <c r="A41" s="246">
        <v>40</v>
      </c>
      <c r="B41" s="242" t="s">
        <v>951</v>
      </c>
      <c r="C41" s="246" t="s">
        <v>17</v>
      </c>
      <c r="D41" s="286" t="s">
        <v>2815</v>
      </c>
      <c r="E41" s="287" t="s">
        <v>2816</v>
      </c>
      <c r="F41" s="250" t="s">
        <v>100</v>
      </c>
      <c r="G41" s="250" t="s">
        <v>2817</v>
      </c>
      <c r="H41" s="246">
        <v>5000</v>
      </c>
      <c r="I41" s="246" t="s">
        <v>100</v>
      </c>
      <c r="J41" s="246" t="s">
        <v>2818</v>
      </c>
      <c r="K41" s="288" t="s">
        <v>2819</v>
      </c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</row>
    <row r="42" spans="1:31" ht="15.75" customHeight="1">
      <c r="A42" s="246">
        <v>41</v>
      </c>
      <c r="B42" s="41" t="s">
        <v>2820</v>
      </c>
      <c r="C42" s="246" t="s">
        <v>17</v>
      </c>
      <c r="D42" s="286" t="s">
        <v>2815</v>
      </c>
      <c r="E42" s="287" t="s">
        <v>2816</v>
      </c>
      <c r="F42" s="250" t="s">
        <v>100</v>
      </c>
      <c r="G42" s="250" t="s">
        <v>2817</v>
      </c>
      <c r="H42" s="246">
        <v>5000</v>
      </c>
      <c r="I42" s="246" t="s">
        <v>100</v>
      </c>
      <c r="J42" s="246" t="s">
        <v>2818</v>
      </c>
      <c r="K42" s="258" t="s">
        <v>2821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 ht="15.75" customHeight="1">
      <c r="A43" s="246">
        <v>42</v>
      </c>
      <c r="B43" s="41" t="s">
        <v>2822</v>
      </c>
      <c r="C43" s="246" t="s">
        <v>17</v>
      </c>
      <c r="D43" s="207" t="s">
        <v>2823</v>
      </c>
      <c r="E43" s="289" t="s">
        <v>2824</v>
      </c>
      <c r="F43" s="250" t="s">
        <v>100</v>
      </c>
      <c r="G43" s="250">
        <v>5</v>
      </c>
      <c r="H43" s="246">
        <v>5000</v>
      </c>
      <c r="I43" s="246" t="s">
        <v>100</v>
      </c>
      <c r="J43" s="255">
        <v>45809</v>
      </c>
      <c r="K43" s="258" t="s">
        <v>2825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 ht="15.75" customHeight="1">
      <c r="A44" s="246">
        <v>43</v>
      </c>
      <c r="B44" s="43" t="s">
        <v>1069</v>
      </c>
      <c r="C44" s="246" t="s">
        <v>18</v>
      </c>
      <c r="D44" s="28" t="s">
        <v>2791</v>
      </c>
      <c r="E44" s="28" t="s">
        <v>2826</v>
      </c>
      <c r="F44" s="250" t="s">
        <v>100</v>
      </c>
      <c r="G44" s="250" t="s">
        <v>100</v>
      </c>
      <c r="H44" s="27">
        <v>129600</v>
      </c>
      <c r="I44" s="246" t="s">
        <v>100</v>
      </c>
      <c r="J44" s="77" t="s">
        <v>2827</v>
      </c>
      <c r="K44" s="290" t="s">
        <v>2828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 ht="15.75" customHeight="1">
      <c r="A45" s="246">
        <v>44</v>
      </c>
      <c r="B45" s="27" t="s">
        <v>217</v>
      </c>
      <c r="C45" s="246" t="s">
        <v>18</v>
      </c>
      <c r="D45" s="28" t="s">
        <v>2791</v>
      </c>
      <c r="E45" s="202" t="s">
        <v>2829</v>
      </c>
      <c r="F45" s="250" t="s">
        <v>100</v>
      </c>
      <c r="G45" s="250" t="s">
        <v>100</v>
      </c>
      <c r="H45" s="246">
        <v>29000</v>
      </c>
      <c r="I45" s="246" t="s">
        <v>100</v>
      </c>
      <c r="J45" s="291">
        <v>45809</v>
      </c>
      <c r="K45" s="90" t="s">
        <v>2830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 ht="15.75" customHeight="1">
      <c r="A46" s="246">
        <v>45</v>
      </c>
      <c r="B46" s="63" t="s">
        <v>797</v>
      </c>
      <c r="C46" s="246" t="s">
        <v>18</v>
      </c>
      <c r="D46" s="43" t="s">
        <v>2791</v>
      </c>
      <c r="E46" s="37" t="s">
        <v>2831</v>
      </c>
      <c r="F46" s="250" t="s">
        <v>100</v>
      </c>
      <c r="G46" s="250" t="s">
        <v>100</v>
      </c>
      <c r="H46" s="63">
        <v>18000</v>
      </c>
      <c r="I46" s="246" t="s">
        <v>100</v>
      </c>
      <c r="J46" s="292">
        <v>45809</v>
      </c>
      <c r="K46" s="250" t="s">
        <v>2832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 ht="15.75" customHeight="1">
      <c r="A47" s="246">
        <v>46</v>
      </c>
      <c r="B47" s="41" t="s">
        <v>2833</v>
      </c>
      <c r="C47" s="246" t="s">
        <v>17</v>
      </c>
      <c r="D47" s="79" t="s">
        <v>2697</v>
      </c>
      <c r="E47" s="37" t="s">
        <v>2834</v>
      </c>
      <c r="F47" s="250" t="s">
        <v>100</v>
      </c>
      <c r="G47" s="250" t="s">
        <v>100</v>
      </c>
      <c r="H47" s="246">
        <v>7500</v>
      </c>
      <c r="I47" s="246" t="s">
        <v>100</v>
      </c>
      <c r="J47" s="283">
        <v>45717</v>
      </c>
      <c r="K47" s="258" t="s">
        <v>2835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 ht="15.75" customHeight="1">
      <c r="A48" s="246">
        <v>47</v>
      </c>
      <c r="B48" s="293" t="s">
        <v>248</v>
      </c>
      <c r="C48" s="246" t="s">
        <v>16</v>
      </c>
      <c r="D48" s="294" t="s">
        <v>2836</v>
      </c>
      <c r="E48" s="295" t="s">
        <v>2837</v>
      </c>
      <c r="F48" s="250" t="s">
        <v>100</v>
      </c>
      <c r="G48" s="250" t="s">
        <v>100</v>
      </c>
      <c r="H48" s="26">
        <v>51000</v>
      </c>
      <c r="I48" s="246" t="s">
        <v>100</v>
      </c>
      <c r="J48" s="255">
        <v>45809</v>
      </c>
      <c r="K48" s="258" t="s">
        <v>2838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 ht="40.5" customHeight="1">
      <c r="A49" s="246">
        <v>48</v>
      </c>
      <c r="B49" s="210" t="s">
        <v>406</v>
      </c>
      <c r="C49" s="246" t="s">
        <v>16</v>
      </c>
      <c r="D49" s="28" t="s">
        <v>2839</v>
      </c>
      <c r="E49" s="28" t="s">
        <v>2840</v>
      </c>
      <c r="F49" s="246" t="s">
        <v>100</v>
      </c>
      <c r="G49" s="246" t="s">
        <v>100</v>
      </c>
      <c r="H49" s="74">
        <v>26000</v>
      </c>
      <c r="I49" s="246" t="s">
        <v>100</v>
      </c>
      <c r="J49" s="255">
        <v>45809</v>
      </c>
      <c r="K49" s="45" t="s">
        <v>2841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 ht="27" customHeight="1">
      <c r="A50" s="246">
        <v>49</v>
      </c>
      <c r="B50" s="27" t="s">
        <v>1004</v>
      </c>
      <c r="C50" s="246" t="s">
        <v>16</v>
      </c>
      <c r="D50" s="27" t="s">
        <v>2842</v>
      </c>
      <c r="E50" s="27" t="s">
        <v>2843</v>
      </c>
      <c r="F50" s="246" t="s">
        <v>100</v>
      </c>
      <c r="G50" s="246" t="s">
        <v>100</v>
      </c>
      <c r="H50" s="26">
        <v>51000</v>
      </c>
      <c r="I50" s="246" t="s">
        <v>100</v>
      </c>
      <c r="J50" s="296">
        <v>45809</v>
      </c>
      <c r="K50" s="297" t="s">
        <v>2844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 ht="15.75" customHeight="1">
      <c r="A51" s="246">
        <v>50</v>
      </c>
      <c r="B51" s="25" t="s">
        <v>848</v>
      </c>
      <c r="C51" s="246" t="s">
        <v>16</v>
      </c>
      <c r="D51" s="28" t="s">
        <v>2845</v>
      </c>
      <c r="E51" s="28" t="s">
        <v>2846</v>
      </c>
      <c r="F51" s="246" t="s">
        <v>100</v>
      </c>
      <c r="G51" s="246" t="s">
        <v>100</v>
      </c>
      <c r="H51" s="26">
        <v>13000</v>
      </c>
      <c r="I51" s="246" t="s">
        <v>100</v>
      </c>
      <c r="J51" s="296">
        <v>45809</v>
      </c>
      <c r="K51" s="297" t="s">
        <v>2838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 ht="15.75" customHeight="1">
      <c r="A52" s="246">
        <v>51</v>
      </c>
      <c r="B52" s="28" t="s">
        <v>354</v>
      </c>
      <c r="C52" s="246" t="s">
        <v>16</v>
      </c>
      <c r="D52" s="28" t="s">
        <v>2845</v>
      </c>
      <c r="E52" s="28" t="s">
        <v>2847</v>
      </c>
      <c r="F52" s="246" t="s">
        <v>100</v>
      </c>
      <c r="G52" s="246" t="s">
        <v>100</v>
      </c>
      <c r="H52" s="298">
        <v>12500</v>
      </c>
      <c r="I52" s="246" t="s">
        <v>100</v>
      </c>
      <c r="J52" s="296">
        <v>45809</v>
      </c>
      <c r="K52" s="299" t="s">
        <v>2848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 ht="15.75" customHeight="1">
      <c r="A53" s="246">
        <v>52</v>
      </c>
      <c r="B53" s="25" t="s">
        <v>2849</v>
      </c>
      <c r="C53" s="246" t="s">
        <v>16</v>
      </c>
      <c r="D53" s="28" t="s">
        <v>2850</v>
      </c>
      <c r="E53" s="28" t="s">
        <v>2851</v>
      </c>
      <c r="F53" s="246" t="s">
        <v>100</v>
      </c>
      <c r="G53" s="246" t="s">
        <v>100</v>
      </c>
      <c r="H53" s="26">
        <v>12000</v>
      </c>
      <c r="I53" s="246" t="s">
        <v>100</v>
      </c>
      <c r="J53" s="296">
        <v>45809</v>
      </c>
      <c r="K53" s="297" t="s">
        <v>2852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 ht="15.75" customHeight="1">
      <c r="A54" s="246">
        <v>53</v>
      </c>
      <c r="B54" s="28" t="s">
        <v>2853</v>
      </c>
      <c r="C54" s="246" t="s">
        <v>16</v>
      </c>
      <c r="D54" s="28" t="s">
        <v>2850</v>
      </c>
      <c r="E54" s="28" t="s">
        <v>2851</v>
      </c>
      <c r="F54" s="246" t="s">
        <v>100</v>
      </c>
      <c r="G54" s="246" t="s">
        <v>100</v>
      </c>
      <c r="H54" s="26">
        <v>12000</v>
      </c>
      <c r="I54" s="246" t="s">
        <v>100</v>
      </c>
      <c r="J54" s="296">
        <v>45809</v>
      </c>
      <c r="K54" s="300" t="s">
        <v>2852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 ht="15.75" customHeight="1">
      <c r="A55" s="246">
        <v>54</v>
      </c>
      <c r="B55" s="35" t="s">
        <v>2854</v>
      </c>
      <c r="C55" s="246" t="s">
        <v>1289</v>
      </c>
      <c r="D55" s="35" t="s">
        <v>2855</v>
      </c>
      <c r="E55" s="35" t="s">
        <v>2856</v>
      </c>
      <c r="F55" s="246" t="s">
        <v>100</v>
      </c>
      <c r="G55" s="246" t="s">
        <v>100</v>
      </c>
      <c r="H55" s="301">
        <v>16000</v>
      </c>
      <c r="I55" s="246" t="s">
        <v>100</v>
      </c>
      <c r="J55" s="296">
        <v>45809</v>
      </c>
      <c r="K55" s="302" t="s">
        <v>2857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 ht="15.75" customHeight="1">
      <c r="A56" s="246">
        <v>55</v>
      </c>
      <c r="B56" s="35" t="s">
        <v>2858</v>
      </c>
      <c r="C56" s="246" t="s">
        <v>1289</v>
      </c>
      <c r="D56" s="35" t="s">
        <v>2859</v>
      </c>
      <c r="E56" s="35" t="s">
        <v>2860</v>
      </c>
      <c r="F56" s="246" t="s">
        <v>100</v>
      </c>
      <c r="G56" s="246" t="s">
        <v>100</v>
      </c>
      <c r="H56" s="76">
        <v>30000</v>
      </c>
      <c r="I56" s="246" t="s">
        <v>100</v>
      </c>
      <c r="J56" s="296">
        <v>45809</v>
      </c>
      <c r="K56" s="303" t="s">
        <v>2861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 ht="15.75" customHeight="1">
      <c r="A57" s="246">
        <v>56</v>
      </c>
      <c r="B57" s="35" t="s">
        <v>2854</v>
      </c>
      <c r="C57" s="246" t="s">
        <v>1289</v>
      </c>
      <c r="D57" s="35" t="s">
        <v>2862</v>
      </c>
      <c r="E57" s="35" t="s">
        <v>2863</v>
      </c>
      <c r="F57" s="246" t="s">
        <v>100</v>
      </c>
      <c r="G57" s="246" t="s">
        <v>100</v>
      </c>
      <c r="H57" s="76">
        <v>50000</v>
      </c>
      <c r="I57" s="246" t="s">
        <v>100</v>
      </c>
      <c r="J57" s="296">
        <v>45809</v>
      </c>
      <c r="K57" s="303" t="s">
        <v>2864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 ht="15.75" customHeight="1">
      <c r="A58" s="246">
        <v>57</v>
      </c>
      <c r="B58" s="35" t="s">
        <v>2865</v>
      </c>
      <c r="C58" s="246" t="s">
        <v>1289</v>
      </c>
      <c r="D58" s="35" t="s">
        <v>2862</v>
      </c>
      <c r="E58" s="35" t="s">
        <v>2866</v>
      </c>
      <c r="F58" s="246" t="s">
        <v>100</v>
      </c>
      <c r="G58" s="246" t="s">
        <v>100</v>
      </c>
      <c r="H58" s="76">
        <v>15000</v>
      </c>
      <c r="I58" s="246" t="s">
        <v>100</v>
      </c>
      <c r="J58" s="296">
        <v>45809</v>
      </c>
      <c r="K58" s="303" t="s">
        <v>2867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 ht="15.75" customHeight="1">
      <c r="A59" s="246">
        <v>58</v>
      </c>
      <c r="B59" s="35" t="s">
        <v>2868</v>
      </c>
      <c r="C59" s="246" t="s">
        <v>1289</v>
      </c>
      <c r="D59" s="35" t="s">
        <v>2862</v>
      </c>
      <c r="E59" s="35" t="s">
        <v>2866</v>
      </c>
      <c r="F59" s="246" t="s">
        <v>100</v>
      </c>
      <c r="G59" s="246" t="s">
        <v>100</v>
      </c>
      <c r="H59" s="76">
        <v>15000</v>
      </c>
      <c r="I59" s="246" t="s">
        <v>100</v>
      </c>
      <c r="J59" s="296">
        <v>45809</v>
      </c>
      <c r="K59" s="54" t="s">
        <v>2869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 ht="15.75" customHeight="1">
      <c r="A60" s="246">
        <v>59</v>
      </c>
      <c r="B60" s="304" t="s">
        <v>2699</v>
      </c>
      <c r="C60" s="305" t="s">
        <v>17</v>
      </c>
      <c r="D60" s="35" t="s">
        <v>2862</v>
      </c>
      <c r="E60" s="32" t="s">
        <v>2870</v>
      </c>
      <c r="F60" s="246" t="s">
        <v>100</v>
      </c>
      <c r="G60" s="246" t="s">
        <v>100</v>
      </c>
      <c r="H60" s="29">
        <v>16000</v>
      </c>
      <c r="I60" s="246" t="s">
        <v>100</v>
      </c>
      <c r="J60" s="306">
        <v>45809</v>
      </c>
      <c r="K60" s="307" t="s">
        <v>2871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 ht="15.75" customHeight="1">
      <c r="A61" s="246">
        <v>60</v>
      </c>
      <c r="B61" s="27" t="s">
        <v>920</v>
      </c>
      <c r="C61" s="23" t="s">
        <v>24</v>
      </c>
      <c r="D61" s="43" t="s">
        <v>2804</v>
      </c>
      <c r="E61" s="43" t="s">
        <v>2778</v>
      </c>
      <c r="F61" s="62" t="s">
        <v>100</v>
      </c>
      <c r="G61" s="62" t="s">
        <v>100</v>
      </c>
      <c r="H61" s="23">
        <v>12000</v>
      </c>
      <c r="I61" s="23" t="s">
        <v>100</v>
      </c>
      <c r="J61" s="278">
        <v>45809</v>
      </c>
      <c r="K61" s="49" t="s">
        <v>2872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 ht="15.75" customHeight="1">
      <c r="A62" s="246">
        <v>61</v>
      </c>
      <c r="B62" s="27" t="s">
        <v>2873</v>
      </c>
      <c r="C62" s="23" t="s">
        <v>24</v>
      </c>
      <c r="D62" s="43" t="s">
        <v>2874</v>
      </c>
      <c r="E62" s="43" t="s">
        <v>2875</v>
      </c>
      <c r="F62" s="62" t="s">
        <v>100</v>
      </c>
      <c r="G62" s="62" t="s">
        <v>100</v>
      </c>
      <c r="H62" s="23">
        <v>33000</v>
      </c>
      <c r="I62" s="23" t="s">
        <v>100</v>
      </c>
      <c r="J62" s="278">
        <v>45809</v>
      </c>
      <c r="K62" s="266" t="s">
        <v>2876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 ht="15.75" customHeight="1">
      <c r="A63" s="246">
        <v>62</v>
      </c>
      <c r="B63" s="43" t="s">
        <v>333</v>
      </c>
      <c r="C63" s="279" t="s">
        <v>15</v>
      </c>
      <c r="D63" s="43" t="s">
        <v>2791</v>
      </c>
      <c r="E63" s="43" t="s">
        <v>2877</v>
      </c>
      <c r="F63" s="62" t="s">
        <v>100</v>
      </c>
      <c r="G63" s="62" t="s">
        <v>100</v>
      </c>
      <c r="H63" s="23">
        <v>6300</v>
      </c>
      <c r="I63" s="23" t="s">
        <v>108</v>
      </c>
      <c r="J63" s="278">
        <v>45778</v>
      </c>
      <c r="K63" s="280" t="s">
        <v>2878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46">
        <v>63</v>
      </c>
      <c r="B64" s="43" t="s">
        <v>2879</v>
      </c>
      <c r="C64" s="279" t="s">
        <v>15</v>
      </c>
      <c r="D64" s="43" t="s">
        <v>2880</v>
      </c>
      <c r="E64" s="43" t="s">
        <v>100</v>
      </c>
      <c r="F64" s="62">
        <v>750</v>
      </c>
      <c r="G64" s="62">
        <v>2</v>
      </c>
      <c r="H64" s="23">
        <v>1500</v>
      </c>
      <c r="I64" s="23" t="s">
        <v>108</v>
      </c>
      <c r="J64" s="278">
        <v>45809</v>
      </c>
      <c r="K64" s="308" t="s">
        <v>2881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46">
        <v>64</v>
      </c>
      <c r="B65" s="43" t="s">
        <v>444</v>
      </c>
      <c r="C65" s="23" t="s">
        <v>15</v>
      </c>
      <c r="D65" s="43" t="s">
        <v>2791</v>
      </c>
      <c r="E65" s="43" t="s">
        <v>2882</v>
      </c>
      <c r="F65" s="309" t="s">
        <v>100</v>
      </c>
      <c r="G65" s="62" t="s">
        <v>100</v>
      </c>
      <c r="H65" s="310">
        <v>13000</v>
      </c>
      <c r="I65" s="23" t="s">
        <v>108</v>
      </c>
      <c r="J65" s="278">
        <v>45717</v>
      </c>
      <c r="K65" s="311" t="s">
        <v>2883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46">
        <v>65</v>
      </c>
      <c r="B66" s="43" t="s">
        <v>444</v>
      </c>
      <c r="C66" s="23" t="s">
        <v>15</v>
      </c>
      <c r="D66" s="43" t="s">
        <v>2791</v>
      </c>
      <c r="E66" s="43" t="s">
        <v>2884</v>
      </c>
      <c r="F66" s="62" t="s">
        <v>100</v>
      </c>
      <c r="G66" s="62" t="s">
        <v>100</v>
      </c>
      <c r="H66" s="310">
        <v>15000</v>
      </c>
      <c r="I66" s="23" t="s">
        <v>108</v>
      </c>
      <c r="J66" s="278">
        <v>45778</v>
      </c>
      <c r="K66" s="311" t="s">
        <v>2885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46">
        <v>66</v>
      </c>
      <c r="B67" s="43" t="s">
        <v>1233</v>
      </c>
      <c r="C67" s="23" t="s">
        <v>15</v>
      </c>
      <c r="D67" s="43" t="s">
        <v>2791</v>
      </c>
      <c r="E67" s="43" t="s">
        <v>2886</v>
      </c>
      <c r="F67" s="62" t="s">
        <v>100</v>
      </c>
      <c r="G67" s="62" t="s">
        <v>100</v>
      </c>
      <c r="H67" s="23">
        <v>6500</v>
      </c>
      <c r="I67" s="23" t="s">
        <v>322</v>
      </c>
      <c r="J67" s="312">
        <v>45809</v>
      </c>
      <c r="K67" s="308" t="s">
        <v>2887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46">
        <v>67</v>
      </c>
      <c r="B68" s="43" t="s">
        <v>1160</v>
      </c>
      <c r="C68" s="23" t="s">
        <v>15</v>
      </c>
      <c r="D68" s="43" t="s">
        <v>2791</v>
      </c>
      <c r="E68" s="313" t="s">
        <v>2888</v>
      </c>
      <c r="F68" s="62" t="s">
        <v>100</v>
      </c>
      <c r="G68" s="62" t="s">
        <v>100</v>
      </c>
      <c r="H68" s="23">
        <v>3000</v>
      </c>
      <c r="I68" s="23" t="s">
        <v>322</v>
      </c>
      <c r="J68" s="278">
        <v>45778</v>
      </c>
      <c r="K68" s="27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46">
        <v>68</v>
      </c>
      <c r="B69" s="43" t="s">
        <v>448</v>
      </c>
      <c r="C69" s="23" t="s">
        <v>15</v>
      </c>
      <c r="D69" s="43" t="s">
        <v>2791</v>
      </c>
      <c r="E69" s="43" t="s">
        <v>2889</v>
      </c>
      <c r="F69" s="62" t="s">
        <v>2890</v>
      </c>
      <c r="G69" s="62">
        <v>4</v>
      </c>
      <c r="H69" s="23">
        <v>1800</v>
      </c>
      <c r="I69" s="23" t="s">
        <v>322</v>
      </c>
      <c r="J69" s="278">
        <v>45809</v>
      </c>
      <c r="K69" s="308" t="s">
        <v>2891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46">
        <v>69</v>
      </c>
      <c r="B70" s="43" t="s">
        <v>1863</v>
      </c>
      <c r="C70" s="23" t="s">
        <v>15</v>
      </c>
      <c r="D70" s="43" t="s">
        <v>2892</v>
      </c>
      <c r="E70" s="43" t="s">
        <v>2893</v>
      </c>
      <c r="F70" s="62">
        <v>8000</v>
      </c>
      <c r="G70" s="62" t="s">
        <v>100</v>
      </c>
      <c r="H70" s="23">
        <v>1500</v>
      </c>
      <c r="I70" s="23" t="s">
        <v>322</v>
      </c>
      <c r="J70" s="278">
        <v>45778</v>
      </c>
      <c r="K70" s="308" t="s">
        <v>2894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46">
        <v>73</v>
      </c>
      <c r="B71" s="43" t="s">
        <v>2895</v>
      </c>
      <c r="C71" s="23" t="s">
        <v>15</v>
      </c>
      <c r="D71" s="43" t="s">
        <v>2896</v>
      </c>
      <c r="E71" s="43" t="s">
        <v>2897</v>
      </c>
      <c r="F71" s="62" t="s">
        <v>100</v>
      </c>
      <c r="G71" s="62" t="s">
        <v>100</v>
      </c>
      <c r="H71" s="310">
        <v>10000</v>
      </c>
      <c r="I71" s="23" t="s">
        <v>108</v>
      </c>
      <c r="J71" s="314">
        <v>45514</v>
      </c>
      <c r="K71" s="49" t="s">
        <v>2898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46">
        <v>75</v>
      </c>
      <c r="B72" s="315" t="s">
        <v>1176</v>
      </c>
      <c r="C72" s="279" t="s">
        <v>15</v>
      </c>
      <c r="D72" s="222" t="s">
        <v>2697</v>
      </c>
      <c r="E72" s="222" t="s">
        <v>2899</v>
      </c>
      <c r="F72" s="316" t="s">
        <v>100</v>
      </c>
      <c r="G72" s="316" t="s">
        <v>100</v>
      </c>
      <c r="H72" s="279">
        <v>3000</v>
      </c>
      <c r="I72" s="279" t="s">
        <v>108</v>
      </c>
      <c r="J72" s="317">
        <v>45820</v>
      </c>
      <c r="K72" s="308" t="s">
        <v>2900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46">
        <v>77</v>
      </c>
      <c r="B73" s="315" t="s">
        <v>1176</v>
      </c>
      <c r="C73" s="279" t="s">
        <v>15</v>
      </c>
      <c r="D73" s="43" t="s">
        <v>2892</v>
      </c>
      <c r="E73" s="43" t="s">
        <v>2901</v>
      </c>
      <c r="F73" s="62" t="s">
        <v>100</v>
      </c>
      <c r="G73" s="62" t="s">
        <v>100</v>
      </c>
      <c r="H73" s="23">
        <v>13500</v>
      </c>
      <c r="I73" s="279" t="s">
        <v>108</v>
      </c>
      <c r="J73" s="278">
        <v>45413</v>
      </c>
      <c r="K73" s="308" t="s">
        <v>2902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46">
        <v>79</v>
      </c>
      <c r="B74" s="43" t="s">
        <v>1268</v>
      </c>
      <c r="C74" s="279" t="s">
        <v>15</v>
      </c>
      <c r="D74" s="43" t="s">
        <v>2892</v>
      </c>
      <c r="E74" s="43" t="s">
        <v>2901</v>
      </c>
      <c r="F74" s="62" t="s">
        <v>100</v>
      </c>
      <c r="G74" s="62" t="s">
        <v>100</v>
      </c>
      <c r="H74" s="23">
        <v>20200</v>
      </c>
      <c r="I74" s="23" t="s">
        <v>108</v>
      </c>
      <c r="J74" s="278">
        <v>45778</v>
      </c>
      <c r="K74" s="311" t="s">
        <v>2903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46">
        <v>81</v>
      </c>
      <c r="B75" s="43" t="s">
        <v>2904</v>
      </c>
      <c r="C75" s="23" t="s">
        <v>15</v>
      </c>
      <c r="D75" s="43" t="s">
        <v>2892</v>
      </c>
      <c r="E75" s="43" t="s">
        <v>2901</v>
      </c>
      <c r="F75" s="62" t="s">
        <v>100</v>
      </c>
      <c r="G75" s="62" t="s">
        <v>100</v>
      </c>
      <c r="H75" s="23">
        <v>15000</v>
      </c>
      <c r="I75" s="279" t="s">
        <v>108</v>
      </c>
      <c r="J75" s="278">
        <v>45413</v>
      </c>
      <c r="K75" s="308" t="s">
        <v>2905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46">
        <v>82</v>
      </c>
      <c r="B76" s="43" t="s">
        <v>556</v>
      </c>
      <c r="C76" s="23" t="s">
        <v>15</v>
      </c>
      <c r="D76" s="43" t="s">
        <v>2906</v>
      </c>
      <c r="E76" s="43" t="s">
        <v>2907</v>
      </c>
      <c r="F76" s="62" t="s">
        <v>100</v>
      </c>
      <c r="G76" s="62" t="s">
        <v>100</v>
      </c>
      <c r="H76" s="27">
        <v>6000</v>
      </c>
      <c r="I76" s="279" t="s">
        <v>108</v>
      </c>
      <c r="J76" s="23" t="s">
        <v>2908</v>
      </c>
      <c r="K76" s="266" t="s">
        <v>2909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9"/>
      <c r="B77" s="152"/>
      <c r="C77" s="29"/>
      <c r="D77" s="32"/>
      <c r="E77" s="32"/>
      <c r="F77" s="55"/>
      <c r="G77" s="55"/>
      <c r="H77" s="29">
        <f>SUM(H2:H76)</f>
        <v>1633471</v>
      </c>
      <c r="I77" s="29"/>
      <c r="J77" s="29"/>
      <c r="K77" s="55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 ht="15.75" customHeight="1">
      <c r="A78" s="29"/>
      <c r="B78" s="152"/>
      <c r="C78" s="29"/>
      <c r="D78" s="32"/>
      <c r="E78" s="32"/>
      <c r="F78" s="55"/>
      <c r="G78" s="55"/>
      <c r="H78" s="29"/>
      <c r="I78" s="29"/>
      <c r="J78" s="29"/>
      <c r="K78" s="55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 ht="15.75" customHeight="1">
      <c r="A79" s="29"/>
      <c r="B79" s="152"/>
      <c r="C79" s="29"/>
      <c r="D79" s="32"/>
      <c r="E79" s="32"/>
      <c r="F79" s="55"/>
      <c r="G79" s="55"/>
      <c r="H79" s="29"/>
      <c r="I79" s="29"/>
      <c r="J79" s="29"/>
      <c r="K79" s="55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 ht="15.75" customHeight="1">
      <c r="A80" s="29"/>
      <c r="B80" s="152"/>
      <c r="C80" s="29"/>
      <c r="D80" s="32"/>
      <c r="E80" s="32"/>
      <c r="F80" s="55"/>
      <c r="G80" s="55"/>
      <c r="H80" s="29"/>
      <c r="I80" s="29"/>
      <c r="J80" s="29"/>
      <c r="K80" s="55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 ht="15.75" customHeight="1">
      <c r="A81" s="29"/>
      <c r="B81" s="152"/>
      <c r="C81" s="29"/>
      <c r="D81" s="32"/>
      <c r="E81" s="32"/>
      <c r="F81" s="55"/>
      <c r="G81" s="55"/>
      <c r="H81" s="29"/>
      <c r="I81" s="29"/>
      <c r="J81" s="29"/>
      <c r="K81" s="55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 ht="15.75" customHeight="1">
      <c r="A82" s="29"/>
      <c r="B82" s="152"/>
      <c r="C82" s="29"/>
      <c r="D82" s="32"/>
      <c r="E82" s="32"/>
      <c r="F82" s="55"/>
      <c r="G82" s="55"/>
      <c r="H82" s="29"/>
      <c r="I82" s="29"/>
      <c r="J82" s="29"/>
      <c r="K82" s="55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 ht="15.75" customHeight="1">
      <c r="A83" s="29"/>
      <c r="B83" s="152"/>
      <c r="C83" s="29"/>
      <c r="D83" s="32"/>
      <c r="E83" s="32"/>
      <c r="F83" s="55"/>
      <c r="G83" s="55"/>
      <c r="H83" s="29"/>
      <c r="I83" s="29"/>
      <c r="J83" s="29"/>
      <c r="K83" s="55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 ht="15.75" customHeight="1">
      <c r="A84" s="29"/>
      <c r="B84" s="152"/>
      <c r="C84" s="29"/>
      <c r="D84" s="32"/>
      <c r="E84" s="32"/>
      <c r="F84" s="55"/>
      <c r="G84" s="55"/>
      <c r="H84" s="29"/>
      <c r="I84" s="29"/>
      <c r="J84" s="29"/>
      <c r="K84" s="55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 ht="15.75" customHeight="1">
      <c r="A85" s="29"/>
      <c r="B85" s="152"/>
      <c r="C85" s="29"/>
      <c r="D85" s="32"/>
      <c r="E85" s="32"/>
      <c r="F85" s="55"/>
      <c r="G85" s="55"/>
      <c r="H85" s="29"/>
      <c r="I85" s="29"/>
      <c r="J85" s="29"/>
      <c r="K85" s="55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 ht="15.75" customHeight="1">
      <c r="A86" s="29"/>
      <c r="B86" s="152"/>
      <c r="C86" s="29"/>
      <c r="D86" s="32"/>
      <c r="E86" s="32"/>
      <c r="F86" s="55"/>
      <c r="G86" s="55"/>
      <c r="H86" s="29"/>
      <c r="I86" s="29"/>
      <c r="J86" s="29"/>
      <c r="K86" s="55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 ht="15.75" customHeight="1">
      <c r="A87" s="29"/>
      <c r="B87" s="152"/>
      <c r="C87" s="29"/>
      <c r="D87" s="32"/>
      <c r="E87" s="32"/>
      <c r="F87" s="55"/>
      <c r="G87" s="55"/>
      <c r="H87" s="29"/>
      <c r="I87" s="29"/>
      <c r="J87" s="29"/>
      <c r="K87" s="55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 ht="15.75" customHeight="1">
      <c r="A88" s="29"/>
      <c r="B88" s="152"/>
      <c r="C88" s="29"/>
      <c r="D88" s="32"/>
      <c r="E88" s="32"/>
      <c r="F88" s="55"/>
      <c r="G88" s="55"/>
      <c r="H88" s="29"/>
      <c r="I88" s="29"/>
      <c r="J88" s="29"/>
      <c r="K88" s="55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 ht="15.75" customHeight="1">
      <c r="A89" s="29"/>
      <c r="B89" s="152"/>
      <c r="C89" s="29"/>
      <c r="D89" s="32"/>
      <c r="E89" s="32"/>
      <c r="F89" s="55"/>
      <c r="G89" s="55"/>
      <c r="H89" s="29"/>
      <c r="I89" s="29"/>
      <c r="J89" s="29"/>
      <c r="K89" s="55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ht="15.75" customHeight="1">
      <c r="A90" s="29"/>
      <c r="B90" s="152"/>
      <c r="C90" s="29"/>
      <c r="D90" s="32"/>
      <c r="E90" s="32"/>
      <c r="F90" s="55"/>
      <c r="G90" s="55"/>
      <c r="H90" s="29"/>
      <c r="I90" s="29"/>
      <c r="J90" s="29"/>
      <c r="K90" s="55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 ht="15.75" customHeight="1">
      <c r="A91" s="29"/>
      <c r="B91" s="152"/>
      <c r="C91" s="29"/>
      <c r="D91" s="32"/>
      <c r="E91" s="32"/>
      <c r="F91" s="55"/>
      <c r="G91" s="55"/>
      <c r="H91" s="29"/>
      <c r="I91" s="29"/>
      <c r="J91" s="29"/>
      <c r="K91" s="55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 ht="15.75" customHeight="1">
      <c r="A92" s="29"/>
      <c r="B92" s="152"/>
      <c r="C92" s="29"/>
      <c r="D92" s="32"/>
      <c r="E92" s="32"/>
      <c r="F92" s="55"/>
      <c r="G92" s="55"/>
      <c r="H92" s="29"/>
      <c r="I92" s="29"/>
      <c r="J92" s="29"/>
      <c r="K92" s="55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 ht="15.75" customHeight="1">
      <c r="A93" s="29"/>
      <c r="B93" s="152"/>
      <c r="C93" s="29"/>
      <c r="D93" s="32"/>
      <c r="E93" s="32"/>
      <c r="F93" s="55"/>
      <c r="G93" s="55"/>
      <c r="H93" s="29"/>
      <c r="I93" s="29"/>
      <c r="J93" s="29"/>
      <c r="K93" s="55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 ht="15.75" customHeight="1">
      <c r="A94" s="29"/>
      <c r="B94" s="152"/>
      <c r="C94" s="29"/>
      <c r="D94" s="32"/>
      <c r="E94" s="32"/>
      <c r="F94" s="55"/>
      <c r="G94" s="55"/>
      <c r="H94" s="29"/>
      <c r="I94" s="29"/>
      <c r="J94" s="29"/>
      <c r="K94" s="55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 ht="15.75" customHeight="1">
      <c r="A95" s="29"/>
      <c r="B95" s="152"/>
      <c r="C95" s="29"/>
      <c r="D95" s="32"/>
      <c r="E95" s="32"/>
      <c r="F95" s="55"/>
      <c r="G95" s="55"/>
      <c r="H95" s="29"/>
      <c r="I95" s="29"/>
      <c r="J95" s="29"/>
      <c r="K95" s="55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ht="15.75" customHeight="1">
      <c r="A96" s="29"/>
      <c r="B96" s="152"/>
      <c r="C96" s="29"/>
      <c r="D96" s="32"/>
      <c r="E96" s="32"/>
      <c r="F96" s="55"/>
      <c r="G96" s="55"/>
      <c r="H96" s="29"/>
      <c r="I96" s="29"/>
      <c r="J96" s="29"/>
      <c r="K96" s="55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 ht="15.75" customHeight="1">
      <c r="A97" s="29"/>
      <c r="B97" s="152"/>
      <c r="C97" s="29"/>
      <c r="D97" s="32"/>
      <c r="E97" s="32"/>
      <c r="F97" s="55"/>
      <c r="G97" s="55"/>
      <c r="H97" s="29"/>
      <c r="I97" s="29"/>
      <c r="J97" s="29"/>
      <c r="K97" s="55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 ht="15.75" customHeight="1">
      <c r="A98" s="29"/>
      <c r="B98" s="152"/>
      <c r="C98" s="29"/>
      <c r="D98" s="32"/>
      <c r="E98" s="32"/>
      <c r="F98" s="55"/>
      <c r="G98" s="55"/>
      <c r="H98" s="29"/>
      <c r="I98" s="29"/>
      <c r="J98" s="29"/>
      <c r="K98" s="55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 ht="15.75" customHeight="1">
      <c r="A99" s="29"/>
      <c r="B99" s="152"/>
      <c r="C99" s="29"/>
      <c r="D99" s="32"/>
      <c r="E99" s="32"/>
      <c r="F99" s="55"/>
      <c r="G99" s="55"/>
      <c r="H99" s="29"/>
      <c r="I99" s="29"/>
      <c r="J99" s="29"/>
      <c r="K99" s="55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15.75" customHeight="1">
      <c r="A100" s="29"/>
      <c r="B100" s="152"/>
      <c r="C100" s="29"/>
      <c r="D100" s="32"/>
      <c r="E100" s="32"/>
      <c r="F100" s="55"/>
      <c r="G100" s="55"/>
      <c r="H100" s="29"/>
      <c r="I100" s="29"/>
      <c r="J100" s="29"/>
      <c r="K100" s="55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 ht="15.75" customHeight="1">
      <c r="A101" s="29"/>
      <c r="B101" s="152"/>
      <c r="C101" s="29"/>
      <c r="D101" s="32"/>
      <c r="E101" s="32"/>
      <c r="F101" s="55"/>
      <c r="G101" s="55"/>
      <c r="H101" s="29"/>
      <c r="I101" s="29"/>
      <c r="J101" s="29"/>
      <c r="K101" s="55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ht="15.75" customHeight="1">
      <c r="A102" s="29"/>
      <c r="B102" s="152"/>
      <c r="C102" s="29"/>
      <c r="D102" s="32"/>
      <c r="E102" s="32"/>
      <c r="F102" s="55"/>
      <c r="G102" s="55"/>
      <c r="H102" s="29"/>
      <c r="I102" s="29"/>
      <c r="J102" s="29"/>
      <c r="K102" s="55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ht="15.75" customHeight="1">
      <c r="A103" s="29"/>
      <c r="B103" s="152"/>
      <c r="C103" s="29"/>
      <c r="D103" s="32"/>
      <c r="E103" s="32"/>
      <c r="F103" s="55"/>
      <c r="G103" s="55"/>
      <c r="H103" s="29"/>
      <c r="I103" s="29"/>
      <c r="J103" s="29"/>
      <c r="K103" s="55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ht="15.75" customHeight="1">
      <c r="A104" s="29"/>
      <c r="B104" s="152"/>
      <c r="C104" s="29"/>
      <c r="D104" s="32"/>
      <c r="E104" s="32"/>
      <c r="F104" s="55"/>
      <c r="G104" s="55"/>
      <c r="H104" s="29"/>
      <c r="I104" s="29"/>
      <c r="J104" s="29"/>
      <c r="K104" s="55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ht="15.75" customHeight="1">
      <c r="A105" s="29"/>
      <c r="B105" s="152"/>
      <c r="C105" s="29"/>
      <c r="D105" s="32"/>
      <c r="E105" s="32"/>
      <c r="F105" s="55"/>
      <c r="G105" s="55"/>
      <c r="H105" s="29"/>
      <c r="I105" s="29"/>
      <c r="J105" s="29"/>
      <c r="K105" s="55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 ht="15.75" customHeight="1">
      <c r="A106" s="29"/>
      <c r="B106" s="152"/>
      <c r="C106" s="29"/>
      <c r="D106" s="32"/>
      <c r="E106" s="32"/>
      <c r="F106" s="55"/>
      <c r="G106" s="55"/>
      <c r="H106" s="29"/>
      <c r="I106" s="29"/>
      <c r="J106" s="29"/>
      <c r="K106" s="55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 ht="15.75" customHeight="1">
      <c r="A107" s="29"/>
      <c r="B107" s="152"/>
      <c r="C107" s="29"/>
      <c r="D107" s="32"/>
      <c r="E107" s="32"/>
      <c r="F107" s="55"/>
      <c r="G107" s="55"/>
      <c r="H107" s="29"/>
      <c r="I107" s="29"/>
      <c r="J107" s="29"/>
      <c r="K107" s="55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ht="15.75" customHeight="1">
      <c r="A108" s="29"/>
      <c r="B108" s="152"/>
      <c r="C108" s="29"/>
      <c r="D108" s="32"/>
      <c r="E108" s="32"/>
      <c r="F108" s="55"/>
      <c r="G108" s="55"/>
      <c r="H108" s="29"/>
      <c r="I108" s="29"/>
      <c r="J108" s="29"/>
      <c r="K108" s="55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 ht="15.75" customHeight="1">
      <c r="A109" s="29"/>
      <c r="B109" s="152"/>
      <c r="C109" s="29"/>
      <c r="D109" s="32"/>
      <c r="E109" s="32"/>
      <c r="F109" s="55"/>
      <c r="G109" s="55"/>
      <c r="H109" s="29"/>
      <c r="I109" s="29"/>
      <c r="J109" s="29"/>
      <c r="K109" s="55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 ht="15.75" customHeight="1">
      <c r="A110" s="29"/>
      <c r="B110" s="152"/>
      <c r="C110" s="29"/>
      <c r="D110" s="32"/>
      <c r="E110" s="32"/>
      <c r="F110" s="55"/>
      <c r="G110" s="55"/>
      <c r="H110" s="29"/>
      <c r="I110" s="29"/>
      <c r="J110" s="29"/>
      <c r="K110" s="55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 ht="15.75" customHeight="1">
      <c r="A111" s="29"/>
      <c r="B111" s="152"/>
      <c r="C111" s="29"/>
      <c r="D111" s="32"/>
      <c r="E111" s="32"/>
      <c r="F111" s="55"/>
      <c r="G111" s="55"/>
      <c r="H111" s="29"/>
      <c r="I111" s="29"/>
      <c r="J111" s="29"/>
      <c r="K111" s="55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ht="15.75" customHeight="1">
      <c r="A112" s="29"/>
      <c r="B112" s="152"/>
      <c r="C112" s="29"/>
      <c r="D112" s="32"/>
      <c r="E112" s="32"/>
      <c r="F112" s="55"/>
      <c r="G112" s="55"/>
      <c r="H112" s="29"/>
      <c r="I112" s="29"/>
      <c r="J112" s="29"/>
      <c r="K112" s="55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ht="15.75" customHeight="1">
      <c r="A113" s="29"/>
      <c r="B113" s="152"/>
      <c r="C113" s="29"/>
      <c r="D113" s="32"/>
      <c r="E113" s="32"/>
      <c r="F113" s="55"/>
      <c r="G113" s="55"/>
      <c r="H113" s="29"/>
      <c r="I113" s="29"/>
      <c r="J113" s="29"/>
      <c r="K113" s="55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ht="15.75" customHeight="1">
      <c r="A114" s="29"/>
      <c r="B114" s="152"/>
      <c r="C114" s="29"/>
      <c r="D114" s="32"/>
      <c r="E114" s="32"/>
      <c r="F114" s="55"/>
      <c r="G114" s="55"/>
      <c r="H114" s="29"/>
      <c r="I114" s="29"/>
      <c r="J114" s="29"/>
      <c r="K114" s="55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ht="15.75" customHeight="1">
      <c r="A115" s="29"/>
      <c r="B115" s="152"/>
      <c r="C115" s="29"/>
      <c r="D115" s="32"/>
      <c r="E115" s="32"/>
      <c r="F115" s="55"/>
      <c r="G115" s="55"/>
      <c r="H115" s="29"/>
      <c r="I115" s="29"/>
      <c r="J115" s="29"/>
      <c r="K115" s="55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 ht="15.75" customHeight="1">
      <c r="A116" s="29"/>
      <c r="B116" s="152"/>
      <c r="C116" s="29"/>
      <c r="D116" s="32"/>
      <c r="E116" s="32"/>
      <c r="F116" s="55"/>
      <c r="G116" s="55"/>
      <c r="H116" s="29"/>
      <c r="I116" s="29"/>
      <c r="J116" s="29"/>
      <c r="K116" s="55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ht="15.75" customHeight="1">
      <c r="A117" s="29"/>
      <c r="B117" s="152"/>
      <c r="C117" s="29"/>
      <c r="D117" s="32"/>
      <c r="E117" s="32"/>
      <c r="F117" s="55"/>
      <c r="G117" s="55"/>
      <c r="H117" s="29"/>
      <c r="I117" s="29"/>
      <c r="J117" s="29"/>
      <c r="K117" s="55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 ht="15.75" customHeight="1">
      <c r="A118" s="29"/>
      <c r="B118" s="152"/>
      <c r="C118" s="29"/>
      <c r="D118" s="32"/>
      <c r="E118" s="32"/>
      <c r="F118" s="55"/>
      <c r="G118" s="55"/>
      <c r="H118" s="29"/>
      <c r="I118" s="29"/>
      <c r="J118" s="29"/>
      <c r="K118" s="55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 ht="15.75" customHeight="1">
      <c r="A119" s="29"/>
      <c r="B119" s="152"/>
      <c r="C119" s="29"/>
      <c r="D119" s="32"/>
      <c r="E119" s="32"/>
      <c r="F119" s="55"/>
      <c r="G119" s="55"/>
      <c r="H119" s="29"/>
      <c r="I119" s="29"/>
      <c r="J119" s="29"/>
      <c r="K119" s="55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 ht="15.75" customHeight="1">
      <c r="A120" s="29"/>
      <c r="B120" s="152"/>
      <c r="C120" s="29"/>
      <c r="D120" s="32"/>
      <c r="E120" s="32"/>
      <c r="F120" s="55"/>
      <c r="G120" s="55"/>
      <c r="H120" s="29"/>
      <c r="I120" s="29"/>
      <c r="J120" s="29"/>
      <c r="K120" s="55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 ht="15.75" customHeight="1">
      <c r="A121" s="29"/>
      <c r="B121" s="152"/>
      <c r="C121" s="29"/>
      <c r="D121" s="32"/>
      <c r="E121" s="32"/>
      <c r="F121" s="55"/>
      <c r="G121" s="55"/>
      <c r="H121" s="29"/>
      <c r="I121" s="29"/>
      <c r="J121" s="29"/>
      <c r="K121" s="55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 ht="15.75" customHeight="1">
      <c r="A122" s="29"/>
      <c r="B122" s="152"/>
      <c r="C122" s="29"/>
      <c r="D122" s="32"/>
      <c r="E122" s="32"/>
      <c r="F122" s="55"/>
      <c r="G122" s="55"/>
      <c r="H122" s="29"/>
      <c r="I122" s="29"/>
      <c r="J122" s="29"/>
      <c r="K122" s="55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 ht="15.75" customHeight="1">
      <c r="A123" s="29"/>
      <c r="B123" s="152"/>
      <c r="C123" s="29"/>
      <c r="D123" s="32"/>
      <c r="E123" s="32"/>
      <c r="F123" s="55"/>
      <c r="G123" s="55"/>
      <c r="H123" s="29"/>
      <c r="I123" s="29"/>
      <c r="J123" s="29"/>
      <c r="K123" s="55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 ht="15.75" customHeight="1">
      <c r="A124" s="29"/>
      <c r="B124" s="152"/>
      <c r="C124" s="29"/>
      <c r="D124" s="32"/>
      <c r="E124" s="32"/>
      <c r="F124" s="55"/>
      <c r="G124" s="55"/>
      <c r="H124" s="29"/>
      <c r="I124" s="29"/>
      <c r="J124" s="29"/>
      <c r="K124" s="55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 ht="15.75" customHeight="1">
      <c r="A125" s="29"/>
      <c r="B125" s="152"/>
      <c r="C125" s="29"/>
      <c r="D125" s="32"/>
      <c r="E125" s="32"/>
      <c r="F125" s="55"/>
      <c r="G125" s="55"/>
      <c r="H125" s="29"/>
      <c r="I125" s="29"/>
      <c r="J125" s="29"/>
      <c r="K125" s="55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 ht="15.75" customHeight="1">
      <c r="A126" s="29"/>
      <c r="B126" s="152"/>
      <c r="C126" s="29"/>
      <c r="D126" s="32"/>
      <c r="E126" s="32"/>
      <c r="F126" s="55"/>
      <c r="G126" s="55"/>
      <c r="H126" s="29"/>
      <c r="I126" s="29"/>
      <c r="J126" s="29"/>
      <c r="K126" s="55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 ht="15.75" customHeight="1">
      <c r="A127" s="29"/>
      <c r="B127" s="152"/>
      <c r="C127" s="29"/>
      <c r="D127" s="32"/>
      <c r="E127" s="32"/>
      <c r="F127" s="55"/>
      <c r="G127" s="55"/>
      <c r="H127" s="29"/>
      <c r="I127" s="29"/>
      <c r="J127" s="29"/>
      <c r="K127" s="55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 ht="15.75" customHeight="1">
      <c r="A128" s="29"/>
      <c r="B128" s="152"/>
      <c r="C128" s="29"/>
      <c r="D128" s="32"/>
      <c r="E128" s="32"/>
      <c r="F128" s="55"/>
      <c r="G128" s="55"/>
      <c r="H128" s="29"/>
      <c r="I128" s="29"/>
      <c r="J128" s="29"/>
      <c r="K128" s="55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 ht="15.75" customHeight="1">
      <c r="A129" s="29"/>
      <c r="B129" s="152"/>
      <c r="C129" s="29"/>
      <c r="D129" s="32"/>
      <c r="E129" s="32"/>
      <c r="F129" s="55"/>
      <c r="G129" s="55"/>
      <c r="H129" s="29"/>
      <c r="I129" s="29"/>
      <c r="J129" s="29"/>
      <c r="K129" s="55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 ht="15.75" customHeight="1">
      <c r="A130" s="29"/>
      <c r="B130" s="152"/>
      <c r="C130" s="29"/>
      <c r="D130" s="32"/>
      <c r="E130" s="32"/>
      <c r="F130" s="55"/>
      <c r="G130" s="55"/>
      <c r="H130" s="29"/>
      <c r="I130" s="29"/>
      <c r="J130" s="29"/>
      <c r="K130" s="55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 ht="15.75" customHeight="1">
      <c r="A131" s="29"/>
      <c r="B131" s="152"/>
      <c r="C131" s="29"/>
      <c r="D131" s="32"/>
      <c r="E131" s="32"/>
      <c r="F131" s="55"/>
      <c r="G131" s="55"/>
      <c r="H131" s="29"/>
      <c r="I131" s="29"/>
      <c r="J131" s="29"/>
      <c r="K131" s="55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 ht="15.75" customHeight="1">
      <c r="A132" s="29"/>
      <c r="B132" s="152"/>
      <c r="C132" s="29"/>
      <c r="D132" s="32"/>
      <c r="E132" s="32"/>
      <c r="F132" s="55"/>
      <c r="G132" s="55"/>
      <c r="H132" s="29"/>
      <c r="I132" s="29"/>
      <c r="J132" s="29"/>
      <c r="K132" s="55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 ht="15.75" customHeight="1">
      <c r="A133" s="29"/>
      <c r="B133" s="152"/>
      <c r="C133" s="29"/>
      <c r="D133" s="32"/>
      <c r="E133" s="32"/>
      <c r="F133" s="55"/>
      <c r="G133" s="55"/>
      <c r="H133" s="29"/>
      <c r="I133" s="29"/>
      <c r="J133" s="29"/>
      <c r="K133" s="55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 ht="15.75" customHeight="1">
      <c r="A134" s="29"/>
      <c r="B134" s="152"/>
      <c r="C134" s="29"/>
      <c r="D134" s="32"/>
      <c r="E134" s="32"/>
      <c r="F134" s="55"/>
      <c r="G134" s="55"/>
      <c r="H134" s="29"/>
      <c r="I134" s="29"/>
      <c r="J134" s="29"/>
      <c r="K134" s="55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 ht="15.75" customHeight="1">
      <c r="A135" s="29"/>
      <c r="B135" s="152"/>
      <c r="C135" s="29"/>
      <c r="D135" s="32"/>
      <c r="E135" s="32"/>
      <c r="F135" s="55"/>
      <c r="G135" s="55"/>
      <c r="H135" s="29"/>
      <c r="I135" s="29"/>
      <c r="J135" s="29"/>
      <c r="K135" s="55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 ht="15.75" customHeight="1">
      <c r="A136" s="29"/>
      <c r="B136" s="152"/>
      <c r="C136" s="29"/>
      <c r="D136" s="32"/>
      <c r="E136" s="32"/>
      <c r="F136" s="55"/>
      <c r="G136" s="55"/>
      <c r="H136" s="29"/>
      <c r="I136" s="29"/>
      <c r="J136" s="29"/>
      <c r="K136" s="55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 ht="15.75" customHeight="1">
      <c r="A137" s="29"/>
      <c r="B137" s="152"/>
      <c r="C137" s="29"/>
      <c r="D137" s="32"/>
      <c r="E137" s="32"/>
      <c r="F137" s="55"/>
      <c r="G137" s="55"/>
      <c r="H137" s="29"/>
      <c r="I137" s="29"/>
      <c r="J137" s="29"/>
      <c r="K137" s="55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 ht="15.75" customHeight="1">
      <c r="A138" s="29"/>
      <c r="B138" s="152"/>
      <c r="C138" s="29"/>
      <c r="D138" s="32"/>
      <c r="E138" s="32"/>
      <c r="F138" s="55"/>
      <c r="G138" s="55"/>
      <c r="H138" s="29"/>
      <c r="I138" s="29"/>
      <c r="J138" s="29"/>
      <c r="K138" s="55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 ht="15.75" customHeight="1">
      <c r="A139" s="29"/>
      <c r="B139" s="152"/>
      <c r="C139" s="29"/>
      <c r="D139" s="32"/>
      <c r="E139" s="32"/>
      <c r="F139" s="55"/>
      <c r="G139" s="55"/>
      <c r="H139" s="29"/>
      <c r="I139" s="29"/>
      <c r="J139" s="29"/>
      <c r="K139" s="55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 ht="15.75" customHeight="1">
      <c r="A140" s="29"/>
      <c r="B140" s="152"/>
      <c r="C140" s="29"/>
      <c r="D140" s="32"/>
      <c r="E140" s="32"/>
      <c r="F140" s="55"/>
      <c r="G140" s="55"/>
      <c r="H140" s="29"/>
      <c r="I140" s="29"/>
      <c r="J140" s="29"/>
      <c r="K140" s="55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 ht="15.75" customHeight="1">
      <c r="A141" s="29"/>
      <c r="B141" s="152"/>
      <c r="C141" s="29"/>
      <c r="D141" s="32"/>
      <c r="E141" s="32"/>
      <c r="F141" s="55"/>
      <c r="G141" s="55"/>
      <c r="H141" s="29"/>
      <c r="I141" s="29"/>
      <c r="J141" s="29"/>
      <c r="K141" s="55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 ht="15.75" customHeight="1">
      <c r="A142" s="29"/>
      <c r="B142" s="152"/>
      <c r="C142" s="29"/>
      <c r="D142" s="32"/>
      <c r="E142" s="32"/>
      <c r="F142" s="55"/>
      <c r="G142" s="55"/>
      <c r="H142" s="29"/>
      <c r="I142" s="29"/>
      <c r="J142" s="29"/>
      <c r="K142" s="55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 ht="15.75" customHeight="1">
      <c r="A143" s="29"/>
      <c r="B143" s="152"/>
      <c r="C143" s="29"/>
      <c r="D143" s="32"/>
      <c r="E143" s="32"/>
      <c r="F143" s="55"/>
      <c r="G143" s="55"/>
      <c r="H143" s="29"/>
      <c r="I143" s="29"/>
      <c r="J143" s="29"/>
      <c r="K143" s="55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 ht="15.75" customHeight="1">
      <c r="A144" s="29"/>
      <c r="B144" s="152"/>
      <c r="C144" s="29"/>
      <c r="D144" s="32"/>
      <c r="E144" s="32"/>
      <c r="F144" s="55"/>
      <c r="G144" s="55"/>
      <c r="H144" s="29"/>
      <c r="I144" s="29"/>
      <c r="J144" s="29"/>
      <c r="K144" s="55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 ht="15.75" customHeight="1">
      <c r="A145" s="29"/>
      <c r="B145" s="152"/>
      <c r="C145" s="29"/>
      <c r="D145" s="32"/>
      <c r="E145" s="32"/>
      <c r="F145" s="55"/>
      <c r="G145" s="55"/>
      <c r="H145" s="29"/>
      <c r="I145" s="29"/>
      <c r="J145" s="29"/>
      <c r="K145" s="55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 ht="15.75" customHeight="1">
      <c r="A146" s="29"/>
      <c r="B146" s="152"/>
      <c r="C146" s="29"/>
      <c r="D146" s="32"/>
      <c r="E146" s="32"/>
      <c r="F146" s="55"/>
      <c r="G146" s="55"/>
      <c r="H146" s="29"/>
      <c r="I146" s="29"/>
      <c r="J146" s="29"/>
      <c r="K146" s="55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 ht="15.75" customHeight="1">
      <c r="A147" s="29"/>
      <c r="B147" s="152"/>
      <c r="C147" s="29"/>
      <c r="D147" s="32"/>
      <c r="E147" s="32"/>
      <c r="F147" s="55"/>
      <c r="G147" s="55"/>
      <c r="H147" s="29"/>
      <c r="I147" s="29"/>
      <c r="J147" s="29"/>
      <c r="K147" s="55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 ht="15.75" customHeight="1">
      <c r="A148" s="29"/>
      <c r="B148" s="152"/>
      <c r="C148" s="29"/>
      <c r="D148" s="32"/>
      <c r="E148" s="32"/>
      <c r="F148" s="55"/>
      <c r="G148" s="55"/>
      <c r="H148" s="29"/>
      <c r="I148" s="29"/>
      <c r="J148" s="29"/>
      <c r="K148" s="55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 ht="15.75" customHeight="1">
      <c r="A149" s="29"/>
      <c r="B149" s="152"/>
      <c r="C149" s="29"/>
      <c r="D149" s="32"/>
      <c r="E149" s="32"/>
      <c r="F149" s="55"/>
      <c r="G149" s="55"/>
      <c r="H149" s="29"/>
      <c r="I149" s="29"/>
      <c r="J149" s="29"/>
      <c r="K149" s="55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 ht="15.75" customHeight="1">
      <c r="A150" s="29"/>
      <c r="B150" s="152"/>
      <c r="C150" s="29"/>
      <c r="D150" s="32"/>
      <c r="E150" s="32"/>
      <c r="F150" s="55"/>
      <c r="G150" s="55"/>
      <c r="H150" s="29"/>
      <c r="I150" s="29"/>
      <c r="J150" s="29"/>
      <c r="K150" s="55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 ht="15.75" customHeight="1">
      <c r="A151" s="29"/>
      <c r="B151" s="152"/>
      <c r="C151" s="29"/>
      <c r="D151" s="32"/>
      <c r="E151" s="32"/>
      <c r="F151" s="55"/>
      <c r="G151" s="55"/>
      <c r="H151" s="29"/>
      <c r="I151" s="29"/>
      <c r="J151" s="29"/>
      <c r="K151" s="55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 ht="15.75" customHeight="1">
      <c r="A152" s="29"/>
      <c r="B152" s="152"/>
      <c r="C152" s="29"/>
      <c r="D152" s="32"/>
      <c r="E152" s="32"/>
      <c r="F152" s="55"/>
      <c r="G152" s="55"/>
      <c r="H152" s="29"/>
      <c r="I152" s="29"/>
      <c r="J152" s="29"/>
      <c r="K152" s="55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 ht="15.75" customHeight="1">
      <c r="A153" s="29"/>
      <c r="B153" s="152"/>
      <c r="C153" s="29"/>
      <c r="D153" s="32"/>
      <c r="E153" s="32"/>
      <c r="F153" s="55"/>
      <c r="G153" s="55"/>
      <c r="H153" s="29"/>
      <c r="I153" s="29"/>
      <c r="J153" s="29"/>
      <c r="K153" s="55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 ht="15.75" customHeight="1">
      <c r="A154" s="29"/>
      <c r="B154" s="152"/>
      <c r="C154" s="29"/>
      <c r="D154" s="32"/>
      <c r="E154" s="32"/>
      <c r="F154" s="55"/>
      <c r="G154" s="55"/>
      <c r="H154" s="29"/>
      <c r="I154" s="29"/>
      <c r="J154" s="29"/>
      <c r="K154" s="55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 ht="15.75" customHeight="1">
      <c r="A155" s="29"/>
      <c r="B155" s="152"/>
      <c r="C155" s="29"/>
      <c r="D155" s="32"/>
      <c r="E155" s="32"/>
      <c r="F155" s="55"/>
      <c r="G155" s="55"/>
      <c r="H155" s="29"/>
      <c r="I155" s="29"/>
      <c r="J155" s="29"/>
      <c r="K155" s="55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 ht="15.75" customHeight="1">
      <c r="A156" s="29"/>
      <c r="B156" s="152"/>
      <c r="C156" s="29"/>
      <c r="D156" s="32"/>
      <c r="E156" s="32"/>
      <c r="F156" s="55"/>
      <c r="G156" s="55"/>
      <c r="H156" s="29"/>
      <c r="I156" s="29"/>
      <c r="J156" s="29"/>
      <c r="K156" s="55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 ht="15.75" customHeight="1">
      <c r="A157" s="29"/>
      <c r="B157" s="152"/>
      <c r="C157" s="29"/>
      <c r="D157" s="32"/>
      <c r="E157" s="32"/>
      <c r="F157" s="55"/>
      <c r="G157" s="55"/>
      <c r="H157" s="29"/>
      <c r="I157" s="29"/>
      <c r="J157" s="29"/>
      <c r="K157" s="55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 ht="15.75" customHeight="1">
      <c r="A158" s="29"/>
      <c r="B158" s="152"/>
      <c r="C158" s="29"/>
      <c r="D158" s="32"/>
      <c r="E158" s="32"/>
      <c r="F158" s="55"/>
      <c r="G158" s="55"/>
      <c r="H158" s="29"/>
      <c r="I158" s="29"/>
      <c r="J158" s="29"/>
      <c r="K158" s="55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 ht="15.75" customHeight="1">
      <c r="A159" s="29"/>
      <c r="B159" s="152"/>
      <c r="C159" s="29"/>
      <c r="D159" s="32"/>
      <c r="E159" s="32"/>
      <c r="F159" s="55"/>
      <c r="G159" s="55"/>
      <c r="H159" s="29"/>
      <c r="I159" s="29"/>
      <c r="J159" s="29"/>
      <c r="K159" s="55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 ht="15.75" customHeight="1">
      <c r="A160" s="29"/>
      <c r="B160" s="152"/>
      <c r="C160" s="29"/>
      <c r="D160" s="32"/>
      <c r="E160" s="32"/>
      <c r="F160" s="55"/>
      <c r="G160" s="55"/>
      <c r="H160" s="29"/>
      <c r="I160" s="29"/>
      <c r="J160" s="29"/>
      <c r="K160" s="55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 ht="15.75" customHeight="1">
      <c r="A161" s="29"/>
      <c r="B161" s="152"/>
      <c r="C161" s="29"/>
      <c r="D161" s="32"/>
      <c r="E161" s="32"/>
      <c r="F161" s="55"/>
      <c r="G161" s="55"/>
      <c r="H161" s="29"/>
      <c r="I161" s="29"/>
      <c r="J161" s="29"/>
      <c r="K161" s="55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 ht="15.75" customHeight="1">
      <c r="A162" s="29"/>
      <c r="B162" s="152"/>
      <c r="C162" s="29"/>
      <c r="D162" s="32"/>
      <c r="E162" s="32"/>
      <c r="F162" s="55"/>
      <c r="G162" s="55"/>
      <c r="H162" s="29"/>
      <c r="I162" s="29"/>
      <c r="J162" s="29"/>
      <c r="K162" s="55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 ht="15.75" customHeight="1">
      <c r="A163" s="29"/>
      <c r="B163" s="152"/>
      <c r="C163" s="29"/>
      <c r="D163" s="32"/>
      <c r="E163" s="32"/>
      <c r="F163" s="55"/>
      <c r="G163" s="55"/>
      <c r="H163" s="29"/>
      <c r="I163" s="29"/>
      <c r="J163" s="29"/>
      <c r="K163" s="55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 ht="15.75" customHeight="1">
      <c r="A164" s="29"/>
      <c r="B164" s="152"/>
      <c r="C164" s="29"/>
      <c r="D164" s="32"/>
      <c r="E164" s="32"/>
      <c r="F164" s="55"/>
      <c r="G164" s="55"/>
      <c r="H164" s="29"/>
      <c r="I164" s="29"/>
      <c r="J164" s="29"/>
      <c r="K164" s="55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 ht="15.75" customHeight="1">
      <c r="A165" s="29"/>
      <c r="B165" s="152"/>
      <c r="C165" s="29"/>
      <c r="D165" s="32"/>
      <c r="E165" s="32"/>
      <c r="F165" s="55"/>
      <c r="G165" s="55"/>
      <c r="H165" s="29"/>
      <c r="I165" s="29"/>
      <c r="J165" s="29"/>
      <c r="K165" s="55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 ht="15.75" customHeight="1">
      <c r="A166" s="29"/>
      <c r="B166" s="152"/>
      <c r="C166" s="29"/>
      <c r="D166" s="32"/>
      <c r="E166" s="32"/>
      <c r="F166" s="55"/>
      <c r="G166" s="55"/>
      <c r="H166" s="29"/>
      <c r="I166" s="29"/>
      <c r="J166" s="29"/>
      <c r="K166" s="55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 ht="15.75" customHeight="1">
      <c r="A167" s="29"/>
      <c r="B167" s="152"/>
      <c r="C167" s="29"/>
      <c r="D167" s="32"/>
      <c r="E167" s="32"/>
      <c r="F167" s="55"/>
      <c r="G167" s="55"/>
      <c r="H167" s="29"/>
      <c r="I167" s="29"/>
      <c r="J167" s="29"/>
      <c r="K167" s="55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 ht="15.75" customHeight="1">
      <c r="A168" s="29"/>
      <c r="B168" s="152"/>
      <c r="C168" s="29"/>
      <c r="D168" s="32"/>
      <c r="E168" s="32"/>
      <c r="F168" s="55"/>
      <c r="G168" s="55"/>
      <c r="H168" s="29"/>
      <c r="I168" s="29"/>
      <c r="J168" s="29"/>
      <c r="K168" s="55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 ht="15.75" customHeight="1">
      <c r="A169" s="29"/>
      <c r="B169" s="152"/>
      <c r="C169" s="29"/>
      <c r="D169" s="32"/>
      <c r="E169" s="32"/>
      <c r="F169" s="55"/>
      <c r="G169" s="55"/>
      <c r="H169" s="29"/>
      <c r="I169" s="29"/>
      <c r="J169" s="29"/>
      <c r="K169" s="55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 ht="15.75" customHeight="1">
      <c r="A170" s="29"/>
      <c r="B170" s="152"/>
      <c r="C170" s="29"/>
      <c r="D170" s="32"/>
      <c r="E170" s="32"/>
      <c r="F170" s="55"/>
      <c r="G170" s="55"/>
      <c r="H170" s="29"/>
      <c r="I170" s="29"/>
      <c r="J170" s="29"/>
      <c r="K170" s="55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 ht="15.75" customHeight="1">
      <c r="A171" s="29"/>
      <c r="B171" s="152"/>
      <c r="C171" s="29"/>
      <c r="D171" s="32"/>
      <c r="E171" s="32"/>
      <c r="F171" s="55"/>
      <c r="G171" s="55"/>
      <c r="H171" s="29"/>
      <c r="I171" s="29"/>
      <c r="J171" s="29"/>
      <c r="K171" s="55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 ht="15.75" customHeight="1">
      <c r="A172" s="29"/>
      <c r="B172" s="152"/>
      <c r="C172" s="29"/>
      <c r="D172" s="32"/>
      <c r="E172" s="32"/>
      <c r="F172" s="55"/>
      <c r="G172" s="55"/>
      <c r="H172" s="29"/>
      <c r="I172" s="29"/>
      <c r="J172" s="29"/>
      <c r="K172" s="55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 ht="15.75" customHeight="1">
      <c r="A173" s="29"/>
      <c r="B173" s="152"/>
      <c r="C173" s="29"/>
      <c r="D173" s="32"/>
      <c r="E173" s="32"/>
      <c r="F173" s="55"/>
      <c r="G173" s="55"/>
      <c r="H173" s="29"/>
      <c r="I173" s="29"/>
      <c r="J173" s="29"/>
      <c r="K173" s="55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 ht="15.75" customHeight="1">
      <c r="A174" s="29"/>
      <c r="B174" s="152"/>
      <c r="C174" s="29"/>
      <c r="D174" s="32"/>
      <c r="E174" s="32"/>
      <c r="F174" s="55"/>
      <c r="G174" s="55"/>
      <c r="H174" s="29"/>
      <c r="I174" s="29"/>
      <c r="J174" s="29"/>
      <c r="K174" s="55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 ht="15.75" customHeight="1">
      <c r="A175" s="29"/>
      <c r="B175" s="152"/>
      <c r="C175" s="29"/>
      <c r="D175" s="32"/>
      <c r="E175" s="32"/>
      <c r="F175" s="55"/>
      <c r="G175" s="55"/>
      <c r="H175" s="29"/>
      <c r="I175" s="29"/>
      <c r="J175" s="29"/>
      <c r="K175" s="55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 ht="15.75" customHeight="1">
      <c r="A176" s="29"/>
      <c r="B176" s="152"/>
      <c r="C176" s="29"/>
      <c r="D176" s="32"/>
      <c r="E176" s="32"/>
      <c r="F176" s="55"/>
      <c r="G176" s="55"/>
      <c r="H176" s="29"/>
      <c r="I176" s="29"/>
      <c r="J176" s="29"/>
      <c r="K176" s="55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 ht="15.75" customHeight="1">
      <c r="A177" s="29"/>
      <c r="B177" s="152"/>
      <c r="C177" s="29"/>
      <c r="D177" s="32"/>
      <c r="E177" s="32"/>
      <c r="F177" s="55"/>
      <c r="G177" s="55"/>
      <c r="H177" s="29"/>
      <c r="I177" s="29"/>
      <c r="J177" s="29"/>
      <c r="K177" s="55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 ht="15.75" customHeight="1">
      <c r="A178" s="29"/>
      <c r="B178" s="152"/>
      <c r="C178" s="29"/>
      <c r="D178" s="32"/>
      <c r="E178" s="32"/>
      <c r="F178" s="55"/>
      <c r="G178" s="55"/>
      <c r="H178" s="29"/>
      <c r="I178" s="29"/>
      <c r="J178" s="29"/>
      <c r="K178" s="55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 ht="15.75" customHeight="1">
      <c r="A179" s="29"/>
      <c r="B179" s="152"/>
      <c r="C179" s="29"/>
      <c r="D179" s="32"/>
      <c r="E179" s="32"/>
      <c r="F179" s="55"/>
      <c r="G179" s="55"/>
      <c r="H179" s="29"/>
      <c r="I179" s="29"/>
      <c r="J179" s="29"/>
      <c r="K179" s="55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 ht="15.75" customHeight="1">
      <c r="A180" s="29"/>
      <c r="B180" s="152"/>
      <c r="C180" s="29"/>
      <c r="D180" s="32"/>
      <c r="E180" s="32"/>
      <c r="F180" s="55"/>
      <c r="G180" s="55"/>
      <c r="H180" s="29"/>
      <c r="I180" s="29"/>
      <c r="J180" s="29"/>
      <c r="K180" s="55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 ht="15.75" customHeight="1">
      <c r="A181" s="29"/>
      <c r="B181" s="152"/>
      <c r="C181" s="29"/>
      <c r="D181" s="32"/>
      <c r="E181" s="32"/>
      <c r="F181" s="55"/>
      <c r="G181" s="55"/>
      <c r="H181" s="29"/>
      <c r="I181" s="29"/>
      <c r="J181" s="29"/>
      <c r="K181" s="55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 ht="15.75" customHeight="1">
      <c r="A182" s="29"/>
      <c r="B182" s="152"/>
      <c r="C182" s="29"/>
      <c r="D182" s="32"/>
      <c r="E182" s="32"/>
      <c r="F182" s="55"/>
      <c r="G182" s="55"/>
      <c r="H182" s="29"/>
      <c r="I182" s="29"/>
      <c r="J182" s="29"/>
      <c r="K182" s="55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 ht="15.75" customHeight="1">
      <c r="A183" s="29"/>
      <c r="B183" s="152"/>
      <c r="C183" s="29"/>
      <c r="D183" s="32"/>
      <c r="E183" s="32"/>
      <c r="F183" s="55"/>
      <c r="G183" s="55"/>
      <c r="H183" s="29"/>
      <c r="I183" s="29"/>
      <c r="J183" s="29"/>
      <c r="K183" s="55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 ht="15.75" customHeight="1">
      <c r="A184" s="29"/>
      <c r="B184" s="152"/>
      <c r="C184" s="29"/>
      <c r="D184" s="32"/>
      <c r="E184" s="32"/>
      <c r="F184" s="55"/>
      <c r="G184" s="55"/>
      <c r="H184" s="29"/>
      <c r="I184" s="29"/>
      <c r="J184" s="29"/>
      <c r="K184" s="55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 ht="15.75" customHeight="1">
      <c r="A185" s="29"/>
      <c r="B185" s="152"/>
      <c r="C185" s="29"/>
      <c r="D185" s="32"/>
      <c r="E185" s="32"/>
      <c r="F185" s="55"/>
      <c r="G185" s="55"/>
      <c r="H185" s="29"/>
      <c r="I185" s="29"/>
      <c r="J185" s="29"/>
      <c r="K185" s="55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 ht="15.75" customHeight="1">
      <c r="A186" s="29"/>
      <c r="B186" s="152"/>
      <c r="C186" s="29"/>
      <c r="D186" s="32"/>
      <c r="E186" s="32"/>
      <c r="F186" s="55"/>
      <c r="G186" s="55"/>
      <c r="H186" s="29"/>
      <c r="I186" s="29"/>
      <c r="J186" s="29"/>
      <c r="K186" s="55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 ht="15.75" customHeight="1">
      <c r="A187" s="29"/>
      <c r="B187" s="152"/>
      <c r="C187" s="29"/>
      <c r="D187" s="32"/>
      <c r="E187" s="32"/>
      <c r="F187" s="55"/>
      <c r="G187" s="55"/>
      <c r="H187" s="29"/>
      <c r="I187" s="29"/>
      <c r="J187" s="29"/>
      <c r="K187" s="55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 ht="15.75" customHeight="1">
      <c r="A188" s="29"/>
      <c r="B188" s="152"/>
      <c r="C188" s="29"/>
      <c r="D188" s="32"/>
      <c r="E188" s="32"/>
      <c r="F188" s="55"/>
      <c r="G188" s="55"/>
      <c r="H188" s="29"/>
      <c r="I188" s="29"/>
      <c r="J188" s="29"/>
      <c r="K188" s="55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 ht="15.75" customHeight="1">
      <c r="A189" s="29"/>
      <c r="B189" s="152"/>
      <c r="C189" s="29"/>
      <c r="D189" s="32"/>
      <c r="E189" s="32"/>
      <c r="F189" s="55"/>
      <c r="G189" s="55"/>
      <c r="H189" s="29"/>
      <c r="I189" s="29"/>
      <c r="J189" s="29"/>
      <c r="K189" s="55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 ht="15.75" customHeight="1">
      <c r="A190" s="29"/>
      <c r="B190" s="152"/>
      <c r="C190" s="29"/>
      <c r="D190" s="32"/>
      <c r="E190" s="32"/>
      <c r="F190" s="55"/>
      <c r="G190" s="55"/>
      <c r="H190" s="29"/>
      <c r="I190" s="29"/>
      <c r="J190" s="29"/>
      <c r="K190" s="55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 ht="15.75" customHeight="1">
      <c r="A191" s="29"/>
      <c r="B191" s="152"/>
      <c r="C191" s="29"/>
      <c r="D191" s="32"/>
      <c r="E191" s="32"/>
      <c r="F191" s="55"/>
      <c r="G191" s="55"/>
      <c r="H191" s="29"/>
      <c r="I191" s="29"/>
      <c r="J191" s="29"/>
      <c r="K191" s="55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 ht="15.75" customHeight="1">
      <c r="A192" s="29"/>
      <c r="B192" s="152"/>
      <c r="C192" s="29"/>
      <c r="D192" s="32"/>
      <c r="E192" s="32"/>
      <c r="F192" s="55"/>
      <c r="G192" s="55"/>
      <c r="H192" s="29"/>
      <c r="I192" s="29"/>
      <c r="J192" s="29"/>
      <c r="K192" s="55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 ht="15.75" customHeight="1">
      <c r="A193" s="29"/>
      <c r="B193" s="152"/>
      <c r="C193" s="29"/>
      <c r="D193" s="32"/>
      <c r="E193" s="32"/>
      <c r="F193" s="55"/>
      <c r="G193" s="55"/>
      <c r="H193" s="29"/>
      <c r="I193" s="29"/>
      <c r="J193" s="29"/>
      <c r="K193" s="55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 ht="15.75" customHeight="1">
      <c r="A194" s="29"/>
      <c r="B194" s="152"/>
      <c r="C194" s="29"/>
      <c r="D194" s="32"/>
      <c r="E194" s="32"/>
      <c r="F194" s="55"/>
      <c r="G194" s="55"/>
      <c r="H194" s="29"/>
      <c r="I194" s="29"/>
      <c r="J194" s="29"/>
      <c r="K194" s="55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 ht="15.75" customHeight="1">
      <c r="A195" s="29"/>
      <c r="B195" s="152"/>
      <c r="C195" s="29"/>
      <c r="D195" s="32"/>
      <c r="E195" s="32"/>
      <c r="F195" s="55"/>
      <c r="G195" s="55"/>
      <c r="H195" s="29"/>
      <c r="I195" s="29"/>
      <c r="J195" s="29"/>
      <c r="K195" s="55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 ht="15.75" customHeight="1">
      <c r="A196" s="29"/>
      <c r="B196" s="152"/>
      <c r="C196" s="29"/>
      <c r="D196" s="32"/>
      <c r="E196" s="32"/>
      <c r="F196" s="55"/>
      <c r="G196" s="55"/>
      <c r="H196" s="29"/>
      <c r="I196" s="29"/>
      <c r="J196" s="29"/>
      <c r="K196" s="55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 ht="15.75" customHeight="1">
      <c r="A197" s="29"/>
      <c r="B197" s="152"/>
      <c r="C197" s="29"/>
      <c r="D197" s="32"/>
      <c r="E197" s="32"/>
      <c r="F197" s="55"/>
      <c r="G197" s="55"/>
      <c r="H197" s="29"/>
      <c r="I197" s="29"/>
      <c r="J197" s="29"/>
      <c r="K197" s="55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 ht="15.75" customHeight="1">
      <c r="A198" s="29"/>
      <c r="B198" s="152"/>
      <c r="C198" s="29"/>
      <c r="D198" s="32"/>
      <c r="E198" s="32"/>
      <c r="F198" s="55"/>
      <c r="G198" s="55"/>
      <c r="H198" s="29"/>
      <c r="I198" s="29"/>
      <c r="J198" s="29"/>
      <c r="K198" s="55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  <row r="199" spans="1:31" ht="15.75" customHeight="1">
      <c r="A199" s="29"/>
      <c r="B199" s="152"/>
      <c r="C199" s="29"/>
      <c r="D199" s="32"/>
      <c r="E199" s="32"/>
      <c r="F199" s="55"/>
      <c r="G199" s="55"/>
      <c r="H199" s="29"/>
      <c r="I199" s="29"/>
      <c r="J199" s="29"/>
      <c r="K199" s="55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1:31" ht="15.75" customHeight="1">
      <c r="A200" s="29"/>
      <c r="B200" s="152"/>
      <c r="C200" s="29"/>
      <c r="D200" s="32"/>
      <c r="E200" s="32"/>
      <c r="F200" s="55"/>
      <c r="G200" s="55"/>
      <c r="H200" s="29"/>
      <c r="I200" s="29"/>
      <c r="J200" s="29"/>
      <c r="K200" s="55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</row>
    <row r="201" spans="1:31" ht="15.75" customHeight="1">
      <c r="A201" s="29"/>
      <c r="B201" s="152"/>
      <c r="C201" s="29"/>
      <c r="D201" s="32"/>
      <c r="E201" s="32"/>
      <c r="F201" s="55"/>
      <c r="G201" s="55"/>
      <c r="H201" s="29"/>
      <c r="I201" s="29"/>
      <c r="J201" s="29"/>
      <c r="K201" s="55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</row>
    <row r="202" spans="1:31" ht="15.75" customHeight="1">
      <c r="A202" s="29"/>
      <c r="B202" s="152"/>
      <c r="C202" s="29"/>
      <c r="D202" s="32"/>
      <c r="E202" s="32"/>
      <c r="F202" s="55"/>
      <c r="G202" s="55"/>
      <c r="H202" s="29"/>
      <c r="I202" s="29"/>
      <c r="J202" s="29"/>
      <c r="K202" s="55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</row>
    <row r="203" spans="1:31" ht="15.75" customHeight="1">
      <c r="A203" s="29"/>
      <c r="B203" s="152"/>
      <c r="C203" s="29"/>
      <c r="D203" s="32"/>
      <c r="E203" s="32"/>
      <c r="F203" s="55"/>
      <c r="G203" s="55"/>
      <c r="H203" s="29"/>
      <c r="I203" s="29"/>
      <c r="J203" s="29"/>
      <c r="K203" s="55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</row>
    <row r="204" spans="1:31" ht="15.75" customHeight="1">
      <c r="A204" s="29"/>
      <c r="B204" s="152"/>
      <c r="C204" s="29"/>
      <c r="D204" s="32"/>
      <c r="E204" s="32"/>
      <c r="F204" s="55"/>
      <c r="G204" s="55"/>
      <c r="H204" s="29"/>
      <c r="I204" s="29"/>
      <c r="J204" s="29"/>
      <c r="K204" s="55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</row>
    <row r="205" spans="1:31" ht="15.75" customHeight="1">
      <c r="A205" s="29"/>
      <c r="B205" s="152"/>
      <c r="C205" s="29"/>
      <c r="D205" s="32"/>
      <c r="E205" s="32"/>
      <c r="F205" s="55"/>
      <c r="G205" s="55"/>
      <c r="H205" s="29"/>
      <c r="I205" s="29"/>
      <c r="J205" s="29"/>
      <c r="K205" s="55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</row>
    <row r="206" spans="1:31" ht="15.75" customHeight="1">
      <c r="A206" s="29"/>
      <c r="B206" s="152"/>
      <c r="C206" s="29"/>
      <c r="D206" s="32"/>
      <c r="E206" s="32"/>
      <c r="F206" s="55"/>
      <c r="G206" s="55"/>
      <c r="H206" s="29"/>
      <c r="I206" s="29"/>
      <c r="J206" s="29"/>
      <c r="K206" s="55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</row>
    <row r="207" spans="1:31" ht="15.75" customHeight="1">
      <c r="A207" s="29"/>
      <c r="B207" s="152"/>
      <c r="C207" s="29"/>
      <c r="D207" s="32"/>
      <c r="E207" s="32"/>
      <c r="F207" s="55"/>
      <c r="G207" s="55"/>
      <c r="H207" s="29"/>
      <c r="I207" s="29"/>
      <c r="J207" s="29"/>
      <c r="K207" s="55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</row>
    <row r="208" spans="1:31" ht="15.75" customHeight="1">
      <c r="A208" s="29"/>
      <c r="B208" s="152"/>
      <c r="C208" s="29"/>
      <c r="D208" s="32"/>
      <c r="E208" s="32"/>
      <c r="F208" s="55"/>
      <c r="G208" s="55"/>
      <c r="H208" s="29"/>
      <c r="I208" s="29"/>
      <c r="J208" s="29"/>
      <c r="K208" s="55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</row>
    <row r="209" spans="1:31" ht="15.75" customHeight="1">
      <c r="A209" s="29"/>
      <c r="B209" s="152"/>
      <c r="C209" s="29"/>
      <c r="D209" s="32"/>
      <c r="E209" s="32"/>
      <c r="F209" s="55"/>
      <c r="G209" s="55"/>
      <c r="H209" s="29"/>
      <c r="I209" s="29"/>
      <c r="J209" s="29"/>
      <c r="K209" s="55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 ht="15.75" customHeight="1">
      <c r="A210" s="29"/>
      <c r="B210" s="152"/>
      <c r="C210" s="29"/>
      <c r="D210" s="32"/>
      <c r="E210" s="32"/>
      <c r="F210" s="55"/>
      <c r="G210" s="55"/>
      <c r="H210" s="29"/>
      <c r="I210" s="29"/>
      <c r="J210" s="29"/>
      <c r="K210" s="55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</row>
    <row r="211" spans="1:31" ht="15.75" customHeight="1">
      <c r="A211" s="29"/>
      <c r="B211" s="152"/>
      <c r="C211" s="29"/>
      <c r="D211" s="32"/>
      <c r="E211" s="32"/>
      <c r="F211" s="55"/>
      <c r="G211" s="55"/>
      <c r="H211" s="29"/>
      <c r="I211" s="29"/>
      <c r="J211" s="29"/>
      <c r="K211" s="55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</row>
    <row r="212" spans="1:31" ht="15.75" customHeight="1">
      <c r="A212" s="29"/>
      <c r="B212" s="152"/>
      <c r="C212" s="29"/>
      <c r="D212" s="32"/>
      <c r="E212" s="32"/>
      <c r="F212" s="55"/>
      <c r="G212" s="55"/>
      <c r="H212" s="29"/>
      <c r="I212" s="29"/>
      <c r="J212" s="29"/>
      <c r="K212" s="55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</row>
    <row r="213" spans="1:31" ht="15.75" customHeight="1">
      <c r="A213" s="29"/>
      <c r="B213" s="152"/>
      <c r="C213" s="29"/>
      <c r="D213" s="32"/>
      <c r="E213" s="32"/>
      <c r="F213" s="55"/>
      <c r="G213" s="55"/>
      <c r="H213" s="29"/>
      <c r="I213" s="29"/>
      <c r="J213" s="29"/>
      <c r="K213" s="55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</row>
    <row r="214" spans="1:31" ht="15.75" customHeight="1">
      <c r="A214" s="29"/>
      <c r="B214" s="152"/>
      <c r="C214" s="29"/>
      <c r="D214" s="32"/>
      <c r="E214" s="32"/>
      <c r="F214" s="55"/>
      <c r="G214" s="55"/>
      <c r="H214" s="29"/>
      <c r="I214" s="29"/>
      <c r="J214" s="29"/>
      <c r="K214" s="55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</row>
    <row r="215" spans="1:31" ht="15.75" customHeight="1">
      <c r="A215" s="29"/>
      <c r="B215" s="152"/>
      <c r="C215" s="29"/>
      <c r="D215" s="32"/>
      <c r="E215" s="32"/>
      <c r="F215" s="55"/>
      <c r="G215" s="55"/>
      <c r="H215" s="29"/>
      <c r="I215" s="29"/>
      <c r="J215" s="29"/>
      <c r="K215" s="55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</row>
    <row r="216" spans="1:31" ht="15.75" customHeight="1">
      <c r="A216" s="29"/>
      <c r="B216" s="152"/>
      <c r="C216" s="29"/>
      <c r="D216" s="32"/>
      <c r="E216" s="32"/>
      <c r="F216" s="55"/>
      <c r="G216" s="55"/>
      <c r="H216" s="29"/>
      <c r="I216" s="29"/>
      <c r="J216" s="29"/>
      <c r="K216" s="55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</row>
    <row r="217" spans="1:31" ht="15.75" customHeight="1">
      <c r="A217" s="29"/>
      <c r="B217" s="152"/>
      <c r="C217" s="29"/>
      <c r="D217" s="32"/>
      <c r="E217" s="32"/>
      <c r="F217" s="55"/>
      <c r="G217" s="55"/>
      <c r="H217" s="29"/>
      <c r="I217" s="29"/>
      <c r="J217" s="29"/>
      <c r="K217" s="55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</row>
    <row r="218" spans="1:31" ht="15.75" customHeight="1">
      <c r="A218" s="29"/>
      <c r="B218" s="152"/>
      <c r="C218" s="29"/>
      <c r="D218" s="32"/>
      <c r="E218" s="32"/>
      <c r="F218" s="55"/>
      <c r="G218" s="55"/>
      <c r="H218" s="29"/>
      <c r="I218" s="29"/>
      <c r="J218" s="29"/>
      <c r="K218" s="55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</row>
    <row r="219" spans="1:31" ht="15.75" customHeight="1">
      <c r="A219" s="29"/>
      <c r="B219" s="152"/>
      <c r="C219" s="29"/>
      <c r="D219" s="32"/>
      <c r="E219" s="32"/>
      <c r="F219" s="55"/>
      <c r="G219" s="55"/>
      <c r="H219" s="29"/>
      <c r="I219" s="29"/>
      <c r="J219" s="29"/>
      <c r="K219" s="55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</row>
    <row r="220" spans="1:31" ht="15.75" customHeight="1">
      <c r="A220" s="29"/>
      <c r="B220" s="152"/>
      <c r="C220" s="29"/>
      <c r="D220" s="32"/>
      <c r="E220" s="32"/>
      <c r="F220" s="55"/>
      <c r="G220" s="55"/>
      <c r="H220" s="29"/>
      <c r="I220" s="29"/>
      <c r="J220" s="29"/>
      <c r="K220" s="55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</row>
    <row r="221" spans="1:31" ht="15.75" customHeight="1">
      <c r="A221" s="29"/>
      <c r="B221" s="152"/>
      <c r="C221" s="29"/>
      <c r="D221" s="32"/>
      <c r="E221" s="32"/>
      <c r="F221" s="55"/>
      <c r="G221" s="55"/>
      <c r="H221" s="29"/>
      <c r="I221" s="29"/>
      <c r="J221" s="29"/>
      <c r="K221" s="55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</row>
    <row r="222" spans="1:31" ht="15.75" customHeight="1">
      <c r="A222" s="29"/>
      <c r="B222" s="152"/>
      <c r="C222" s="29"/>
      <c r="D222" s="32"/>
      <c r="E222" s="32"/>
      <c r="F222" s="55"/>
      <c r="G222" s="55"/>
      <c r="H222" s="29"/>
      <c r="I222" s="29"/>
      <c r="J222" s="29"/>
      <c r="K222" s="55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</row>
    <row r="223" spans="1:31" ht="15.75" customHeight="1">
      <c r="A223" s="29"/>
      <c r="B223" s="152"/>
      <c r="C223" s="29"/>
      <c r="D223" s="32"/>
      <c r="E223" s="32"/>
      <c r="F223" s="55"/>
      <c r="G223" s="55"/>
      <c r="H223" s="29"/>
      <c r="I223" s="29"/>
      <c r="J223" s="29"/>
      <c r="K223" s="55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</row>
    <row r="224" spans="1:31" ht="15.75" customHeight="1">
      <c r="A224" s="29"/>
      <c r="B224" s="152"/>
      <c r="C224" s="29"/>
      <c r="D224" s="32"/>
      <c r="E224" s="32"/>
      <c r="F224" s="55"/>
      <c r="G224" s="55"/>
      <c r="H224" s="29"/>
      <c r="I224" s="29"/>
      <c r="J224" s="29"/>
      <c r="K224" s="55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</row>
    <row r="225" spans="1:31" ht="15.75" customHeight="1">
      <c r="A225" s="29"/>
      <c r="B225" s="152"/>
      <c r="C225" s="29"/>
      <c r="D225" s="32"/>
      <c r="E225" s="32"/>
      <c r="F225" s="55"/>
      <c r="G225" s="55"/>
      <c r="H225" s="29"/>
      <c r="I225" s="29"/>
      <c r="J225" s="29"/>
      <c r="K225" s="55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 ht="15.75" customHeight="1">
      <c r="A226" s="29"/>
      <c r="B226" s="152"/>
      <c r="C226" s="29"/>
      <c r="D226" s="32"/>
      <c r="E226" s="32"/>
      <c r="F226" s="55"/>
      <c r="G226" s="55"/>
      <c r="H226" s="29"/>
      <c r="I226" s="29"/>
      <c r="J226" s="29"/>
      <c r="K226" s="55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</row>
    <row r="227" spans="1:31" ht="15.75" customHeight="1">
      <c r="A227" s="29"/>
      <c r="B227" s="152"/>
      <c r="C227" s="29"/>
      <c r="D227" s="32"/>
      <c r="E227" s="32"/>
      <c r="F227" s="55"/>
      <c r="G227" s="55"/>
      <c r="H227" s="29"/>
      <c r="I227" s="29"/>
      <c r="J227" s="29"/>
      <c r="K227" s="55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</row>
    <row r="228" spans="1:31" ht="15.75" customHeight="1">
      <c r="A228" s="29"/>
      <c r="B228" s="152"/>
      <c r="C228" s="29"/>
      <c r="D228" s="32"/>
      <c r="E228" s="32"/>
      <c r="F228" s="55"/>
      <c r="G228" s="55"/>
      <c r="H228" s="29"/>
      <c r="I228" s="29"/>
      <c r="J228" s="29"/>
      <c r="K228" s="55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</row>
    <row r="229" spans="1:31" ht="15.75" customHeight="1">
      <c r="A229" s="29"/>
      <c r="B229" s="152"/>
      <c r="C229" s="29"/>
      <c r="D229" s="32"/>
      <c r="E229" s="32"/>
      <c r="F229" s="55"/>
      <c r="G229" s="55"/>
      <c r="H229" s="29"/>
      <c r="I229" s="29"/>
      <c r="J229" s="29"/>
      <c r="K229" s="55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</row>
    <row r="230" spans="1:31" ht="15.75" customHeight="1">
      <c r="A230" s="29"/>
      <c r="B230" s="152"/>
      <c r="C230" s="29"/>
      <c r="D230" s="32"/>
      <c r="E230" s="32"/>
      <c r="F230" s="55"/>
      <c r="G230" s="55"/>
      <c r="H230" s="29"/>
      <c r="I230" s="29"/>
      <c r="J230" s="29"/>
      <c r="K230" s="55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</row>
    <row r="231" spans="1:31" ht="15.75" customHeight="1">
      <c r="A231" s="29"/>
      <c r="B231" s="152"/>
      <c r="C231" s="29"/>
      <c r="D231" s="32"/>
      <c r="E231" s="32"/>
      <c r="F231" s="55"/>
      <c r="G231" s="55"/>
      <c r="H231" s="29"/>
      <c r="I231" s="29"/>
      <c r="J231" s="29"/>
      <c r="K231" s="55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</row>
    <row r="232" spans="1:31" ht="15.75" customHeight="1">
      <c r="A232" s="29"/>
      <c r="B232" s="152"/>
      <c r="C232" s="29"/>
      <c r="D232" s="32"/>
      <c r="E232" s="32"/>
      <c r="F232" s="55"/>
      <c r="G232" s="55"/>
      <c r="H232" s="29"/>
      <c r="I232" s="29"/>
      <c r="J232" s="29"/>
      <c r="K232" s="55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</row>
    <row r="233" spans="1:31" ht="15.75" customHeight="1">
      <c r="A233" s="29"/>
      <c r="B233" s="152"/>
      <c r="C233" s="29"/>
      <c r="D233" s="32"/>
      <c r="E233" s="32"/>
      <c r="F233" s="55"/>
      <c r="G233" s="55"/>
      <c r="H233" s="29"/>
      <c r="I233" s="29"/>
      <c r="J233" s="29"/>
      <c r="K233" s="55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</row>
    <row r="234" spans="1:31" ht="15.75" customHeight="1">
      <c r="A234" s="29"/>
      <c r="B234" s="152"/>
      <c r="C234" s="29"/>
      <c r="D234" s="32"/>
      <c r="E234" s="32"/>
      <c r="F234" s="55"/>
      <c r="G234" s="55"/>
      <c r="H234" s="29"/>
      <c r="I234" s="29"/>
      <c r="J234" s="29"/>
      <c r="K234" s="55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</row>
    <row r="235" spans="1:31" ht="15.75" customHeight="1">
      <c r="A235" s="29"/>
      <c r="B235" s="152"/>
      <c r="C235" s="29"/>
      <c r="D235" s="32"/>
      <c r="E235" s="32"/>
      <c r="F235" s="55"/>
      <c r="G235" s="55"/>
      <c r="H235" s="29"/>
      <c r="I235" s="29"/>
      <c r="J235" s="29"/>
      <c r="K235" s="55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</row>
    <row r="236" spans="1:31" ht="15.75" customHeight="1">
      <c r="A236" s="29"/>
      <c r="B236" s="152"/>
      <c r="C236" s="29"/>
      <c r="D236" s="32"/>
      <c r="E236" s="32"/>
      <c r="F236" s="55"/>
      <c r="G236" s="55"/>
      <c r="H236" s="29"/>
      <c r="I236" s="29"/>
      <c r="J236" s="29"/>
      <c r="K236" s="55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</row>
    <row r="237" spans="1:31" ht="15.75" customHeight="1">
      <c r="A237" s="29"/>
      <c r="B237" s="152"/>
      <c r="C237" s="29"/>
      <c r="D237" s="32"/>
      <c r="E237" s="32"/>
      <c r="F237" s="55"/>
      <c r="G237" s="55"/>
      <c r="H237" s="29"/>
      <c r="I237" s="29"/>
      <c r="J237" s="29"/>
      <c r="K237" s="55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</row>
    <row r="238" spans="1:31" ht="15.75" customHeight="1">
      <c r="A238" s="29"/>
      <c r="B238" s="152"/>
      <c r="C238" s="29"/>
      <c r="D238" s="32"/>
      <c r="E238" s="32"/>
      <c r="F238" s="55"/>
      <c r="G238" s="55"/>
      <c r="H238" s="29"/>
      <c r="I238" s="29"/>
      <c r="J238" s="29"/>
      <c r="K238" s="55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</row>
    <row r="239" spans="1:31" ht="15.75" customHeight="1">
      <c r="A239" s="29"/>
      <c r="B239" s="152"/>
      <c r="C239" s="29"/>
      <c r="D239" s="32"/>
      <c r="E239" s="32"/>
      <c r="F239" s="55"/>
      <c r="G239" s="55"/>
      <c r="H239" s="29"/>
      <c r="I239" s="29"/>
      <c r="J239" s="29"/>
      <c r="K239" s="55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</row>
    <row r="240" spans="1:31" ht="15.75" customHeight="1">
      <c r="A240" s="29"/>
      <c r="B240" s="152"/>
      <c r="C240" s="29"/>
      <c r="D240" s="32"/>
      <c r="E240" s="32"/>
      <c r="F240" s="55"/>
      <c r="G240" s="55"/>
      <c r="H240" s="29"/>
      <c r="I240" s="29"/>
      <c r="J240" s="29"/>
      <c r="K240" s="55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</row>
    <row r="241" spans="1:31" ht="15.75" customHeight="1">
      <c r="A241" s="29"/>
      <c r="B241" s="152"/>
      <c r="C241" s="29"/>
      <c r="D241" s="32"/>
      <c r="E241" s="32"/>
      <c r="F241" s="55"/>
      <c r="G241" s="55"/>
      <c r="H241" s="29"/>
      <c r="I241" s="29"/>
      <c r="J241" s="29"/>
      <c r="K241" s="55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 ht="15.75" customHeight="1">
      <c r="A242" s="29"/>
      <c r="B242" s="152"/>
      <c r="C242" s="29"/>
      <c r="D242" s="32"/>
      <c r="E242" s="32"/>
      <c r="F242" s="55"/>
      <c r="G242" s="55"/>
      <c r="H242" s="29"/>
      <c r="I242" s="29"/>
      <c r="J242" s="29"/>
      <c r="K242" s="55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</row>
    <row r="243" spans="1:31" ht="15.75" customHeight="1">
      <c r="A243" s="29"/>
      <c r="B243" s="152"/>
      <c r="C243" s="29"/>
      <c r="D243" s="32"/>
      <c r="E243" s="32"/>
      <c r="F243" s="55"/>
      <c r="G243" s="55"/>
      <c r="H243" s="29"/>
      <c r="I243" s="29"/>
      <c r="J243" s="29"/>
      <c r="K243" s="55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</row>
    <row r="244" spans="1:31" ht="15.75" customHeight="1">
      <c r="A244" s="29"/>
      <c r="B244" s="152"/>
      <c r="C244" s="29"/>
      <c r="D244" s="32"/>
      <c r="E244" s="32"/>
      <c r="F244" s="55"/>
      <c r="G244" s="55"/>
      <c r="H244" s="29"/>
      <c r="I244" s="29"/>
      <c r="J244" s="29"/>
      <c r="K244" s="55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</row>
    <row r="245" spans="1:31" ht="15.75" customHeight="1">
      <c r="A245" s="29"/>
      <c r="B245" s="152"/>
      <c r="C245" s="29"/>
      <c r="D245" s="32"/>
      <c r="E245" s="32"/>
      <c r="F245" s="55"/>
      <c r="G245" s="55"/>
      <c r="H245" s="29"/>
      <c r="I245" s="29"/>
      <c r="J245" s="29"/>
      <c r="K245" s="55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</row>
    <row r="246" spans="1:31" ht="15.75" customHeight="1">
      <c r="A246" s="29"/>
      <c r="B246" s="152"/>
      <c r="C246" s="29"/>
      <c r="D246" s="32"/>
      <c r="E246" s="32"/>
      <c r="F246" s="55"/>
      <c r="G246" s="55"/>
      <c r="H246" s="29"/>
      <c r="I246" s="29"/>
      <c r="J246" s="29"/>
      <c r="K246" s="55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</row>
    <row r="247" spans="1:31" ht="15.75" customHeight="1">
      <c r="A247" s="29"/>
      <c r="B247" s="152"/>
      <c r="C247" s="29"/>
      <c r="D247" s="32"/>
      <c r="E247" s="32"/>
      <c r="F247" s="55"/>
      <c r="G247" s="55"/>
      <c r="H247" s="29"/>
      <c r="I247" s="29"/>
      <c r="J247" s="29"/>
      <c r="K247" s="55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</row>
    <row r="248" spans="1:31" ht="15.75" customHeight="1">
      <c r="A248" s="29"/>
      <c r="B248" s="152"/>
      <c r="C248" s="29"/>
      <c r="D248" s="32"/>
      <c r="E248" s="32"/>
      <c r="F248" s="55"/>
      <c r="G248" s="55"/>
      <c r="H248" s="29"/>
      <c r="I248" s="29"/>
      <c r="J248" s="29"/>
      <c r="K248" s="55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</row>
    <row r="249" spans="1:31" ht="15.75" customHeight="1">
      <c r="A249" s="29"/>
      <c r="B249" s="152"/>
      <c r="C249" s="29"/>
      <c r="D249" s="32"/>
      <c r="E249" s="32"/>
      <c r="F249" s="55"/>
      <c r="G249" s="55"/>
      <c r="H249" s="29"/>
      <c r="I249" s="29"/>
      <c r="J249" s="29"/>
      <c r="K249" s="55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</row>
    <row r="250" spans="1:31" ht="15.75" customHeight="1">
      <c r="A250" s="29"/>
      <c r="B250" s="152"/>
      <c r="C250" s="29"/>
      <c r="D250" s="32"/>
      <c r="E250" s="32"/>
      <c r="F250" s="55"/>
      <c r="G250" s="55"/>
      <c r="H250" s="29"/>
      <c r="I250" s="29"/>
      <c r="J250" s="29"/>
      <c r="K250" s="55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</row>
    <row r="251" spans="1:31" ht="15.75" customHeight="1">
      <c r="A251" s="29"/>
      <c r="B251" s="152"/>
      <c r="C251" s="29"/>
      <c r="D251" s="32"/>
      <c r="E251" s="32"/>
      <c r="F251" s="55"/>
      <c r="G251" s="55"/>
      <c r="H251" s="29"/>
      <c r="I251" s="29"/>
      <c r="J251" s="29"/>
      <c r="K251" s="55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</row>
    <row r="252" spans="1:31" ht="15.75" customHeight="1">
      <c r="A252" s="29"/>
      <c r="B252" s="152"/>
      <c r="C252" s="29"/>
      <c r="D252" s="32"/>
      <c r="E252" s="32"/>
      <c r="F252" s="55"/>
      <c r="G252" s="55"/>
      <c r="H252" s="29"/>
      <c r="I252" s="29"/>
      <c r="J252" s="29"/>
      <c r="K252" s="55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</row>
    <row r="253" spans="1:31" ht="15.75" customHeight="1">
      <c r="A253" s="29"/>
      <c r="B253" s="152"/>
      <c r="C253" s="29"/>
      <c r="D253" s="32"/>
      <c r="E253" s="32"/>
      <c r="F253" s="55"/>
      <c r="G253" s="55"/>
      <c r="H253" s="29"/>
      <c r="I253" s="29"/>
      <c r="J253" s="29"/>
      <c r="K253" s="55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spans="1:31" ht="15.75" customHeight="1">
      <c r="A254" s="29"/>
      <c r="B254" s="152"/>
      <c r="C254" s="29"/>
      <c r="D254" s="32"/>
      <c r="E254" s="32"/>
      <c r="F254" s="55"/>
      <c r="G254" s="55"/>
      <c r="H254" s="29"/>
      <c r="I254" s="29"/>
      <c r="J254" s="29"/>
      <c r="K254" s="55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spans="1:31" ht="15.75" customHeight="1">
      <c r="A255" s="29"/>
      <c r="B255" s="152"/>
      <c r="C255" s="29"/>
      <c r="D255" s="32"/>
      <c r="E255" s="32"/>
      <c r="F255" s="55"/>
      <c r="G255" s="55"/>
      <c r="H255" s="29"/>
      <c r="I255" s="29"/>
      <c r="J255" s="29"/>
      <c r="K255" s="55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spans="1:31" ht="15.75" customHeight="1">
      <c r="A256" s="29"/>
      <c r="B256" s="152"/>
      <c r="C256" s="29"/>
      <c r="D256" s="32"/>
      <c r="E256" s="32"/>
      <c r="F256" s="55"/>
      <c r="G256" s="55"/>
      <c r="H256" s="29"/>
      <c r="I256" s="29"/>
      <c r="J256" s="29"/>
      <c r="K256" s="55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spans="1:31" ht="15.75" customHeight="1">
      <c r="A257" s="29"/>
      <c r="B257" s="152"/>
      <c r="C257" s="29"/>
      <c r="D257" s="32"/>
      <c r="E257" s="32"/>
      <c r="F257" s="55"/>
      <c r="G257" s="55"/>
      <c r="H257" s="29"/>
      <c r="I257" s="29"/>
      <c r="J257" s="29"/>
      <c r="K257" s="55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spans="1:31" ht="15.75" customHeight="1">
      <c r="A258" s="29"/>
      <c r="B258" s="152"/>
      <c r="C258" s="29"/>
      <c r="D258" s="32"/>
      <c r="E258" s="32"/>
      <c r="F258" s="55"/>
      <c r="G258" s="55"/>
      <c r="H258" s="29"/>
      <c r="I258" s="29"/>
      <c r="J258" s="29"/>
      <c r="K258" s="55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spans="1:31" ht="15.75" customHeight="1">
      <c r="A259" s="29"/>
      <c r="B259" s="152"/>
      <c r="C259" s="29"/>
      <c r="D259" s="32"/>
      <c r="E259" s="32"/>
      <c r="F259" s="55"/>
      <c r="G259" s="55"/>
      <c r="H259" s="29"/>
      <c r="I259" s="29"/>
      <c r="J259" s="29"/>
      <c r="K259" s="55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 ht="15.75" customHeight="1">
      <c r="A260" s="29"/>
      <c r="B260" s="152"/>
      <c r="C260" s="29"/>
      <c r="D260" s="32"/>
      <c r="E260" s="32"/>
      <c r="F260" s="55"/>
      <c r="G260" s="55"/>
      <c r="H260" s="29"/>
      <c r="I260" s="29"/>
      <c r="J260" s="29"/>
      <c r="K260" s="55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spans="1:31" ht="15.75" customHeight="1">
      <c r="A261" s="29"/>
      <c r="B261" s="152"/>
      <c r="C261" s="29"/>
      <c r="D261" s="32"/>
      <c r="E261" s="32"/>
      <c r="F261" s="55"/>
      <c r="G261" s="55"/>
      <c r="H261" s="29"/>
      <c r="I261" s="29"/>
      <c r="J261" s="29"/>
      <c r="K261" s="55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spans="1:31" ht="15.75" customHeight="1">
      <c r="A262" s="29"/>
      <c r="B262" s="152"/>
      <c r="C262" s="29"/>
      <c r="D262" s="32"/>
      <c r="E262" s="32"/>
      <c r="F262" s="55"/>
      <c r="G262" s="55"/>
      <c r="H262" s="29"/>
      <c r="I262" s="29"/>
      <c r="J262" s="29"/>
      <c r="K262" s="55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spans="1:31" ht="15.75" customHeight="1">
      <c r="A263" s="29"/>
      <c r="B263" s="152"/>
      <c r="C263" s="29"/>
      <c r="D263" s="32"/>
      <c r="E263" s="32"/>
      <c r="F263" s="55"/>
      <c r="G263" s="55"/>
      <c r="H263" s="29"/>
      <c r="I263" s="29"/>
      <c r="J263" s="29"/>
      <c r="K263" s="55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spans="1:31" ht="15.75" customHeight="1">
      <c r="A264" s="29"/>
      <c r="B264" s="152"/>
      <c r="C264" s="29"/>
      <c r="D264" s="32"/>
      <c r="E264" s="32"/>
      <c r="F264" s="55"/>
      <c r="G264" s="55"/>
      <c r="H264" s="29"/>
      <c r="I264" s="29"/>
      <c r="J264" s="29"/>
      <c r="K264" s="55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spans="1:31" ht="15.75" customHeight="1">
      <c r="A265" s="29"/>
      <c r="B265" s="152"/>
      <c r="C265" s="29"/>
      <c r="D265" s="32"/>
      <c r="E265" s="32"/>
      <c r="F265" s="55"/>
      <c r="G265" s="55"/>
      <c r="H265" s="29"/>
      <c r="I265" s="29"/>
      <c r="J265" s="29"/>
      <c r="K265" s="55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spans="1:31" ht="15.75" customHeight="1">
      <c r="A266" s="29"/>
      <c r="B266" s="152"/>
      <c r="C266" s="29"/>
      <c r="D266" s="32"/>
      <c r="E266" s="32"/>
      <c r="F266" s="55"/>
      <c r="G266" s="55"/>
      <c r="H266" s="29"/>
      <c r="I266" s="29"/>
      <c r="J266" s="29"/>
      <c r="K266" s="55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spans="1:31" ht="15.75" customHeight="1">
      <c r="A267" s="29"/>
      <c r="B267" s="152"/>
      <c r="C267" s="29"/>
      <c r="D267" s="32"/>
      <c r="E267" s="32"/>
      <c r="F267" s="55"/>
      <c r="G267" s="55"/>
      <c r="H267" s="29"/>
      <c r="I267" s="29"/>
      <c r="J267" s="29"/>
      <c r="K267" s="55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spans="1:31" ht="15.75" customHeight="1">
      <c r="A268" s="29"/>
      <c r="B268" s="152"/>
      <c r="C268" s="29"/>
      <c r="D268" s="32"/>
      <c r="E268" s="32"/>
      <c r="F268" s="55"/>
      <c r="G268" s="55"/>
      <c r="H268" s="29"/>
      <c r="I268" s="29"/>
      <c r="J268" s="29"/>
      <c r="K268" s="55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spans="1:31" ht="15.75" customHeight="1">
      <c r="A269" s="29"/>
      <c r="B269" s="152"/>
      <c r="C269" s="29"/>
      <c r="D269" s="32"/>
      <c r="E269" s="32"/>
      <c r="F269" s="55"/>
      <c r="G269" s="55"/>
      <c r="H269" s="29"/>
      <c r="I269" s="29"/>
      <c r="J269" s="29"/>
      <c r="K269" s="55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spans="1:31" ht="15.75" customHeight="1">
      <c r="A270" s="29"/>
      <c r="B270" s="152"/>
      <c r="C270" s="29"/>
      <c r="D270" s="32"/>
      <c r="E270" s="32"/>
      <c r="F270" s="55"/>
      <c r="G270" s="55"/>
      <c r="H270" s="29"/>
      <c r="I270" s="29"/>
      <c r="J270" s="29"/>
      <c r="K270" s="55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spans="1:31" ht="15.75" customHeight="1">
      <c r="A271" s="29"/>
      <c r="B271" s="152"/>
      <c r="C271" s="29"/>
      <c r="D271" s="32"/>
      <c r="E271" s="32"/>
      <c r="F271" s="55"/>
      <c r="G271" s="55"/>
      <c r="H271" s="29"/>
      <c r="I271" s="29"/>
      <c r="J271" s="29"/>
      <c r="K271" s="55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1:31" ht="15.75" customHeight="1">
      <c r="A272" s="29"/>
      <c r="B272" s="152"/>
      <c r="C272" s="29"/>
      <c r="D272" s="32"/>
      <c r="E272" s="32"/>
      <c r="F272" s="55"/>
      <c r="G272" s="55"/>
      <c r="H272" s="29"/>
      <c r="I272" s="29"/>
      <c r="J272" s="29"/>
      <c r="K272" s="55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spans="1:31" ht="15.75" customHeight="1">
      <c r="A273" s="29"/>
      <c r="B273" s="152"/>
      <c r="C273" s="29"/>
      <c r="D273" s="32"/>
      <c r="E273" s="32"/>
      <c r="F273" s="55"/>
      <c r="G273" s="55"/>
      <c r="H273" s="29"/>
      <c r="I273" s="29"/>
      <c r="J273" s="29"/>
      <c r="K273" s="55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spans="1:31" ht="15.75" customHeight="1">
      <c r="A274" s="29"/>
      <c r="B274" s="152"/>
      <c r="C274" s="29"/>
      <c r="D274" s="32"/>
      <c r="E274" s="32"/>
      <c r="F274" s="55"/>
      <c r="G274" s="55"/>
      <c r="H274" s="29"/>
      <c r="I274" s="29"/>
      <c r="J274" s="29"/>
      <c r="K274" s="55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spans="1:31" ht="15.75" customHeight="1">
      <c r="A275" s="29"/>
      <c r="B275" s="152"/>
      <c r="C275" s="29"/>
      <c r="D275" s="32"/>
      <c r="E275" s="32"/>
      <c r="F275" s="55"/>
      <c r="G275" s="55"/>
      <c r="H275" s="29"/>
      <c r="I275" s="29"/>
      <c r="J275" s="29"/>
      <c r="K275" s="55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spans="1:31" ht="15.75" customHeight="1">
      <c r="A276" s="29"/>
      <c r="B276" s="152"/>
      <c r="C276" s="29"/>
      <c r="D276" s="32"/>
      <c r="E276" s="32"/>
      <c r="F276" s="55"/>
      <c r="G276" s="55"/>
      <c r="H276" s="29"/>
      <c r="I276" s="29"/>
      <c r="J276" s="29"/>
      <c r="K276" s="55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 ht="15.75" customHeight="1">
      <c r="A277" s="29"/>
      <c r="B277" s="152"/>
      <c r="C277" s="29"/>
      <c r="D277" s="32"/>
      <c r="E277" s="32"/>
      <c r="F277" s="55"/>
      <c r="G277" s="55"/>
      <c r="H277" s="29"/>
      <c r="I277" s="29"/>
      <c r="J277" s="29"/>
      <c r="K277" s="55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spans="1:31" ht="15.75" customHeight="1">
      <c r="A278" s="29"/>
      <c r="B278" s="152"/>
      <c r="C278" s="29"/>
      <c r="D278" s="32"/>
      <c r="E278" s="32"/>
      <c r="F278" s="55"/>
      <c r="G278" s="55"/>
      <c r="H278" s="29"/>
      <c r="I278" s="29"/>
      <c r="J278" s="29"/>
      <c r="K278" s="55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spans="1:31" ht="15.75" customHeight="1">
      <c r="A279" s="29"/>
      <c r="B279" s="152"/>
      <c r="C279" s="29"/>
      <c r="D279" s="32"/>
      <c r="E279" s="32"/>
      <c r="F279" s="55"/>
      <c r="G279" s="55"/>
      <c r="H279" s="29"/>
      <c r="I279" s="29"/>
      <c r="J279" s="29"/>
      <c r="K279" s="55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 ht="15.75" customHeight="1">
      <c r="A280" s="29"/>
      <c r="B280" s="152"/>
      <c r="C280" s="29"/>
      <c r="D280" s="32"/>
      <c r="E280" s="32"/>
      <c r="F280" s="55"/>
      <c r="G280" s="55"/>
      <c r="H280" s="29"/>
      <c r="I280" s="29"/>
      <c r="J280" s="29"/>
      <c r="K280" s="55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spans="1:31" ht="15.75" customHeight="1">
      <c r="A281" s="29"/>
      <c r="B281" s="152"/>
      <c r="C281" s="29"/>
      <c r="D281" s="32"/>
      <c r="E281" s="32"/>
      <c r="F281" s="55"/>
      <c r="G281" s="55"/>
      <c r="H281" s="29"/>
      <c r="I281" s="29"/>
      <c r="J281" s="29"/>
      <c r="K281" s="55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spans="1:31" ht="15.75" customHeight="1">
      <c r="A282" s="29"/>
      <c r="B282" s="152"/>
      <c r="C282" s="29"/>
      <c r="D282" s="32"/>
      <c r="E282" s="32"/>
      <c r="F282" s="55"/>
      <c r="G282" s="55"/>
      <c r="H282" s="29"/>
      <c r="I282" s="29"/>
      <c r="J282" s="29"/>
      <c r="K282" s="55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spans="1:31" ht="15.75" customHeight="1">
      <c r="A283" s="29"/>
      <c r="B283" s="152"/>
      <c r="C283" s="29"/>
      <c r="D283" s="32"/>
      <c r="E283" s="32"/>
      <c r="F283" s="55"/>
      <c r="G283" s="55"/>
      <c r="H283" s="29"/>
      <c r="I283" s="29"/>
      <c r="J283" s="29"/>
      <c r="K283" s="55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spans="1:31" ht="15.75" customHeight="1">
      <c r="A284" s="29"/>
      <c r="B284" s="152"/>
      <c r="C284" s="29"/>
      <c r="D284" s="32"/>
      <c r="E284" s="32"/>
      <c r="F284" s="55"/>
      <c r="G284" s="55"/>
      <c r="H284" s="29"/>
      <c r="I284" s="29"/>
      <c r="J284" s="29"/>
      <c r="K284" s="55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spans="1:31" ht="15.75" customHeight="1">
      <c r="A285" s="29"/>
      <c r="B285" s="152"/>
      <c r="C285" s="29"/>
      <c r="D285" s="32"/>
      <c r="E285" s="32"/>
      <c r="F285" s="55"/>
      <c r="G285" s="55"/>
      <c r="H285" s="29"/>
      <c r="I285" s="29"/>
      <c r="J285" s="29"/>
      <c r="K285" s="55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spans="1:31" ht="15.75" customHeight="1">
      <c r="A286" s="29"/>
      <c r="B286" s="152"/>
      <c r="C286" s="29"/>
      <c r="D286" s="32"/>
      <c r="E286" s="32"/>
      <c r="F286" s="55"/>
      <c r="G286" s="55"/>
      <c r="H286" s="29"/>
      <c r="I286" s="29"/>
      <c r="J286" s="29"/>
      <c r="K286" s="55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spans="1:31" ht="15.75" customHeight="1">
      <c r="A287" s="29"/>
      <c r="B287" s="152"/>
      <c r="C287" s="29"/>
      <c r="D287" s="32"/>
      <c r="E287" s="32"/>
      <c r="F287" s="55"/>
      <c r="G287" s="55"/>
      <c r="H287" s="29"/>
      <c r="I287" s="29"/>
      <c r="J287" s="29"/>
      <c r="K287" s="55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spans="1:31" ht="15.75" customHeight="1">
      <c r="A288" s="29"/>
      <c r="B288" s="152"/>
      <c r="C288" s="29"/>
      <c r="D288" s="32"/>
      <c r="E288" s="32"/>
      <c r="F288" s="55"/>
      <c r="G288" s="55"/>
      <c r="H288" s="29"/>
      <c r="I288" s="29"/>
      <c r="J288" s="29"/>
      <c r="K288" s="55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spans="1:31" ht="15.75" customHeight="1">
      <c r="A289" s="29"/>
      <c r="B289" s="152"/>
      <c r="C289" s="29"/>
      <c r="D289" s="32"/>
      <c r="E289" s="32"/>
      <c r="F289" s="55"/>
      <c r="G289" s="55"/>
      <c r="H289" s="29"/>
      <c r="I289" s="29"/>
      <c r="J289" s="29"/>
      <c r="K289" s="55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spans="1:31" ht="15.75" customHeight="1">
      <c r="A290" s="29"/>
      <c r="B290" s="152"/>
      <c r="C290" s="29"/>
      <c r="D290" s="32"/>
      <c r="E290" s="32"/>
      <c r="F290" s="55"/>
      <c r="G290" s="55"/>
      <c r="H290" s="29"/>
      <c r="I290" s="29"/>
      <c r="J290" s="29"/>
      <c r="K290" s="55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spans="1:31" ht="15.75" customHeight="1">
      <c r="A291" s="29"/>
      <c r="B291" s="152"/>
      <c r="C291" s="29"/>
      <c r="D291" s="32"/>
      <c r="E291" s="32"/>
      <c r="F291" s="55"/>
      <c r="G291" s="55"/>
      <c r="H291" s="29"/>
      <c r="I291" s="29"/>
      <c r="J291" s="29"/>
      <c r="K291" s="55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spans="1:31" ht="15.75" customHeight="1">
      <c r="A292" s="29"/>
      <c r="B292" s="152"/>
      <c r="C292" s="29"/>
      <c r="D292" s="32"/>
      <c r="E292" s="32"/>
      <c r="F292" s="55"/>
      <c r="G292" s="55"/>
      <c r="H292" s="29"/>
      <c r="I292" s="29"/>
      <c r="J292" s="29"/>
      <c r="K292" s="55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spans="1:31" ht="15.75" customHeight="1">
      <c r="A293" s="29"/>
      <c r="B293" s="152"/>
      <c r="C293" s="29"/>
      <c r="D293" s="32"/>
      <c r="E293" s="32"/>
      <c r="F293" s="55"/>
      <c r="G293" s="55"/>
      <c r="H293" s="29"/>
      <c r="I293" s="29"/>
      <c r="J293" s="29"/>
      <c r="K293" s="55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spans="1:31" ht="15.75" customHeight="1">
      <c r="A294" s="29"/>
      <c r="B294" s="152"/>
      <c r="C294" s="29"/>
      <c r="D294" s="32"/>
      <c r="E294" s="32"/>
      <c r="F294" s="55"/>
      <c r="G294" s="55"/>
      <c r="H294" s="29"/>
      <c r="I294" s="29"/>
      <c r="J294" s="29"/>
      <c r="K294" s="55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spans="1:31" ht="15.75" customHeight="1">
      <c r="A295" s="29"/>
      <c r="B295" s="152"/>
      <c r="C295" s="29"/>
      <c r="D295" s="32"/>
      <c r="E295" s="32"/>
      <c r="F295" s="55"/>
      <c r="G295" s="55"/>
      <c r="H295" s="29"/>
      <c r="I295" s="29"/>
      <c r="J295" s="29"/>
      <c r="K295" s="55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spans="1:31" ht="15.75" customHeight="1">
      <c r="A296" s="29"/>
      <c r="B296" s="152"/>
      <c r="C296" s="29"/>
      <c r="D296" s="32"/>
      <c r="E296" s="32"/>
      <c r="F296" s="55"/>
      <c r="G296" s="55"/>
      <c r="H296" s="29"/>
      <c r="I296" s="29"/>
      <c r="J296" s="29"/>
      <c r="K296" s="55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spans="1:31" ht="15.75" customHeight="1">
      <c r="A297" s="29"/>
      <c r="B297" s="152"/>
      <c r="C297" s="29"/>
      <c r="D297" s="32"/>
      <c r="E297" s="32"/>
      <c r="F297" s="55"/>
      <c r="G297" s="55"/>
      <c r="H297" s="29"/>
      <c r="I297" s="29"/>
      <c r="J297" s="29"/>
      <c r="K297" s="55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 ht="15.75" customHeight="1">
      <c r="A298" s="29"/>
      <c r="B298" s="152"/>
      <c r="C298" s="29"/>
      <c r="D298" s="32"/>
      <c r="E298" s="32"/>
      <c r="F298" s="55"/>
      <c r="G298" s="55"/>
      <c r="H298" s="29"/>
      <c r="I298" s="29"/>
      <c r="J298" s="29"/>
      <c r="K298" s="55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spans="1:31" ht="15.75" customHeight="1">
      <c r="A299" s="29"/>
      <c r="B299" s="152"/>
      <c r="C299" s="29"/>
      <c r="D299" s="32"/>
      <c r="E299" s="32"/>
      <c r="F299" s="55"/>
      <c r="G299" s="55"/>
      <c r="H299" s="29"/>
      <c r="I299" s="29"/>
      <c r="J299" s="29"/>
      <c r="K299" s="55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spans="1:31" ht="15.75" customHeight="1">
      <c r="A300" s="29"/>
      <c r="B300" s="152"/>
      <c r="C300" s="29"/>
      <c r="D300" s="32"/>
      <c r="E300" s="32"/>
      <c r="F300" s="55"/>
      <c r="G300" s="55"/>
      <c r="H300" s="29"/>
      <c r="I300" s="29"/>
      <c r="J300" s="29"/>
      <c r="K300" s="55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spans="1:31" ht="15.75" customHeight="1">
      <c r="A301" s="29"/>
      <c r="B301" s="152"/>
      <c r="C301" s="29"/>
      <c r="D301" s="32"/>
      <c r="E301" s="32"/>
      <c r="F301" s="55"/>
      <c r="G301" s="55"/>
      <c r="H301" s="29"/>
      <c r="I301" s="29"/>
      <c r="J301" s="29"/>
      <c r="K301" s="55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spans="1:31" ht="15.75" customHeight="1">
      <c r="A302" s="29"/>
      <c r="B302" s="152"/>
      <c r="C302" s="29"/>
      <c r="D302" s="32"/>
      <c r="E302" s="32"/>
      <c r="F302" s="55"/>
      <c r="G302" s="55"/>
      <c r="H302" s="29"/>
      <c r="I302" s="29"/>
      <c r="J302" s="29"/>
      <c r="K302" s="55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spans="1:31" ht="15.75" customHeight="1">
      <c r="A303" s="29"/>
      <c r="B303" s="152"/>
      <c r="C303" s="29"/>
      <c r="D303" s="32"/>
      <c r="E303" s="32"/>
      <c r="F303" s="55"/>
      <c r="G303" s="55"/>
      <c r="H303" s="29"/>
      <c r="I303" s="29"/>
      <c r="J303" s="29"/>
      <c r="K303" s="55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spans="1:31" ht="15.75" customHeight="1">
      <c r="A304" s="29"/>
      <c r="B304" s="152"/>
      <c r="C304" s="29"/>
      <c r="D304" s="32"/>
      <c r="E304" s="32"/>
      <c r="F304" s="55"/>
      <c r="G304" s="55"/>
      <c r="H304" s="29"/>
      <c r="I304" s="29"/>
      <c r="J304" s="29"/>
      <c r="K304" s="55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spans="1:31" ht="15.75" customHeight="1">
      <c r="A305" s="29"/>
      <c r="B305" s="152"/>
      <c r="C305" s="29"/>
      <c r="D305" s="32"/>
      <c r="E305" s="32"/>
      <c r="F305" s="55"/>
      <c r="G305" s="55"/>
      <c r="H305" s="29"/>
      <c r="I305" s="29"/>
      <c r="J305" s="29"/>
      <c r="K305" s="55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spans="1:31" ht="15.75" customHeight="1">
      <c r="A306" s="29"/>
      <c r="B306" s="152"/>
      <c r="C306" s="29"/>
      <c r="D306" s="32"/>
      <c r="E306" s="32"/>
      <c r="F306" s="55"/>
      <c r="G306" s="55"/>
      <c r="H306" s="29"/>
      <c r="I306" s="29"/>
      <c r="J306" s="29"/>
      <c r="K306" s="55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spans="1:31" ht="15.75" customHeight="1">
      <c r="A307" s="29"/>
      <c r="B307" s="152"/>
      <c r="C307" s="29"/>
      <c r="D307" s="32"/>
      <c r="E307" s="32"/>
      <c r="F307" s="55"/>
      <c r="G307" s="55"/>
      <c r="H307" s="29"/>
      <c r="I307" s="29"/>
      <c r="J307" s="29"/>
      <c r="K307" s="55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spans="1:31" ht="15.75" customHeight="1">
      <c r="A308" s="29"/>
      <c r="B308" s="152"/>
      <c r="C308" s="29"/>
      <c r="D308" s="32"/>
      <c r="E308" s="32"/>
      <c r="F308" s="55"/>
      <c r="G308" s="55"/>
      <c r="H308" s="29"/>
      <c r="I308" s="29"/>
      <c r="J308" s="29"/>
      <c r="K308" s="55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spans="1:31" ht="15.75" customHeight="1">
      <c r="A309" s="29"/>
      <c r="B309" s="152"/>
      <c r="C309" s="29"/>
      <c r="D309" s="32"/>
      <c r="E309" s="32"/>
      <c r="F309" s="55"/>
      <c r="G309" s="55"/>
      <c r="H309" s="29"/>
      <c r="I309" s="29"/>
      <c r="J309" s="29"/>
      <c r="K309" s="55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spans="1:31" ht="15.75" customHeight="1">
      <c r="A310" s="29"/>
      <c r="B310" s="152"/>
      <c r="C310" s="29"/>
      <c r="D310" s="32"/>
      <c r="E310" s="32"/>
      <c r="F310" s="55"/>
      <c r="G310" s="55"/>
      <c r="H310" s="29"/>
      <c r="I310" s="29"/>
      <c r="J310" s="29"/>
      <c r="K310" s="55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spans="1:31" ht="15.75" customHeight="1">
      <c r="A311" s="29"/>
      <c r="B311" s="152"/>
      <c r="C311" s="29"/>
      <c r="D311" s="32"/>
      <c r="E311" s="32"/>
      <c r="F311" s="55"/>
      <c r="G311" s="55"/>
      <c r="H311" s="29"/>
      <c r="I311" s="29"/>
      <c r="J311" s="29"/>
      <c r="K311" s="55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spans="1:31" ht="15.75" customHeight="1">
      <c r="A312" s="29"/>
      <c r="B312" s="152"/>
      <c r="C312" s="29"/>
      <c r="D312" s="32"/>
      <c r="E312" s="32"/>
      <c r="F312" s="55"/>
      <c r="G312" s="55"/>
      <c r="H312" s="29"/>
      <c r="I312" s="29"/>
      <c r="J312" s="29"/>
      <c r="K312" s="55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spans="1:31" ht="15.75" customHeight="1">
      <c r="A313" s="29"/>
      <c r="B313" s="152"/>
      <c r="C313" s="29"/>
      <c r="D313" s="32"/>
      <c r="E313" s="32"/>
      <c r="F313" s="55"/>
      <c r="G313" s="55"/>
      <c r="H313" s="29"/>
      <c r="I313" s="29"/>
      <c r="J313" s="29"/>
      <c r="K313" s="55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spans="1:31" ht="15.75" customHeight="1">
      <c r="A314" s="29"/>
      <c r="B314" s="152"/>
      <c r="C314" s="29"/>
      <c r="D314" s="32"/>
      <c r="E314" s="32"/>
      <c r="F314" s="55"/>
      <c r="G314" s="55"/>
      <c r="H314" s="29"/>
      <c r="I314" s="29"/>
      <c r="J314" s="29"/>
      <c r="K314" s="55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spans="1:31" ht="15.75" customHeight="1">
      <c r="A315" s="29"/>
      <c r="B315" s="152"/>
      <c r="C315" s="29"/>
      <c r="D315" s="32"/>
      <c r="E315" s="32"/>
      <c r="F315" s="55"/>
      <c r="G315" s="55"/>
      <c r="H315" s="29"/>
      <c r="I315" s="29"/>
      <c r="J315" s="29"/>
      <c r="K315" s="55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spans="1:31" ht="15.75" customHeight="1">
      <c r="A316" s="29"/>
      <c r="B316" s="152"/>
      <c r="C316" s="29"/>
      <c r="D316" s="32"/>
      <c r="E316" s="32"/>
      <c r="F316" s="55"/>
      <c r="G316" s="55"/>
      <c r="H316" s="29"/>
      <c r="I316" s="29"/>
      <c r="J316" s="29"/>
      <c r="K316" s="55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spans="1:31" ht="15.75" customHeight="1">
      <c r="A317" s="29"/>
      <c r="B317" s="152"/>
      <c r="C317" s="29"/>
      <c r="D317" s="32"/>
      <c r="E317" s="32"/>
      <c r="F317" s="55"/>
      <c r="G317" s="55"/>
      <c r="H317" s="29"/>
      <c r="I317" s="29"/>
      <c r="J317" s="29"/>
      <c r="K317" s="55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spans="1:31" ht="15.75" customHeight="1">
      <c r="A318" s="29"/>
      <c r="B318" s="152"/>
      <c r="C318" s="29"/>
      <c r="D318" s="32"/>
      <c r="E318" s="32"/>
      <c r="F318" s="55"/>
      <c r="G318" s="55"/>
      <c r="H318" s="29"/>
      <c r="I318" s="29"/>
      <c r="J318" s="29"/>
      <c r="K318" s="55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spans="1:31" ht="15.75" customHeight="1">
      <c r="A319" s="29"/>
      <c r="B319" s="152"/>
      <c r="C319" s="29"/>
      <c r="D319" s="32"/>
      <c r="E319" s="32"/>
      <c r="F319" s="55"/>
      <c r="G319" s="55"/>
      <c r="H319" s="29"/>
      <c r="I319" s="29"/>
      <c r="J319" s="29"/>
      <c r="K319" s="55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spans="1:31" ht="15.75" customHeight="1">
      <c r="A320" s="29"/>
      <c r="B320" s="152"/>
      <c r="C320" s="29"/>
      <c r="D320" s="32"/>
      <c r="E320" s="32"/>
      <c r="F320" s="55"/>
      <c r="G320" s="55"/>
      <c r="H320" s="29"/>
      <c r="I320" s="29"/>
      <c r="J320" s="29"/>
      <c r="K320" s="55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spans="1:31" ht="15.75" customHeight="1">
      <c r="A321" s="29"/>
      <c r="B321" s="152"/>
      <c r="C321" s="29"/>
      <c r="D321" s="32"/>
      <c r="E321" s="32"/>
      <c r="F321" s="55"/>
      <c r="G321" s="55"/>
      <c r="H321" s="29"/>
      <c r="I321" s="29"/>
      <c r="J321" s="29"/>
      <c r="K321" s="55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spans="1:31" ht="15.75" customHeight="1">
      <c r="A322" s="29"/>
      <c r="B322" s="152"/>
      <c r="C322" s="29"/>
      <c r="D322" s="32"/>
      <c r="E322" s="32"/>
      <c r="F322" s="55"/>
      <c r="G322" s="55"/>
      <c r="H322" s="29"/>
      <c r="I322" s="29"/>
      <c r="J322" s="29"/>
      <c r="K322" s="55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spans="1:31" ht="15.75" customHeight="1">
      <c r="A323" s="29"/>
      <c r="B323" s="152"/>
      <c r="C323" s="29"/>
      <c r="D323" s="32"/>
      <c r="E323" s="32"/>
      <c r="F323" s="55"/>
      <c r="G323" s="55"/>
      <c r="H323" s="29"/>
      <c r="I323" s="29"/>
      <c r="J323" s="29"/>
      <c r="K323" s="55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spans="1:31" ht="15.75" customHeight="1">
      <c r="A324" s="29"/>
      <c r="B324" s="152"/>
      <c r="C324" s="29"/>
      <c r="D324" s="32"/>
      <c r="E324" s="32"/>
      <c r="F324" s="55"/>
      <c r="G324" s="55"/>
      <c r="H324" s="29"/>
      <c r="I324" s="29"/>
      <c r="J324" s="29"/>
      <c r="K324" s="55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spans="1:31" ht="15.75" customHeight="1">
      <c r="A325" s="29"/>
      <c r="B325" s="152"/>
      <c r="C325" s="29"/>
      <c r="D325" s="32"/>
      <c r="E325" s="32"/>
      <c r="F325" s="55"/>
      <c r="G325" s="55"/>
      <c r="H325" s="29"/>
      <c r="I325" s="29"/>
      <c r="J325" s="29"/>
      <c r="K325" s="55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spans="1:31" ht="15.75" customHeight="1">
      <c r="A326" s="29"/>
      <c r="B326" s="152"/>
      <c r="C326" s="29"/>
      <c r="D326" s="32"/>
      <c r="E326" s="32"/>
      <c r="F326" s="55"/>
      <c r="G326" s="55"/>
      <c r="H326" s="29"/>
      <c r="I326" s="29"/>
      <c r="J326" s="29"/>
      <c r="K326" s="55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 ht="15.75" customHeight="1">
      <c r="A327" s="29"/>
      <c r="B327" s="152"/>
      <c r="C327" s="29"/>
      <c r="D327" s="32"/>
      <c r="E327" s="32"/>
      <c r="F327" s="55"/>
      <c r="G327" s="55"/>
      <c r="H327" s="29"/>
      <c r="I327" s="29"/>
      <c r="J327" s="29"/>
      <c r="K327" s="55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spans="1:31" ht="15.75" customHeight="1">
      <c r="A328" s="29"/>
      <c r="B328" s="152"/>
      <c r="C328" s="29"/>
      <c r="D328" s="32"/>
      <c r="E328" s="32"/>
      <c r="F328" s="55"/>
      <c r="G328" s="55"/>
      <c r="H328" s="29"/>
      <c r="I328" s="29"/>
      <c r="J328" s="29"/>
      <c r="K328" s="55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spans="1:31" ht="15.75" customHeight="1">
      <c r="A329" s="29"/>
      <c r="B329" s="152"/>
      <c r="C329" s="29"/>
      <c r="D329" s="32"/>
      <c r="E329" s="32"/>
      <c r="F329" s="55"/>
      <c r="G329" s="55"/>
      <c r="H329" s="29"/>
      <c r="I329" s="29"/>
      <c r="J329" s="29"/>
      <c r="K329" s="55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spans="1:31" ht="15.75" customHeight="1">
      <c r="A330" s="29"/>
      <c r="B330" s="152"/>
      <c r="C330" s="29"/>
      <c r="D330" s="32"/>
      <c r="E330" s="32"/>
      <c r="F330" s="55"/>
      <c r="G330" s="55"/>
      <c r="H330" s="29"/>
      <c r="I330" s="29"/>
      <c r="J330" s="29"/>
      <c r="K330" s="55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spans="1:31" ht="15.75" customHeight="1">
      <c r="A331" s="29"/>
      <c r="B331" s="152"/>
      <c r="C331" s="29"/>
      <c r="D331" s="32"/>
      <c r="E331" s="32"/>
      <c r="F331" s="55"/>
      <c r="G331" s="55"/>
      <c r="H331" s="29"/>
      <c r="I331" s="29"/>
      <c r="J331" s="29"/>
      <c r="K331" s="55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spans="1:31" ht="15.75" customHeight="1">
      <c r="A332" s="29"/>
      <c r="B332" s="152"/>
      <c r="C332" s="29"/>
      <c r="D332" s="32"/>
      <c r="E332" s="32"/>
      <c r="F332" s="55"/>
      <c r="G332" s="55"/>
      <c r="H332" s="29"/>
      <c r="I332" s="29"/>
      <c r="J332" s="29"/>
      <c r="K332" s="55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spans="1:31" ht="15.75" customHeight="1">
      <c r="A333" s="29"/>
      <c r="B333" s="152"/>
      <c r="C333" s="29"/>
      <c r="D333" s="32"/>
      <c r="E333" s="32"/>
      <c r="F333" s="55"/>
      <c r="G333" s="55"/>
      <c r="H333" s="29"/>
      <c r="I333" s="29"/>
      <c r="J333" s="29"/>
      <c r="K333" s="55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spans="1:31" ht="15.75" customHeight="1">
      <c r="A334" s="29"/>
      <c r="B334" s="152"/>
      <c r="C334" s="29"/>
      <c r="D334" s="32"/>
      <c r="E334" s="32"/>
      <c r="F334" s="55"/>
      <c r="G334" s="55"/>
      <c r="H334" s="29"/>
      <c r="I334" s="29"/>
      <c r="J334" s="29"/>
      <c r="K334" s="55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spans="1:31" ht="15.75" customHeight="1">
      <c r="A335" s="29"/>
      <c r="B335" s="152"/>
      <c r="C335" s="29"/>
      <c r="D335" s="32"/>
      <c r="E335" s="32"/>
      <c r="F335" s="55"/>
      <c r="G335" s="55"/>
      <c r="H335" s="29"/>
      <c r="I335" s="29"/>
      <c r="J335" s="29"/>
      <c r="K335" s="55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spans="1:31" ht="15.75" customHeight="1">
      <c r="A336" s="29"/>
      <c r="B336" s="152"/>
      <c r="C336" s="29"/>
      <c r="D336" s="32"/>
      <c r="E336" s="32"/>
      <c r="F336" s="55"/>
      <c r="G336" s="55"/>
      <c r="H336" s="29"/>
      <c r="I336" s="29"/>
      <c r="J336" s="29"/>
      <c r="K336" s="55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spans="1:31" ht="15.75" customHeight="1">
      <c r="A337" s="29"/>
      <c r="B337" s="152"/>
      <c r="C337" s="29"/>
      <c r="D337" s="32"/>
      <c r="E337" s="32"/>
      <c r="F337" s="55"/>
      <c r="G337" s="55"/>
      <c r="H337" s="29"/>
      <c r="I337" s="29"/>
      <c r="J337" s="29"/>
      <c r="K337" s="55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spans="1:31" ht="15.75" customHeight="1">
      <c r="A338" s="29"/>
      <c r="B338" s="152"/>
      <c r="C338" s="29"/>
      <c r="D338" s="32"/>
      <c r="E338" s="32"/>
      <c r="F338" s="55"/>
      <c r="G338" s="55"/>
      <c r="H338" s="29"/>
      <c r="I338" s="29"/>
      <c r="J338" s="29"/>
      <c r="K338" s="55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spans="1:31" ht="15.75" customHeight="1">
      <c r="A339" s="29"/>
      <c r="B339" s="152"/>
      <c r="C339" s="29"/>
      <c r="D339" s="32"/>
      <c r="E339" s="32"/>
      <c r="F339" s="55"/>
      <c r="G339" s="55"/>
      <c r="H339" s="29"/>
      <c r="I339" s="29"/>
      <c r="J339" s="29"/>
      <c r="K339" s="55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spans="1:31" ht="15.75" customHeight="1">
      <c r="A340" s="29"/>
      <c r="B340" s="152"/>
      <c r="C340" s="29"/>
      <c r="D340" s="32"/>
      <c r="E340" s="32"/>
      <c r="F340" s="55"/>
      <c r="G340" s="55"/>
      <c r="H340" s="29"/>
      <c r="I340" s="29"/>
      <c r="J340" s="29"/>
      <c r="K340" s="55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spans="1:31" ht="15.75" customHeight="1">
      <c r="A341" s="29"/>
      <c r="B341" s="152"/>
      <c r="C341" s="29"/>
      <c r="D341" s="32"/>
      <c r="E341" s="32"/>
      <c r="F341" s="55"/>
      <c r="G341" s="55"/>
      <c r="H341" s="29"/>
      <c r="I341" s="29"/>
      <c r="J341" s="29"/>
      <c r="K341" s="55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spans="1:31" ht="15.75" customHeight="1">
      <c r="A342" s="29"/>
      <c r="B342" s="152"/>
      <c r="C342" s="29"/>
      <c r="D342" s="32"/>
      <c r="E342" s="32"/>
      <c r="F342" s="55"/>
      <c r="G342" s="55"/>
      <c r="H342" s="29"/>
      <c r="I342" s="29"/>
      <c r="J342" s="29"/>
      <c r="K342" s="55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spans="1:31" ht="15.75" customHeight="1">
      <c r="A343" s="29"/>
      <c r="B343" s="152"/>
      <c r="C343" s="29"/>
      <c r="D343" s="32"/>
      <c r="E343" s="32"/>
      <c r="F343" s="55"/>
      <c r="G343" s="55"/>
      <c r="H343" s="29"/>
      <c r="I343" s="29"/>
      <c r="J343" s="29"/>
      <c r="K343" s="55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spans="1:31" ht="15.75" customHeight="1">
      <c r="A344" s="29"/>
      <c r="B344" s="152"/>
      <c r="C344" s="29"/>
      <c r="D344" s="32"/>
      <c r="E344" s="32"/>
      <c r="F344" s="55"/>
      <c r="G344" s="55"/>
      <c r="H344" s="29"/>
      <c r="I344" s="29"/>
      <c r="J344" s="29"/>
      <c r="K344" s="55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spans="1:31" ht="15.75" customHeight="1">
      <c r="A345" s="29"/>
      <c r="B345" s="152"/>
      <c r="C345" s="29"/>
      <c r="D345" s="32"/>
      <c r="E345" s="32"/>
      <c r="F345" s="55"/>
      <c r="G345" s="55"/>
      <c r="H345" s="29"/>
      <c r="I345" s="29"/>
      <c r="J345" s="29"/>
      <c r="K345" s="55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spans="1:31" ht="15.75" customHeight="1">
      <c r="A346" s="29"/>
      <c r="B346" s="152"/>
      <c r="C346" s="29"/>
      <c r="D346" s="32"/>
      <c r="E346" s="32"/>
      <c r="F346" s="55"/>
      <c r="G346" s="55"/>
      <c r="H346" s="29"/>
      <c r="I346" s="29"/>
      <c r="J346" s="29"/>
      <c r="K346" s="55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spans="1:31" ht="15.75" customHeight="1">
      <c r="A347" s="29"/>
      <c r="B347" s="152"/>
      <c r="C347" s="29"/>
      <c r="D347" s="32"/>
      <c r="E347" s="32"/>
      <c r="F347" s="55"/>
      <c r="G347" s="55"/>
      <c r="H347" s="29"/>
      <c r="I347" s="29"/>
      <c r="J347" s="29"/>
      <c r="K347" s="55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spans="1:31" ht="15.75" customHeight="1">
      <c r="A348" s="29"/>
      <c r="B348" s="152"/>
      <c r="C348" s="29"/>
      <c r="D348" s="32"/>
      <c r="E348" s="32"/>
      <c r="F348" s="55"/>
      <c r="G348" s="55"/>
      <c r="H348" s="29"/>
      <c r="I348" s="29"/>
      <c r="J348" s="29"/>
      <c r="K348" s="55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spans="1:31" ht="15.75" customHeight="1">
      <c r="A349" s="29"/>
      <c r="B349" s="152"/>
      <c r="C349" s="29"/>
      <c r="D349" s="32"/>
      <c r="E349" s="32"/>
      <c r="F349" s="55"/>
      <c r="G349" s="55"/>
      <c r="H349" s="29"/>
      <c r="I349" s="29"/>
      <c r="J349" s="29"/>
      <c r="K349" s="55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spans="1:31" ht="15.75" customHeight="1">
      <c r="A350" s="29"/>
      <c r="B350" s="152"/>
      <c r="C350" s="29"/>
      <c r="D350" s="32"/>
      <c r="E350" s="32"/>
      <c r="F350" s="55"/>
      <c r="G350" s="55"/>
      <c r="H350" s="29"/>
      <c r="I350" s="29"/>
      <c r="J350" s="29"/>
      <c r="K350" s="55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spans="1:31" ht="15.75" customHeight="1">
      <c r="A351" s="29"/>
      <c r="B351" s="152"/>
      <c r="C351" s="29"/>
      <c r="D351" s="32"/>
      <c r="E351" s="32"/>
      <c r="F351" s="55"/>
      <c r="G351" s="55"/>
      <c r="H351" s="29"/>
      <c r="I351" s="29"/>
      <c r="J351" s="29"/>
      <c r="K351" s="55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spans="1:31" ht="15.75" customHeight="1">
      <c r="A352" s="29"/>
      <c r="B352" s="152"/>
      <c r="C352" s="29"/>
      <c r="D352" s="32"/>
      <c r="E352" s="32"/>
      <c r="F352" s="55"/>
      <c r="G352" s="55"/>
      <c r="H352" s="29"/>
      <c r="I352" s="29"/>
      <c r="J352" s="29"/>
      <c r="K352" s="55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spans="1:31" ht="15.75" customHeight="1">
      <c r="A353" s="29"/>
      <c r="B353" s="152"/>
      <c r="C353" s="29"/>
      <c r="D353" s="32"/>
      <c r="E353" s="32"/>
      <c r="F353" s="55"/>
      <c r="G353" s="55"/>
      <c r="H353" s="29"/>
      <c r="I353" s="29"/>
      <c r="J353" s="29"/>
      <c r="K353" s="55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spans="1:31" ht="15.75" customHeight="1">
      <c r="A354" s="29"/>
      <c r="B354" s="152"/>
      <c r="C354" s="29"/>
      <c r="D354" s="32"/>
      <c r="E354" s="32"/>
      <c r="F354" s="55"/>
      <c r="G354" s="55"/>
      <c r="H354" s="29"/>
      <c r="I354" s="29"/>
      <c r="J354" s="29"/>
      <c r="K354" s="55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spans="1:31" ht="15.75" customHeight="1">
      <c r="A355" s="29"/>
      <c r="B355" s="152"/>
      <c r="C355" s="29"/>
      <c r="D355" s="32"/>
      <c r="E355" s="32"/>
      <c r="F355" s="55"/>
      <c r="G355" s="55"/>
      <c r="H355" s="29"/>
      <c r="I355" s="29"/>
      <c r="J355" s="29"/>
      <c r="K355" s="55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spans="1:31" ht="15.75" customHeight="1">
      <c r="A356" s="29"/>
      <c r="B356" s="152"/>
      <c r="C356" s="29"/>
      <c r="D356" s="32"/>
      <c r="E356" s="32"/>
      <c r="F356" s="55"/>
      <c r="G356" s="55"/>
      <c r="H356" s="29"/>
      <c r="I356" s="29"/>
      <c r="J356" s="29"/>
      <c r="K356" s="55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spans="1:31" ht="15.75" customHeight="1">
      <c r="A357" s="29"/>
      <c r="B357" s="152"/>
      <c r="C357" s="29"/>
      <c r="D357" s="32"/>
      <c r="E357" s="32"/>
      <c r="F357" s="55"/>
      <c r="G357" s="55"/>
      <c r="H357" s="29"/>
      <c r="I357" s="29"/>
      <c r="J357" s="29"/>
      <c r="K357" s="55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spans="1:31" ht="15.75" customHeight="1">
      <c r="A358" s="29"/>
      <c r="B358" s="152"/>
      <c r="C358" s="29"/>
      <c r="D358" s="32"/>
      <c r="E358" s="32"/>
      <c r="F358" s="55"/>
      <c r="G358" s="55"/>
      <c r="H358" s="29"/>
      <c r="I358" s="29"/>
      <c r="J358" s="29"/>
      <c r="K358" s="55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spans="1:31" ht="15.75" customHeight="1">
      <c r="A359" s="29"/>
      <c r="B359" s="152"/>
      <c r="C359" s="29"/>
      <c r="D359" s="32"/>
      <c r="E359" s="32"/>
      <c r="F359" s="55"/>
      <c r="G359" s="55"/>
      <c r="H359" s="29"/>
      <c r="I359" s="29"/>
      <c r="J359" s="29"/>
      <c r="K359" s="55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spans="1:31" ht="15.75" customHeight="1">
      <c r="A360" s="29"/>
      <c r="B360" s="152"/>
      <c r="C360" s="29"/>
      <c r="D360" s="32"/>
      <c r="E360" s="32"/>
      <c r="F360" s="55"/>
      <c r="G360" s="55"/>
      <c r="H360" s="29"/>
      <c r="I360" s="29"/>
      <c r="J360" s="29"/>
      <c r="K360" s="55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spans="1:31" ht="15.75" customHeight="1">
      <c r="A361" s="29"/>
      <c r="B361" s="152"/>
      <c r="C361" s="29"/>
      <c r="D361" s="32"/>
      <c r="E361" s="32"/>
      <c r="F361" s="55"/>
      <c r="G361" s="55"/>
      <c r="H361" s="29"/>
      <c r="I361" s="29"/>
      <c r="J361" s="29"/>
      <c r="K361" s="55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spans="1:31" ht="15.75" customHeight="1">
      <c r="A362" s="29"/>
      <c r="B362" s="152"/>
      <c r="C362" s="29"/>
      <c r="D362" s="32"/>
      <c r="E362" s="32"/>
      <c r="F362" s="55"/>
      <c r="G362" s="55"/>
      <c r="H362" s="29"/>
      <c r="I362" s="29"/>
      <c r="J362" s="29"/>
      <c r="K362" s="55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spans="1:31" ht="15.75" customHeight="1">
      <c r="A363" s="29"/>
      <c r="B363" s="152"/>
      <c r="C363" s="29"/>
      <c r="D363" s="32"/>
      <c r="E363" s="32"/>
      <c r="F363" s="55"/>
      <c r="G363" s="55"/>
      <c r="H363" s="29"/>
      <c r="I363" s="29"/>
      <c r="J363" s="29"/>
      <c r="K363" s="55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spans="1:31" ht="15.75" customHeight="1">
      <c r="A364" s="29"/>
      <c r="B364" s="152"/>
      <c r="C364" s="29"/>
      <c r="D364" s="32"/>
      <c r="E364" s="32"/>
      <c r="F364" s="55"/>
      <c r="G364" s="55"/>
      <c r="H364" s="29"/>
      <c r="I364" s="29"/>
      <c r="J364" s="29"/>
      <c r="K364" s="55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spans="1:31" ht="15.75" customHeight="1">
      <c r="A365" s="29"/>
      <c r="B365" s="152"/>
      <c r="C365" s="29"/>
      <c r="D365" s="32"/>
      <c r="E365" s="32"/>
      <c r="F365" s="55"/>
      <c r="G365" s="55"/>
      <c r="H365" s="29"/>
      <c r="I365" s="29"/>
      <c r="J365" s="29"/>
      <c r="K365" s="55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spans="1:31" ht="15.75" customHeight="1">
      <c r="A366" s="29"/>
      <c r="B366" s="152"/>
      <c r="C366" s="29"/>
      <c r="D366" s="32"/>
      <c r="E366" s="32"/>
      <c r="F366" s="55"/>
      <c r="G366" s="55"/>
      <c r="H366" s="29"/>
      <c r="I366" s="29"/>
      <c r="J366" s="29"/>
      <c r="K366" s="55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spans="1:31" ht="15.75" customHeight="1">
      <c r="A367" s="29"/>
      <c r="B367" s="152"/>
      <c r="C367" s="29"/>
      <c r="D367" s="32"/>
      <c r="E367" s="32"/>
      <c r="F367" s="55"/>
      <c r="G367" s="55"/>
      <c r="H367" s="29"/>
      <c r="I367" s="29"/>
      <c r="J367" s="29"/>
      <c r="K367" s="55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spans="1:31" ht="15.75" customHeight="1">
      <c r="A368" s="29"/>
      <c r="B368" s="152"/>
      <c r="C368" s="29"/>
      <c r="D368" s="32"/>
      <c r="E368" s="32"/>
      <c r="F368" s="55"/>
      <c r="G368" s="55"/>
      <c r="H368" s="29"/>
      <c r="I368" s="29"/>
      <c r="J368" s="29"/>
      <c r="K368" s="55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spans="1:31" ht="15.75" customHeight="1">
      <c r="A369" s="29"/>
      <c r="B369" s="152"/>
      <c r="C369" s="29"/>
      <c r="D369" s="32"/>
      <c r="E369" s="32"/>
      <c r="F369" s="55"/>
      <c r="G369" s="55"/>
      <c r="H369" s="29"/>
      <c r="I369" s="29"/>
      <c r="J369" s="29"/>
      <c r="K369" s="55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spans="1:31" ht="15.75" customHeight="1">
      <c r="A370" s="29"/>
      <c r="B370" s="152"/>
      <c r="C370" s="29"/>
      <c r="D370" s="32"/>
      <c r="E370" s="32"/>
      <c r="F370" s="55"/>
      <c r="G370" s="55"/>
      <c r="H370" s="29"/>
      <c r="I370" s="29"/>
      <c r="J370" s="29"/>
      <c r="K370" s="55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spans="1:31" ht="15.75" customHeight="1">
      <c r="A371" s="29"/>
      <c r="B371" s="152"/>
      <c r="C371" s="29"/>
      <c r="D371" s="32"/>
      <c r="E371" s="32"/>
      <c r="F371" s="55"/>
      <c r="G371" s="55"/>
      <c r="H371" s="29"/>
      <c r="I371" s="29"/>
      <c r="J371" s="29"/>
      <c r="K371" s="55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spans="1:31" ht="15.75" customHeight="1">
      <c r="A372" s="29"/>
      <c r="B372" s="152"/>
      <c r="C372" s="29"/>
      <c r="D372" s="32"/>
      <c r="E372" s="32"/>
      <c r="F372" s="55"/>
      <c r="G372" s="55"/>
      <c r="H372" s="29"/>
      <c r="I372" s="29"/>
      <c r="J372" s="29"/>
      <c r="K372" s="55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spans="1:31" ht="15.75" customHeight="1">
      <c r="A373" s="29"/>
      <c r="B373" s="152"/>
      <c r="C373" s="29"/>
      <c r="D373" s="32"/>
      <c r="E373" s="32"/>
      <c r="F373" s="55"/>
      <c r="G373" s="55"/>
      <c r="H373" s="29"/>
      <c r="I373" s="29"/>
      <c r="J373" s="29"/>
      <c r="K373" s="55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spans="1:31" ht="15.75" customHeight="1">
      <c r="A374" s="29"/>
      <c r="B374" s="152"/>
      <c r="C374" s="29"/>
      <c r="D374" s="32"/>
      <c r="E374" s="32"/>
      <c r="F374" s="55"/>
      <c r="G374" s="55"/>
      <c r="H374" s="29"/>
      <c r="I374" s="29"/>
      <c r="J374" s="29"/>
      <c r="K374" s="55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spans="1:31" ht="15.75" customHeight="1">
      <c r="A375" s="29"/>
      <c r="B375" s="152"/>
      <c r="C375" s="29"/>
      <c r="D375" s="32"/>
      <c r="E375" s="32"/>
      <c r="F375" s="55"/>
      <c r="G375" s="55"/>
      <c r="H375" s="29"/>
      <c r="I375" s="29"/>
      <c r="J375" s="29"/>
      <c r="K375" s="55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spans="1:31" ht="15.75" customHeight="1">
      <c r="A376" s="29"/>
      <c r="B376" s="152"/>
      <c r="C376" s="29"/>
      <c r="D376" s="32"/>
      <c r="E376" s="32"/>
      <c r="F376" s="55"/>
      <c r="G376" s="55"/>
      <c r="H376" s="29"/>
      <c r="I376" s="29"/>
      <c r="J376" s="29"/>
      <c r="K376" s="55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spans="1:31" ht="15.75" customHeight="1">
      <c r="A377" s="29"/>
      <c r="B377" s="152"/>
      <c r="C377" s="29"/>
      <c r="D377" s="32"/>
      <c r="E377" s="32"/>
      <c r="F377" s="55"/>
      <c r="G377" s="55"/>
      <c r="H377" s="29"/>
      <c r="I377" s="29"/>
      <c r="J377" s="29"/>
      <c r="K377" s="55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spans="1:31" ht="15.75" customHeight="1">
      <c r="A378" s="29"/>
      <c r="B378" s="152"/>
      <c r="C378" s="29"/>
      <c r="D378" s="32"/>
      <c r="E378" s="32"/>
      <c r="F378" s="55"/>
      <c r="G378" s="55"/>
      <c r="H378" s="29"/>
      <c r="I378" s="29"/>
      <c r="J378" s="29"/>
      <c r="K378" s="55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spans="1:31" ht="15.75" customHeight="1">
      <c r="A379" s="29"/>
      <c r="B379" s="152"/>
      <c r="C379" s="29"/>
      <c r="D379" s="32"/>
      <c r="E379" s="32"/>
      <c r="F379" s="55"/>
      <c r="G379" s="55"/>
      <c r="H379" s="29"/>
      <c r="I379" s="29"/>
      <c r="J379" s="29"/>
      <c r="K379" s="55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spans="1:31" ht="15.75" customHeight="1">
      <c r="A380" s="29"/>
      <c r="B380" s="152"/>
      <c r="C380" s="29"/>
      <c r="D380" s="32"/>
      <c r="E380" s="32"/>
      <c r="F380" s="55"/>
      <c r="G380" s="55"/>
      <c r="H380" s="29"/>
      <c r="I380" s="29"/>
      <c r="J380" s="29"/>
      <c r="K380" s="55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spans="1:31" ht="15.75" customHeight="1">
      <c r="A381" s="29"/>
      <c r="B381" s="152"/>
      <c r="C381" s="29"/>
      <c r="D381" s="32"/>
      <c r="E381" s="32"/>
      <c r="F381" s="55"/>
      <c r="G381" s="55"/>
      <c r="H381" s="29"/>
      <c r="I381" s="29"/>
      <c r="J381" s="29"/>
      <c r="K381" s="55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spans="1:31" ht="15.75" customHeight="1">
      <c r="A382" s="29"/>
      <c r="B382" s="152"/>
      <c r="C382" s="29"/>
      <c r="D382" s="32"/>
      <c r="E382" s="32"/>
      <c r="F382" s="55"/>
      <c r="G382" s="55"/>
      <c r="H382" s="29"/>
      <c r="I382" s="29"/>
      <c r="J382" s="29"/>
      <c r="K382" s="55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spans="1:31" ht="15.75" customHeight="1">
      <c r="A383" s="29"/>
      <c r="B383" s="152"/>
      <c r="C383" s="29"/>
      <c r="D383" s="32"/>
      <c r="E383" s="32"/>
      <c r="F383" s="55"/>
      <c r="G383" s="55"/>
      <c r="H383" s="29"/>
      <c r="I383" s="29"/>
      <c r="J383" s="29"/>
      <c r="K383" s="55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spans="1:31" ht="15.75" customHeight="1">
      <c r="A384" s="29"/>
      <c r="B384" s="152"/>
      <c r="C384" s="29"/>
      <c r="D384" s="32"/>
      <c r="E384" s="32"/>
      <c r="F384" s="55"/>
      <c r="G384" s="55"/>
      <c r="H384" s="29"/>
      <c r="I384" s="29"/>
      <c r="J384" s="29"/>
      <c r="K384" s="55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spans="1:31" ht="15.75" customHeight="1">
      <c r="A385" s="29"/>
      <c r="B385" s="152"/>
      <c r="C385" s="29"/>
      <c r="D385" s="32"/>
      <c r="E385" s="32"/>
      <c r="F385" s="55"/>
      <c r="G385" s="55"/>
      <c r="H385" s="29"/>
      <c r="I385" s="29"/>
      <c r="J385" s="29"/>
      <c r="K385" s="55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spans="1:31" ht="15.75" customHeight="1">
      <c r="A386" s="29"/>
      <c r="B386" s="152"/>
      <c r="C386" s="29"/>
      <c r="D386" s="32"/>
      <c r="E386" s="32"/>
      <c r="F386" s="55"/>
      <c r="G386" s="55"/>
      <c r="H386" s="29"/>
      <c r="I386" s="29"/>
      <c r="J386" s="29"/>
      <c r="K386" s="55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spans="1:31" ht="15.75" customHeight="1">
      <c r="A387" s="29"/>
      <c r="B387" s="152"/>
      <c r="C387" s="29"/>
      <c r="D387" s="32"/>
      <c r="E387" s="32"/>
      <c r="F387" s="55"/>
      <c r="G387" s="55"/>
      <c r="H387" s="29"/>
      <c r="I387" s="29"/>
      <c r="J387" s="29"/>
      <c r="K387" s="55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spans="1:31" ht="15.75" customHeight="1">
      <c r="A388" s="29"/>
      <c r="B388" s="152"/>
      <c r="C388" s="29"/>
      <c r="D388" s="32"/>
      <c r="E388" s="32"/>
      <c r="F388" s="55"/>
      <c r="G388" s="55"/>
      <c r="H388" s="29"/>
      <c r="I388" s="29"/>
      <c r="J388" s="29"/>
      <c r="K388" s="55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spans="1:31" ht="15.75" customHeight="1">
      <c r="A389" s="29"/>
      <c r="B389" s="152"/>
      <c r="C389" s="29"/>
      <c r="D389" s="32"/>
      <c r="E389" s="32"/>
      <c r="F389" s="55"/>
      <c r="G389" s="55"/>
      <c r="H389" s="29"/>
      <c r="I389" s="29"/>
      <c r="J389" s="29"/>
      <c r="K389" s="55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spans="1:31" ht="15.75" customHeight="1">
      <c r="A390" s="29"/>
      <c r="B390" s="152"/>
      <c r="C390" s="29"/>
      <c r="D390" s="32"/>
      <c r="E390" s="32"/>
      <c r="F390" s="55"/>
      <c r="G390" s="55"/>
      <c r="H390" s="29"/>
      <c r="I390" s="29"/>
      <c r="J390" s="29"/>
      <c r="K390" s="55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spans="1:31" ht="15.75" customHeight="1">
      <c r="A391" s="29"/>
      <c r="B391" s="152"/>
      <c r="C391" s="29"/>
      <c r="D391" s="32"/>
      <c r="E391" s="32"/>
      <c r="F391" s="55"/>
      <c r="G391" s="55"/>
      <c r="H391" s="29"/>
      <c r="I391" s="29"/>
      <c r="J391" s="29"/>
      <c r="K391" s="55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spans="1:31" ht="15.75" customHeight="1">
      <c r="A392" s="29"/>
      <c r="B392" s="152"/>
      <c r="C392" s="29"/>
      <c r="D392" s="32"/>
      <c r="E392" s="32"/>
      <c r="F392" s="55"/>
      <c r="G392" s="55"/>
      <c r="H392" s="29"/>
      <c r="I392" s="29"/>
      <c r="J392" s="29"/>
      <c r="K392" s="55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spans="1:31" ht="15.75" customHeight="1">
      <c r="A393" s="29"/>
      <c r="B393" s="152"/>
      <c r="C393" s="29"/>
      <c r="D393" s="32"/>
      <c r="E393" s="32"/>
      <c r="F393" s="55"/>
      <c r="G393" s="55"/>
      <c r="H393" s="29"/>
      <c r="I393" s="29"/>
      <c r="J393" s="29"/>
      <c r="K393" s="55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spans="1:31" ht="15.75" customHeight="1">
      <c r="A394" s="29"/>
      <c r="B394" s="152"/>
      <c r="C394" s="29"/>
      <c r="D394" s="32"/>
      <c r="E394" s="32"/>
      <c r="F394" s="55"/>
      <c r="G394" s="55"/>
      <c r="H394" s="29"/>
      <c r="I394" s="29"/>
      <c r="J394" s="29"/>
      <c r="K394" s="55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spans="1:31" ht="15.75" customHeight="1">
      <c r="A395" s="29"/>
      <c r="B395" s="152"/>
      <c r="C395" s="29"/>
      <c r="D395" s="32"/>
      <c r="E395" s="32"/>
      <c r="F395" s="55"/>
      <c r="G395" s="55"/>
      <c r="H395" s="29"/>
      <c r="I395" s="29"/>
      <c r="J395" s="29"/>
      <c r="K395" s="55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spans="1:31" ht="15.75" customHeight="1">
      <c r="A396" s="29"/>
      <c r="B396" s="152"/>
      <c r="C396" s="29"/>
      <c r="D396" s="32"/>
      <c r="E396" s="32"/>
      <c r="F396" s="55"/>
      <c r="G396" s="55"/>
      <c r="H396" s="29"/>
      <c r="I396" s="29"/>
      <c r="J396" s="29"/>
      <c r="K396" s="55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spans="1:31" ht="15.75" customHeight="1">
      <c r="A397" s="29"/>
      <c r="B397" s="152"/>
      <c r="C397" s="29"/>
      <c r="D397" s="32"/>
      <c r="E397" s="32"/>
      <c r="F397" s="55"/>
      <c r="G397" s="55"/>
      <c r="H397" s="29"/>
      <c r="I397" s="29"/>
      <c r="J397" s="29"/>
      <c r="K397" s="55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spans="1:31" ht="15.75" customHeight="1">
      <c r="A398" s="29"/>
      <c r="B398" s="152"/>
      <c r="C398" s="29"/>
      <c r="D398" s="32"/>
      <c r="E398" s="32"/>
      <c r="F398" s="55"/>
      <c r="G398" s="55"/>
      <c r="H398" s="29"/>
      <c r="I398" s="29"/>
      <c r="J398" s="29"/>
      <c r="K398" s="55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spans="1:31" ht="15.75" customHeight="1">
      <c r="A399" s="29"/>
      <c r="B399" s="152"/>
      <c r="C399" s="29"/>
      <c r="D399" s="32"/>
      <c r="E399" s="32"/>
      <c r="F399" s="55"/>
      <c r="G399" s="55"/>
      <c r="H399" s="29"/>
      <c r="I399" s="29"/>
      <c r="J399" s="29"/>
      <c r="K399" s="55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spans="1:31" ht="15.75" customHeight="1">
      <c r="A400" s="29"/>
      <c r="B400" s="152"/>
      <c r="C400" s="29"/>
      <c r="D400" s="32"/>
      <c r="E400" s="32"/>
      <c r="F400" s="55"/>
      <c r="G400" s="55"/>
      <c r="H400" s="29"/>
      <c r="I400" s="29"/>
      <c r="J400" s="29"/>
      <c r="K400" s="55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spans="1:31" ht="15.75" customHeight="1">
      <c r="A401" s="29"/>
      <c r="B401" s="152"/>
      <c r="C401" s="29"/>
      <c r="D401" s="32"/>
      <c r="E401" s="32"/>
      <c r="F401" s="55"/>
      <c r="G401" s="55"/>
      <c r="H401" s="29"/>
      <c r="I401" s="29"/>
      <c r="J401" s="29"/>
      <c r="K401" s="55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spans="1:31" ht="15.75" customHeight="1">
      <c r="A402" s="29"/>
      <c r="B402" s="152"/>
      <c r="C402" s="29"/>
      <c r="D402" s="32"/>
      <c r="E402" s="32"/>
      <c r="F402" s="55"/>
      <c r="G402" s="55"/>
      <c r="H402" s="29"/>
      <c r="I402" s="29"/>
      <c r="J402" s="29"/>
      <c r="K402" s="55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spans="1:31" ht="15.75" customHeight="1">
      <c r="A403" s="29"/>
      <c r="B403" s="152"/>
      <c r="C403" s="29"/>
      <c r="D403" s="32"/>
      <c r="E403" s="32"/>
      <c r="F403" s="55"/>
      <c r="G403" s="55"/>
      <c r="H403" s="29"/>
      <c r="I403" s="29"/>
      <c r="J403" s="29"/>
      <c r="K403" s="55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spans="1:31" ht="15.75" customHeight="1">
      <c r="A404" s="29"/>
      <c r="B404" s="152"/>
      <c r="C404" s="29"/>
      <c r="D404" s="32"/>
      <c r="E404" s="32"/>
      <c r="F404" s="55"/>
      <c r="G404" s="55"/>
      <c r="H404" s="29"/>
      <c r="I404" s="29"/>
      <c r="J404" s="29"/>
      <c r="K404" s="55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spans="1:31" ht="15.75" customHeight="1">
      <c r="A405" s="29"/>
      <c r="B405" s="152"/>
      <c r="C405" s="29"/>
      <c r="D405" s="32"/>
      <c r="E405" s="32"/>
      <c r="F405" s="55"/>
      <c r="G405" s="55"/>
      <c r="H405" s="29"/>
      <c r="I405" s="29"/>
      <c r="J405" s="29"/>
      <c r="K405" s="55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spans="1:31" ht="15.75" customHeight="1">
      <c r="A406" s="29"/>
      <c r="B406" s="152"/>
      <c r="C406" s="29"/>
      <c r="D406" s="32"/>
      <c r="E406" s="32"/>
      <c r="F406" s="55"/>
      <c r="G406" s="55"/>
      <c r="H406" s="29"/>
      <c r="I406" s="29"/>
      <c r="J406" s="29"/>
      <c r="K406" s="55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spans="1:31" ht="15.75" customHeight="1">
      <c r="A407" s="29"/>
      <c r="B407" s="152"/>
      <c r="C407" s="29"/>
      <c r="D407" s="32"/>
      <c r="E407" s="32"/>
      <c r="F407" s="55"/>
      <c r="G407" s="55"/>
      <c r="H407" s="29"/>
      <c r="I407" s="29"/>
      <c r="J407" s="29"/>
      <c r="K407" s="55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spans="1:31" ht="15.75" customHeight="1">
      <c r="A408" s="29"/>
      <c r="B408" s="152"/>
      <c r="C408" s="29"/>
      <c r="D408" s="32"/>
      <c r="E408" s="32"/>
      <c r="F408" s="55"/>
      <c r="G408" s="55"/>
      <c r="H408" s="29"/>
      <c r="I408" s="29"/>
      <c r="J408" s="29"/>
      <c r="K408" s="55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spans="1:31" ht="15.75" customHeight="1">
      <c r="A409" s="29"/>
      <c r="B409" s="152"/>
      <c r="C409" s="29"/>
      <c r="D409" s="32"/>
      <c r="E409" s="32"/>
      <c r="F409" s="55"/>
      <c r="G409" s="55"/>
      <c r="H409" s="29"/>
      <c r="I409" s="29"/>
      <c r="J409" s="29"/>
      <c r="K409" s="55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spans="1:31" ht="15.75" customHeight="1">
      <c r="A410" s="29"/>
      <c r="B410" s="152"/>
      <c r="C410" s="29"/>
      <c r="D410" s="32"/>
      <c r="E410" s="32"/>
      <c r="F410" s="55"/>
      <c r="G410" s="55"/>
      <c r="H410" s="29"/>
      <c r="I410" s="29"/>
      <c r="J410" s="29"/>
      <c r="K410" s="55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spans="1:31" ht="15.75" customHeight="1">
      <c r="A411" s="29"/>
      <c r="B411" s="152"/>
      <c r="C411" s="29"/>
      <c r="D411" s="32"/>
      <c r="E411" s="32"/>
      <c r="F411" s="55"/>
      <c r="G411" s="55"/>
      <c r="H411" s="29"/>
      <c r="I411" s="29"/>
      <c r="J411" s="29"/>
      <c r="K411" s="55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spans="1:31" ht="15.75" customHeight="1">
      <c r="A412" s="29"/>
      <c r="B412" s="152"/>
      <c r="C412" s="29"/>
      <c r="D412" s="32"/>
      <c r="E412" s="32"/>
      <c r="F412" s="55"/>
      <c r="G412" s="55"/>
      <c r="H412" s="29"/>
      <c r="I412" s="29"/>
      <c r="J412" s="29"/>
      <c r="K412" s="55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spans="1:31" ht="15.75" customHeight="1">
      <c r="A413" s="29"/>
      <c r="B413" s="152"/>
      <c r="C413" s="29"/>
      <c r="D413" s="32"/>
      <c r="E413" s="32"/>
      <c r="F413" s="55"/>
      <c r="G413" s="55"/>
      <c r="H413" s="29"/>
      <c r="I413" s="29"/>
      <c r="J413" s="29"/>
      <c r="K413" s="55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spans="1:31" ht="15.75" customHeight="1">
      <c r="A414" s="29"/>
      <c r="B414" s="152"/>
      <c r="C414" s="29"/>
      <c r="D414" s="32"/>
      <c r="E414" s="32"/>
      <c r="F414" s="55"/>
      <c r="G414" s="55"/>
      <c r="H414" s="29"/>
      <c r="I414" s="29"/>
      <c r="J414" s="29"/>
      <c r="K414" s="55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spans="1:31" ht="15.75" customHeight="1">
      <c r="A415" s="29"/>
      <c r="B415" s="152"/>
      <c r="C415" s="29"/>
      <c r="D415" s="32"/>
      <c r="E415" s="32"/>
      <c r="F415" s="55"/>
      <c r="G415" s="55"/>
      <c r="H415" s="29"/>
      <c r="I415" s="29"/>
      <c r="J415" s="29"/>
      <c r="K415" s="55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spans="1:31" ht="15.75" customHeight="1">
      <c r="A416" s="29"/>
      <c r="B416" s="152"/>
      <c r="C416" s="29"/>
      <c r="D416" s="32"/>
      <c r="E416" s="32"/>
      <c r="F416" s="55"/>
      <c r="G416" s="55"/>
      <c r="H416" s="29"/>
      <c r="I416" s="29"/>
      <c r="J416" s="29"/>
      <c r="K416" s="55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spans="1:31" ht="15.75" customHeight="1">
      <c r="A417" s="29"/>
      <c r="B417" s="152"/>
      <c r="C417" s="29"/>
      <c r="D417" s="32"/>
      <c r="E417" s="32"/>
      <c r="F417" s="55"/>
      <c r="G417" s="55"/>
      <c r="H417" s="29"/>
      <c r="I417" s="29"/>
      <c r="J417" s="29"/>
      <c r="K417" s="55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spans="1:31" ht="15.75" customHeight="1">
      <c r="A418" s="29"/>
      <c r="B418" s="152"/>
      <c r="C418" s="29"/>
      <c r="D418" s="32"/>
      <c r="E418" s="32"/>
      <c r="F418" s="55"/>
      <c r="G418" s="55"/>
      <c r="H418" s="29"/>
      <c r="I418" s="29"/>
      <c r="J418" s="29"/>
      <c r="K418" s="55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spans="1:31" ht="15.75" customHeight="1">
      <c r="A419" s="29"/>
      <c r="B419" s="152"/>
      <c r="C419" s="29"/>
      <c r="D419" s="32"/>
      <c r="E419" s="32"/>
      <c r="F419" s="55"/>
      <c r="G419" s="55"/>
      <c r="H419" s="29"/>
      <c r="I419" s="29"/>
      <c r="J419" s="29"/>
      <c r="K419" s="55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spans="1:31" ht="15.75" customHeight="1">
      <c r="A420" s="29"/>
      <c r="B420" s="152"/>
      <c r="C420" s="29"/>
      <c r="D420" s="32"/>
      <c r="E420" s="32"/>
      <c r="F420" s="55"/>
      <c r="G420" s="55"/>
      <c r="H420" s="29"/>
      <c r="I420" s="29"/>
      <c r="J420" s="29"/>
      <c r="K420" s="55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spans="1:31" ht="15.75" customHeight="1">
      <c r="A421" s="29"/>
      <c r="B421" s="152"/>
      <c r="C421" s="29"/>
      <c r="D421" s="32"/>
      <c r="E421" s="32"/>
      <c r="F421" s="55"/>
      <c r="G421" s="55"/>
      <c r="H421" s="29"/>
      <c r="I421" s="29"/>
      <c r="J421" s="29"/>
      <c r="K421" s="55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spans="1:31" ht="15.75" customHeight="1">
      <c r="A422" s="29"/>
      <c r="B422" s="152"/>
      <c r="C422" s="29"/>
      <c r="D422" s="32"/>
      <c r="E422" s="32"/>
      <c r="F422" s="55"/>
      <c r="G422" s="55"/>
      <c r="H422" s="29"/>
      <c r="I422" s="29"/>
      <c r="J422" s="29"/>
      <c r="K422" s="55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spans="1:31" ht="15.75" customHeight="1">
      <c r="A423" s="29"/>
      <c r="B423" s="152"/>
      <c r="C423" s="29"/>
      <c r="D423" s="32"/>
      <c r="E423" s="32"/>
      <c r="F423" s="55"/>
      <c r="G423" s="55"/>
      <c r="H423" s="29"/>
      <c r="I423" s="29"/>
      <c r="J423" s="29"/>
      <c r="K423" s="55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spans="1:31" ht="15.75" customHeight="1">
      <c r="A424" s="29"/>
      <c r="B424" s="152"/>
      <c r="C424" s="29"/>
      <c r="D424" s="32"/>
      <c r="E424" s="32"/>
      <c r="F424" s="55"/>
      <c r="G424" s="55"/>
      <c r="H424" s="29"/>
      <c r="I424" s="29"/>
      <c r="J424" s="29"/>
      <c r="K424" s="55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spans="1:31" ht="15.75" customHeight="1">
      <c r="A425" s="29"/>
      <c r="B425" s="152"/>
      <c r="C425" s="29"/>
      <c r="D425" s="32"/>
      <c r="E425" s="32"/>
      <c r="F425" s="55"/>
      <c r="G425" s="55"/>
      <c r="H425" s="29"/>
      <c r="I425" s="29"/>
      <c r="J425" s="29"/>
      <c r="K425" s="55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spans="1:31" ht="15.75" customHeight="1">
      <c r="A426" s="29"/>
      <c r="B426" s="152"/>
      <c r="C426" s="29"/>
      <c r="D426" s="32"/>
      <c r="E426" s="32"/>
      <c r="F426" s="55"/>
      <c r="G426" s="55"/>
      <c r="H426" s="29"/>
      <c r="I426" s="29"/>
      <c r="J426" s="29"/>
      <c r="K426" s="55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spans="1:31" ht="15.75" customHeight="1">
      <c r="A427" s="29"/>
      <c r="B427" s="152"/>
      <c r="C427" s="29"/>
      <c r="D427" s="32"/>
      <c r="E427" s="32"/>
      <c r="F427" s="55"/>
      <c r="G427" s="55"/>
      <c r="H427" s="29"/>
      <c r="I427" s="29"/>
      <c r="J427" s="29"/>
      <c r="K427" s="55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spans="1:31" ht="15.75" customHeight="1">
      <c r="A428" s="29"/>
      <c r="B428" s="152"/>
      <c r="C428" s="29"/>
      <c r="D428" s="32"/>
      <c r="E428" s="32"/>
      <c r="F428" s="55"/>
      <c r="G428" s="55"/>
      <c r="H428" s="29"/>
      <c r="I428" s="29"/>
      <c r="J428" s="29"/>
      <c r="K428" s="55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spans="1:31" ht="15.75" customHeight="1">
      <c r="A429" s="29"/>
      <c r="B429" s="152"/>
      <c r="C429" s="29"/>
      <c r="D429" s="32"/>
      <c r="E429" s="32"/>
      <c r="F429" s="55"/>
      <c r="G429" s="55"/>
      <c r="H429" s="29"/>
      <c r="I429" s="29"/>
      <c r="J429" s="29"/>
      <c r="K429" s="55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spans="1:31" ht="15.75" customHeight="1">
      <c r="A430" s="29"/>
      <c r="B430" s="152"/>
      <c r="C430" s="29"/>
      <c r="D430" s="32"/>
      <c r="E430" s="32"/>
      <c r="F430" s="55"/>
      <c r="G430" s="55"/>
      <c r="H430" s="29"/>
      <c r="I430" s="29"/>
      <c r="J430" s="29"/>
      <c r="K430" s="55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spans="1:31" ht="15.75" customHeight="1">
      <c r="A431" s="29"/>
      <c r="B431" s="152"/>
      <c r="C431" s="29"/>
      <c r="D431" s="32"/>
      <c r="E431" s="32"/>
      <c r="F431" s="55"/>
      <c r="G431" s="55"/>
      <c r="H431" s="29"/>
      <c r="I431" s="29"/>
      <c r="J431" s="29"/>
      <c r="K431" s="55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spans="1:31" ht="15.75" customHeight="1">
      <c r="A432" s="29"/>
      <c r="B432" s="152"/>
      <c r="C432" s="29"/>
      <c r="D432" s="32"/>
      <c r="E432" s="32"/>
      <c r="F432" s="55"/>
      <c r="G432" s="55"/>
      <c r="H432" s="29"/>
      <c r="I432" s="29"/>
      <c r="J432" s="29"/>
      <c r="K432" s="55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spans="1:31" ht="15.75" customHeight="1">
      <c r="A433" s="29"/>
      <c r="B433" s="152"/>
      <c r="C433" s="29"/>
      <c r="D433" s="32"/>
      <c r="E433" s="32"/>
      <c r="F433" s="55"/>
      <c r="G433" s="55"/>
      <c r="H433" s="29"/>
      <c r="I433" s="29"/>
      <c r="J433" s="29"/>
      <c r="K433" s="55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spans="1:31" ht="15.75" customHeight="1">
      <c r="A434" s="29"/>
      <c r="B434" s="152"/>
      <c r="C434" s="29"/>
      <c r="D434" s="32"/>
      <c r="E434" s="32"/>
      <c r="F434" s="55"/>
      <c r="G434" s="55"/>
      <c r="H434" s="29"/>
      <c r="I434" s="29"/>
      <c r="J434" s="29"/>
      <c r="K434" s="55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spans="1:31" ht="15.75" customHeight="1">
      <c r="A435" s="29"/>
      <c r="B435" s="152"/>
      <c r="C435" s="29"/>
      <c r="D435" s="32"/>
      <c r="E435" s="32"/>
      <c r="F435" s="55"/>
      <c r="G435" s="55"/>
      <c r="H435" s="29"/>
      <c r="I435" s="29"/>
      <c r="J435" s="29"/>
      <c r="K435" s="55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spans="1:31" ht="15.75" customHeight="1">
      <c r="A436" s="29"/>
      <c r="B436" s="152"/>
      <c r="C436" s="29"/>
      <c r="D436" s="32"/>
      <c r="E436" s="32"/>
      <c r="F436" s="55"/>
      <c r="G436" s="55"/>
      <c r="H436" s="29"/>
      <c r="I436" s="29"/>
      <c r="J436" s="29"/>
      <c r="K436" s="55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spans="1:31" ht="15.75" customHeight="1">
      <c r="A437" s="29"/>
      <c r="B437" s="152"/>
      <c r="C437" s="29"/>
      <c r="D437" s="32"/>
      <c r="E437" s="32"/>
      <c r="F437" s="55"/>
      <c r="G437" s="55"/>
      <c r="H437" s="29"/>
      <c r="I437" s="29"/>
      <c r="J437" s="29"/>
      <c r="K437" s="55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spans="1:31" ht="15.75" customHeight="1">
      <c r="A438" s="29"/>
      <c r="B438" s="152"/>
      <c r="C438" s="29"/>
      <c r="D438" s="32"/>
      <c r="E438" s="32"/>
      <c r="F438" s="55"/>
      <c r="G438" s="55"/>
      <c r="H438" s="29"/>
      <c r="I438" s="29"/>
      <c r="J438" s="29"/>
      <c r="K438" s="55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spans="1:31" ht="15.75" customHeight="1">
      <c r="A439" s="29"/>
      <c r="B439" s="152"/>
      <c r="C439" s="29"/>
      <c r="D439" s="32"/>
      <c r="E439" s="32"/>
      <c r="F439" s="55"/>
      <c r="G439" s="55"/>
      <c r="H439" s="29"/>
      <c r="I439" s="29"/>
      <c r="J439" s="29"/>
      <c r="K439" s="55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spans="1:31" ht="15.75" customHeight="1">
      <c r="A440" s="29"/>
      <c r="B440" s="152"/>
      <c r="C440" s="29"/>
      <c r="D440" s="32"/>
      <c r="E440" s="32"/>
      <c r="F440" s="55"/>
      <c r="G440" s="55"/>
      <c r="H440" s="29"/>
      <c r="I440" s="29"/>
      <c r="J440" s="29"/>
      <c r="K440" s="55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spans="1:31" ht="15.75" customHeight="1">
      <c r="A441" s="29"/>
      <c r="B441" s="152"/>
      <c r="C441" s="29"/>
      <c r="D441" s="32"/>
      <c r="E441" s="32"/>
      <c r="F441" s="55"/>
      <c r="G441" s="55"/>
      <c r="H441" s="29"/>
      <c r="I441" s="29"/>
      <c r="J441" s="29"/>
      <c r="K441" s="55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spans="1:31" ht="15.75" customHeight="1">
      <c r="A442" s="29"/>
      <c r="B442" s="152"/>
      <c r="C442" s="29"/>
      <c r="D442" s="32"/>
      <c r="E442" s="32"/>
      <c r="F442" s="55"/>
      <c r="G442" s="55"/>
      <c r="H442" s="29"/>
      <c r="I442" s="29"/>
      <c r="J442" s="29"/>
      <c r="K442" s="55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spans="1:31" ht="15.75" customHeight="1">
      <c r="A443" s="29"/>
      <c r="B443" s="152"/>
      <c r="C443" s="29"/>
      <c r="D443" s="32"/>
      <c r="E443" s="32"/>
      <c r="F443" s="55"/>
      <c r="G443" s="55"/>
      <c r="H443" s="29"/>
      <c r="I443" s="29"/>
      <c r="J443" s="29"/>
      <c r="K443" s="55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spans="1:31" ht="15.75" customHeight="1">
      <c r="A444" s="29"/>
      <c r="B444" s="152"/>
      <c r="C444" s="29"/>
      <c r="D444" s="32"/>
      <c r="E444" s="32"/>
      <c r="F444" s="55"/>
      <c r="G444" s="55"/>
      <c r="H444" s="29"/>
      <c r="I444" s="29"/>
      <c r="J444" s="29"/>
      <c r="K444" s="55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spans="1:31" ht="15.75" customHeight="1">
      <c r="A445" s="29"/>
      <c r="B445" s="152"/>
      <c r="C445" s="29"/>
      <c r="D445" s="32"/>
      <c r="E445" s="32"/>
      <c r="F445" s="55"/>
      <c r="G445" s="55"/>
      <c r="H445" s="29"/>
      <c r="I445" s="29"/>
      <c r="J445" s="29"/>
      <c r="K445" s="55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spans="1:31" ht="15.75" customHeight="1">
      <c r="A446" s="29"/>
      <c r="B446" s="152"/>
      <c r="C446" s="29"/>
      <c r="D446" s="32"/>
      <c r="E446" s="32"/>
      <c r="F446" s="55"/>
      <c r="G446" s="55"/>
      <c r="H446" s="29"/>
      <c r="I446" s="29"/>
      <c r="J446" s="29"/>
      <c r="K446" s="55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spans="1:31" ht="15.75" customHeight="1">
      <c r="A447" s="29"/>
      <c r="B447" s="152"/>
      <c r="C447" s="29"/>
      <c r="D447" s="32"/>
      <c r="E447" s="32"/>
      <c r="F447" s="55"/>
      <c r="G447" s="55"/>
      <c r="H447" s="29"/>
      <c r="I447" s="29"/>
      <c r="J447" s="29"/>
      <c r="K447" s="55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spans="1:31" ht="15.75" customHeight="1">
      <c r="A448" s="29"/>
      <c r="B448" s="152"/>
      <c r="C448" s="29"/>
      <c r="D448" s="32"/>
      <c r="E448" s="32"/>
      <c r="F448" s="55"/>
      <c r="G448" s="55"/>
      <c r="H448" s="29"/>
      <c r="I448" s="29"/>
      <c r="J448" s="29"/>
      <c r="K448" s="55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spans="1:31" ht="15.75" customHeight="1">
      <c r="A449" s="29"/>
      <c r="B449" s="152"/>
      <c r="C449" s="29"/>
      <c r="D449" s="32"/>
      <c r="E449" s="32"/>
      <c r="F449" s="55"/>
      <c r="G449" s="55"/>
      <c r="H449" s="29"/>
      <c r="I449" s="29"/>
      <c r="J449" s="29"/>
      <c r="K449" s="55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spans="1:31" ht="15.75" customHeight="1">
      <c r="A450" s="29"/>
      <c r="B450" s="152"/>
      <c r="C450" s="29"/>
      <c r="D450" s="32"/>
      <c r="E450" s="32"/>
      <c r="F450" s="55"/>
      <c r="G450" s="55"/>
      <c r="H450" s="29"/>
      <c r="I450" s="29"/>
      <c r="J450" s="29"/>
      <c r="K450" s="55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spans="1:31" ht="15.75" customHeight="1">
      <c r="A451" s="29"/>
      <c r="B451" s="152"/>
      <c r="C451" s="29"/>
      <c r="D451" s="32"/>
      <c r="E451" s="32"/>
      <c r="F451" s="55"/>
      <c r="G451" s="55"/>
      <c r="H451" s="29"/>
      <c r="I451" s="29"/>
      <c r="J451" s="29"/>
      <c r="K451" s="55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spans="1:31" ht="15.75" customHeight="1">
      <c r="A452" s="29"/>
      <c r="B452" s="152"/>
      <c r="C452" s="29"/>
      <c r="D452" s="32"/>
      <c r="E452" s="32"/>
      <c r="F452" s="55"/>
      <c r="G452" s="55"/>
      <c r="H452" s="29"/>
      <c r="I452" s="29"/>
      <c r="J452" s="29"/>
      <c r="K452" s="55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spans="1:31" ht="15.75" customHeight="1">
      <c r="A453" s="29"/>
      <c r="B453" s="152"/>
      <c r="C453" s="29"/>
      <c r="D453" s="32"/>
      <c r="E453" s="32"/>
      <c r="F453" s="55"/>
      <c r="G453" s="55"/>
      <c r="H453" s="29"/>
      <c r="I453" s="29"/>
      <c r="J453" s="29"/>
      <c r="K453" s="55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spans="1:31" ht="15.75" customHeight="1">
      <c r="A454" s="29"/>
      <c r="B454" s="152"/>
      <c r="C454" s="29"/>
      <c r="D454" s="32"/>
      <c r="E454" s="32"/>
      <c r="F454" s="55"/>
      <c r="G454" s="55"/>
      <c r="H454" s="29"/>
      <c r="I454" s="29"/>
      <c r="J454" s="29"/>
      <c r="K454" s="55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spans="1:31" ht="15.75" customHeight="1">
      <c r="A455" s="29"/>
      <c r="B455" s="152"/>
      <c r="C455" s="29"/>
      <c r="D455" s="32"/>
      <c r="E455" s="32"/>
      <c r="F455" s="55"/>
      <c r="G455" s="55"/>
      <c r="H455" s="29"/>
      <c r="I455" s="29"/>
      <c r="J455" s="29"/>
      <c r="K455" s="55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spans="1:31" ht="15.75" customHeight="1">
      <c r="A456" s="29"/>
      <c r="B456" s="152"/>
      <c r="C456" s="29"/>
      <c r="D456" s="32"/>
      <c r="E456" s="32"/>
      <c r="F456" s="55"/>
      <c r="G456" s="55"/>
      <c r="H456" s="29"/>
      <c r="I456" s="29"/>
      <c r="J456" s="29"/>
      <c r="K456" s="55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spans="1:31" ht="15.75" customHeight="1">
      <c r="A457" s="29"/>
      <c r="B457" s="152"/>
      <c r="C457" s="29"/>
      <c r="D457" s="32"/>
      <c r="E457" s="32"/>
      <c r="F457" s="55"/>
      <c r="G457" s="55"/>
      <c r="H457" s="29"/>
      <c r="I457" s="29"/>
      <c r="J457" s="29"/>
      <c r="K457" s="55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spans="1:31" ht="15.75" customHeight="1">
      <c r="A458" s="29"/>
      <c r="B458" s="152"/>
      <c r="C458" s="29"/>
      <c r="D458" s="32"/>
      <c r="E458" s="32"/>
      <c r="F458" s="55"/>
      <c r="G458" s="55"/>
      <c r="H458" s="29"/>
      <c r="I458" s="29"/>
      <c r="J458" s="29"/>
      <c r="K458" s="55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spans="1:31" ht="15.75" customHeight="1">
      <c r="A459" s="29"/>
      <c r="B459" s="152"/>
      <c r="C459" s="29"/>
      <c r="D459" s="32"/>
      <c r="E459" s="32"/>
      <c r="F459" s="55"/>
      <c r="G459" s="55"/>
      <c r="H459" s="29"/>
      <c r="I459" s="29"/>
      <c r="J459" s="29"/>
      <c r="K459" s="55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spans="1:31" ht="15.75" customHeight="1">
      <c r="A460" s="29"/>
      <c r="B460" s="152"/>
      <c r="C460" s="29"/>
      <c r="D460" s="32"/>
      <c r="E460" s="32"/>
      <c r="F460" s="55"/>
      <c r="G460" s="55"/>
      <c r="H460" s="29"/>
      <c r="I460" s="29"/>
      <c r="J460" s="29"/>
      <c r="K460" s="55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spans="1:31" ht="15.75" customHeight="1">
      <c r="A461" s="29"/>
      <c r="B461" s="152"/>
      <c r="C461" s="29"/>
      <c r="D461" s="32"/>
      <c r="E461" s="32"/>
      <c r="F461" s="55"/>
      <c r="G461" s="55"/>
      <c r="H461" s="29"/>
      <c r="I461" s="29"/>
      <c r="J461" s="29"/>
      <c r="K461" s="55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spans="1:31" ht="15.75" customHeight="1">
      <c r="A462" s="29"/>
      <c r="B462" s="152"/>
      <c r="C462" s="29"/>
      <c r="D462" s="32"/>
      <c r="E462" s="32"/>
      <c r="F462" s="55"/>
      <c r="G462" s="55"/>
      <c r="H462" s="29"/>
      <c r="I462" s="29"/>
      <c r="J462" s="29"/>
      <c r="K462" s="55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spans="1:31" ht="15.75" customHeight="1">
      <c r="A463" s="29"/>
      <c r="B463" s="152"/>
      <c r="C463" s="29"/>
      <c r="D463" s="32"/>
      <c r="E463" s="32"/>
      <c r="F463" s="55"/>
      <c r="G463" s="55"/>
      <c r="H463" s="29"/>
      <c r="I463" s="29"/>
      <c r="J463" s="29"/>
      <c r="K463" s="55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spans="1:31" ht="15.75" customHeight="1">
      <c r="A464" s="29"/>
      <c r="B464" s="152"/>
      <c r="C464" s="29"/>
      <c r="D464" s="32"/>
      <c r="E464" s="32"/>
      <c r="F464" s="55"/>
      <c r="G464" s="55"/>
      <c r="H464" s="29"/>
      <c r="I464" s="29"/>
      <c r="J464" s="29"/>
      <c r="K464" s="55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spans="1:31" ht="15.75" customHeight="1">
      <c r="A465" s="29"/>
      <c r="B465" s="152"/>
      <c r="C465" s="29"/>
      <c r="D465" s="32"/>
      <c r="E465" s="32"/>
      <c r="F465" s="55"/>
      <c r="G465" s="55"/>
      <c r="H465" s="29"/>
      <c r="I465" s="29"/>
      <c r="J465" s="29"/>
      <c r="K465" s="55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spans="1:31" ht="15.75" customHeight="1">
      <c r="A466" s="29"/>
      <c r="B466" s="152"/>
      <c r="C466" s="29"/>
      <c r="D466" s="32"/>
      <c r="E466" s="32"/>
      <c r="F466" s="55"/>
      <c r="G466" s="55"/>
      <c r="H466" s="29"/>
      <c r="I466" s="29"/>
      <c r="J466" s="29"/>
      <c r="K466" s="55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spans="1:31" ht="15.75" customHeight="1">
      <c r="A467" s="29"/>
      <c r="B467" s="152"/>
      <c r="C467" s="29"/>
      <c r="D467" s="32"/>
      <c r="E467" s="32"/>
      <c r="F467" s="55"/>
      <c r="G467" s="55"/>
      <c r="H467" s="29"/>
      <c r="I467" s="29"/>
      <c r="J467" s="29"/>
      <c r="K467" s="55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spans="1:31" ht="15.75" customHeight="1">
      <c r="A468" s="29"/>
      <c r="B468" s="152"/>
      <c r="C468" s="29"/>
      <c r="D468" s="32"/>
      <c r="E468" s="32"/>
      <c r="F468" s="55"/>
      <c r="G468" s="55"/>
      <c r="H468" s="29"/>
      <c r="I468" s="29"/>
      <c r="J468" s="29"/>
      <c r="K468" s="55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spans="1:31" ht="15.75" customHeight="1">
      <c r="A469" s="29"/>
      <c r="B469" s="152"/>
      <c r="C469" s="29"/>
      <c r="D469" s="32"/>
      <c r="E469" s="32"/>
      <c r="F469" s="55"/>
      <c r="G469" s="55"/>
      <c r="H469" s="29"/>
      <c r="I469" s="29"/>
      <c r="J469" s="29"/>
      <c r="K469" s="55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spans="1:31" ht="15.75" customHeight="1">
      <c r="A470" s="29"/>
      <c r="B470" s="152"/>
      <c r="C470" s="29"/>
      <c r="D470" s="32"/>
      <c r="E470" s="32"/>
      <c r="F470" s="55"/>
      <c r="G470" s="55"/>
      <c r="H470" s="29"/>
      <c r="I470" s="29"/>
      <c r="J470" s="29"/>
      <c r="K470" s="55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pans="1:31" ht="15.75" customHeight="1">
      <c r="A471" s="29"/>
      <c r="B471" s="152"/>
      <c r="C471" s="29"/>
      <c r="D471" s="32"/>
      <c r="E471" s="32"/>
      <c r="F471" s="55"/>
      <c r="G471" s="55"/>
      <c r="H471" s="29"/>
      <c r="I471" s="29"/>
      <c r="J471" s="29"/>
      <c r="K471" s="55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pans="1:31" ht="15.75" customHeight="1">
      <c r="A472" s="29"/>
      <c r="B472" s="152"/>
      <c r="C472" s="29"/>
      <c r="D472" s="32"/>
      <c r="E472" s="32"/>
      <c r="F472" s="55"/>
      <c r="G472" s="55"/>
      <c r="H472" s="29"/>
      <c r="I472" s="29"/>
      <c r="J472" s="29"/>
      <c r="K472" s="55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pans="1:31" ht="15.75" customHeight="1">
      <c r="A473" s="29"/>
      <c r="B473" s="152"/>
      <c r="C473" s="29"/>
      <c r="D473" s="32"/>
      <c r="E473" s="32"/>
      <c r="F473" s="55"/>
      <c r="G473" s="55"/>
      <c r="H473" s="29"/>
      <c r="I473" s="29"/>
      <c r="J473" s="29"/>
      <c r="K473" s="55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pans="1:31" ht="15.75" customHeight="1">
      <c r="A474" s="29"/>
      <c r="B474" s="152"/>
      <c r="C474" s="29"/>
      <c r="D474" s="32"/>
      <c r="E474" s="32"/>
      <c r="F474" s="55"/>
      <c r="G474" s="55"/>
      <c r="H474" s="29"/>
      <c r="I474" s="29"/>
      <c r="J474" s="29"/>
      <c r="K474" s="55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pans="1:31" ht="15.75" customHeight="1">
      <c r="A475" s="29"/>
      <c r="B475" s="152"/>
      <c r="C475" s="29"/>
      <c r="D475" s="32"/>
      <c r="E475" s="32"/>
      <c r="F475" s="55"/>
      <c r="G475" s="55"/>
      <c r="H475" s="29"/>
      <c r="I475" s="29"/>
      <c r="J475" s="29"/>
      <c r="K475" s="55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pans="1:31" ht="15.75" customHeight="1">
      <c r="A476" s="29"/>
      <c r="B476" s="152"/>
      <c r="C476" s="29"/>
      <c r="D476" s="32"/>
      <c r="E476" s="32"/>
      <c r="F476" s="55"/>
      <c r="G476" s="55"/>
      <c r="H476" s="29"/>
      <c r="I476" s="29"/>
      <c r="J476" s="29"/>
      <c r="K476" s="55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pans="1:31" ht="15.75" customHeight="1">
      <c r="A477" s="29"/>
      <c r="B477" s="152"/>
      <c r="C477" s="29"/>
      <c r="D477" s="32"/>
      <c r="E477" s="32"/>
      <c r="F477" s="55"/>
      <c r="G477" s="55"/>
      <c r="H477" s="29"/>
      <c r="I477" s="29"/>
      <c r="J477" s="29"/>
      <c r="K477" s="55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pans="1:31" ht="15.75" customHeight="1">
      <c r="A478" s="29"/>
      <c r="B478" s="152"/>
      <c r="C478" s="29"/>
      <c r="D478" s="32"/>
      <c r="E478" s="32"/>
      <c r="F478" s="55"/>
      <c r="G478" s="55"/>
      <c r="H478" s="29"/>
      <c r="I478" s="29"/>
      <c r="J478" s="29"/>
      <c r="K478" s="55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spans="1:31" ht="15.75" customHeight="1">
      <c r="A479" s="29"/>
      <c r="B479" s="152"/>
      <c r="C479" s="29"/>
      <c r="D479" s="32"/>
      <c r="E479" s="32"/>
      <c r="F479" s="55"/>
      <c r="G479" s="55"/>
      <c r="H479" s="29"/>
      <c r="I479" s="29"/>
      <c r="J479" s="29"/>
      <c r="K479" s="55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spans="1:31" ht="15.75" customHeight="1">
      <c r="A480" s="29"/>
      <c r="B480" s="152"/>
      <c r="C480" s="29"/>
      <c r="D480" s="32"/>
      <c r="E480" s="32"/>
      <c r="F480" s="55"/>
      <c r="G480" s="55"/>
      <c r="H480" s="29"/>
      <c r="I480" s="29"/>
      <c r="J480" s="29"/>
      <c r="K480" s="55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spans="1:31" ht="15.75" customHeight="1">
      <c r="A481" s="29"/>
      <c r="B481" s="152"/>
      <c r="C481" s="29"/>
      <c r="D481" s="32"/>
      <c r="E481" s="32"/>
      <c r="F481" s="55"/>
      <c r="G481" s="55"/>
      <c r="H481" s="29"/>
      <c r="I481" s="29"/>
      <c r="J481" s="29"/>
      <c r="K481" s="55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spans="1:31" ht="15.75" customHeight="1">
      <c r="A482" s="29"/>
      <c r="B482" s="152"/>
      <c r="C482" s="29"/>
      <c r="D482" s="32"/>
      <c r="E482" s="32"/>
      <c r="F482" s="55"/>
      <c r="G482" s="55"/>
      <c r="H482" s="29"/>
      <c r="I482" s="29"/>
      <c r="J482" s="29"/>
      <c r="K482" s="55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spans="1:31" ht="15.75" customHeight="1">
      <c r="A483" s="29"/>
      <c r="B483" s="152"/>
      <c r="C483" s="29"/>
      <c r="D483" s="32"/>
      <c r="E483" s="32"/>
      <c r="F483" s="55"/>
      <c r="G483" s="55"/>
      <c r="H483" s="29"/>
      <c r="I483" s="29"/>
      <c r="J483" s="29"/>
      <c r="K483" s="55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spans="1:31" ht="15.75" customHeight="1">
      <c r="A484" s="29"/>
      <c r="B484" s="152"/>
      <c r="C484" s="29"/>
      <c r="D484" s="32"/>
      <c r="E484" s="32"/>
      <c r="F484" s="55"/>
      <c r="G484" s="55"/>
      <c r="H484" s="29"/>
      <c r="I484" s="29"/>
      <c r="J484" s="29"/>
      <c r="K484" s="55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spans="1:31" ht="15.75" customHeight="1">
      <c r="A485" s="29"/>
      <c r="B485" s="152"/>
      <c r="C485" s="29"/>
      <c r="D485" s="32"/>
      <c r="E485" s="32"/>
      <c r="F485" s="55"/>
      <c r="G485" s="55"/>
      <c r="H485" s="29"/>
      <c r="I485" s="29"/>
      <c r="J485" s="29"/>
      <c r="K485" s="55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spans="1:31" ht="15.75" customHeight="1">
      <c r="A486" s="29"/>
      <c r="B486" s="152"/>
      <c r="C486" s="29"/>
      <c r="D486" s="32"/>
      <c r="E486" s="32"/>
      <c r="F486" s="55"/>
      <c r="G486" s="55"/>
      <c r="H486" s="29"/>
      <c r="I486" s="29"/>
      <c r="J486" s="29"/>
      <c r="K486" s="55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spans="1:31" ht="15.75" customHeight="1">
      <c r="A487" s="29"/>
      <c r="B487" s="152"/>
      <c r="C487" s="29"/>
      <c r="D487" s="32"/>
      <c r="E487" s="32"/>
      <c r="F487" s="55"/>
      <c r="G487" s="55"/>
      <c r="H487" s="29"/>
      <c r="I487" s="29"/>
      <c r="J487" s="29"/>
      <c r="K487" s="55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spans="1:31" ht="15.75" customHeight="1">
      <c r="A488" s="29"/>
      <c r="B488" s="152"/>
      <c r="C488" s="29"/>
      <c r="D488" s="32"/>
      <c r="E488" s="32"/>
      <c r="F488" s="55"/>
      <c r="G488" s="55"/>
      <c r="H488" s="29"/>
      <c r="I488" s="29"/>
      <c r="J488" s="29"/>
      <c r="K488" s="55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spans="1:31" ht="15.75" customHeight="1">
      <c r="A489" s="29"/>
      <c r="B489" s="152"/>
      <c r="C489" s="29"/>
      <c r="D489" s="32"/>
      <c r="E489" s="32"/>
      <c r="F489" s="55"/>
      <c r="G489" s="55"/>
      <c r="H489" s="29"/>
      <c r="I489" s="29"/>
      <c r="J489" s="29"/>
      <c r="K489" s="55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spans="1:31" ht="15.75" customHeight="1">
      <c r="A490" s="29"/>
      <c r="B490" s="152"/>
      <c r="C490" s="29"/>
      <c r="D490" s="32"/>
      <c r="E490" s="32"/>
      <c r="F490" s="55"/>
      <c r="G490" s="55"/>
      <c r="H490" s="29"/>
      <c r="I490" s="29"/>
      <c r="J490" s="29"/>
      <c r="K490" s="55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spans="1:31" ht="15.75" customHeight="1">
      <c r="A491" s="29"/>
      <c r="B491" s="152"/>
      <c r="C491" s="29"/>
      <c r="D491" s="32"/>
      <c r="E491" s="32"/>
      <c r="F491" s="55"/>
      <c r="G491" s="55"/>
      <c r="H491" s="29"/>
      <c r="I491" s="29"/>
      <c r="J491" s="29"/>
      <c r="K491" s="55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spans="1:31" ht="15.75" customHeight="1">
      <c r="A492" s="29"/>
      <c r="B492" s="152"/>
      <c r="C492" s="29"/>
      <c r="D492" s="32"/>
      <c r="E492" s="32"/>
      <c r="F492" s="55"/>
      <c r="G492" s="55"/>
      <c r="H492" s="29"/>
      <c r="I492" s="29"/>
      <c r="J492" s="29"/>
      <c r="K492" s="55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spans="1:31" ht="15.75" customHeight="1">
      <c r="A493" s="29"/>
      <c r="B493" s="152"/>
      <c r="C493" s="29"/>
      <c r="D493" s="32"/>
      <c r="E493" s="32"/>
      <c r="F493" s="55"/>
      <c r="G493" s="55"/>
      <c r="H493" s="29"/>
      <c r="I493" s="29"/>
      <c r="J493" s="29"/>
      <c r="K493" s="55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spans="1:31" ht="15.75" customHeight="1">
      <c r="A494" s="29"/>
      <c r="B494" s="152"/>
      <c r="C494" s="29"/>
      <c r="D494" s="32"/>
      <c r="E494" s="32"/>
      <c r="F494" s="55"/>
      <c r="G494" s="55"/>
      <c r="H494" s="29"/>
      <c r="I494" s="29"/>
      <c r="J494" s="29"/>
      <c r="K494" s="55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spans="1:31" ht="15.75" customHeight="1">
      <c r="A495" s="29"/>
      <c r="B495" s="152"/>
      <c r="C495" s="29"/>
      <c r="D495" s="32"/>
      <c r="E495" s="32"/>
      <c r="F495" s="55"/>
      <c r="G495" s="55"/>
      <c r="H495" s="29"/>
      <c r="I495" s="29"/>
      <c r="J495" s="29"/>
      <c r="K495" s="55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spans="1:31" ht="15.75" customHeight="1">
      <c r="A496" s="29"/>
      <c r="B496" s="152"/>
      <c r="C496" s="29"/>
      <c r="D496" s="32"/>
      <c r="E496" s="32"/>
      <c r="F496" s="55"/>
      <c r="G496" s="55"/>
      <c r="H496" s="29"/>
      <c r="I496" s="29"/>
      <c r="J496" s="29"/>
      <c r="K496" s="55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spans="1:31" ht="15.75" customHeight="1">
      <c r="A497" s="29"/>
      <c r="B497" s="152"/>
      <c r="C497" s="29"/>
      <c r="D497" s="32"/>
      <c r="E497" s="32"/>
      <c r="F497" s="55"/>
      <c r="G497" s="55"/>
      <c r="H497" s="29"/>
      <c r="I497" s="29"/>
      <c r="J497" s="29"/>
      <c r="K497" s="55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spans="1:31" ht="15.75" customHeight="1">
      <c r="A498" s="29"/>
      <c r="B498" s="152"/>
      <c r="C498" s="29"/>
      <c r="D498" s="32"/>
      <c r="E498" s="32"/>
      <c r="F498" s="55"/>
      <c r="G498" s="55"/>
      <c r="H498" s="29"/>
      <c r="I498" s="29"/>
      <c r="J498" s="29"/>
      <c r="K498" s="55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spans="1:31" ht="15.75" customHeight="1">
      <c r="A499" s="29"/>
      <c r="B499" s="152"/>
      <c r="C499" s="29"/>
      <c r="D499" s="32"/>
      <c r="E499" s="32"/>
      <c r="F499" s="55"/>
      <c r="G499" s="55"/>
      <c r="H499" s="29"/>
      <c r="I499" s="29"/>
      <c r="J499" s="29"/>
      <c r="K499" s="55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spans="1:31" ht="15.75" customHeight="1">
      <c r="A500" s="29"/>
      <c r="B500" s="152"/>
      <c r="C500" s="29"/>
      <c r="D500" s="32"/>
      <c r="E500" s="32"/>
      <c r="F500" s="55"/>
      <c r="G500" s="55"/>
      <c r="H500" s="29"/>
      <c r="I500" s="29"/>
      <c r="J500" s="29"/>
      <c r="K500" s="55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spans="1:31" ht="15.75" customHeight="1">
      <c r="A501" s="29"/>
      <c r="B501" s="152"/>
      <c r="C501" s="29"/>
      <c r="D501" s="32"/>
      <c r="E501" s="32"/>
      <c r="F501" s="55"/>
      <c r="G501" s="55"/>
      <c r="H501" s="29"/>
      <c r="I501" s="29"/>
      <c r="J501" s="29"/>
      <c r="K501" s="55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spans="1:31" ht="15.75" customHeight="1">
      <c r="A502" s="29"/>
      <c r="B502" s="152"/>
      <c r="C502" s="29"/>
      <c r="D502" s="32"/>
      <c r="E502" s="32"/>
      <c r="F502" s="55"/>
      <c r="G502" s="55"/>
      <c r="H502" s="29"/>
      <c r="I502" s="29"/>
      <c r="J502" s="29"/>
      <c r="K502" s="55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spans="1:31" ht="15.75" customHeight="1">
      <c r="A503" s="29"/>
      <c r="B503" s="152"/>
      <c r="C503" s="29"/>
      <c r="D503" s="32"/>
      <c r="E503" s="32"/>
      <c r="F503" s="55"/>
      <c r="G503" s="55"/>
      <c r="H503" s="29"/>
      <c r="I503" s="29"/>
      <c r="J503" s="29"/>
      <c r="K503" s="55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spans="1:31" ht="15.75" customHeight="1">
      <c r="A504" s="29"/>
      <c r="B504" s="152"/>
      <c r="C504" s="29"/>
      <c r="D504" s="32"/>
      <c r="E504" s="32"/>
      <c r="F504" s="55"/>
      <c r="G504" s="55"/>
      <c r="H504" s="29"/>
      <c r="I504" s="29"/>
      <c r="J504" s="29"/>
      <c r="K504" s="55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spans="1:31" ht="15.75" customHeight="1">
      <c r="A505" s="29"/>
      <c r="B505" s="152"/>
      <c r="C505" s="29"/>
      <c r="D505" s="32"/>
      <c r="E505" s="32"/>
      <c r="F505" s="55"/>
      <c r="G505" s="55"/>
      <c r="H505" s="29"/>
      <c r="I505" s="29"/>
      <c r="J505" s="29"/>
      <c r="K505" s="55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spans="1:31" ht="15.75" customHeight="1">
      <c r="A506" s="29"/>
      <c r="B506" s="152"/>
      <c r="C506" s="29"/>
      <c r="D506" s="32"/>
      <c r="E506" s="32"/>
      <c r="F506" s="55"/>
      <c r="G506" s="55"/>
      <c r="H506" s="29"/>
      <c r="I506" s="29"/>
      <c r="J506" s="29"/>
      <c r="K506" s="55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spans="1:31" ht="15.75" customHeight="1">
      <c r="A507" s="29"/>
      <c r="B507" s="152"/>
      <c r="C507" s="29"/>
      <c r="D507" s="32"/>
      <c r="E507" s="32"/>
      <c r="F507" s="55"/>
      <c r="G507" s="55"/>
      <c r="H507" s="29"/>
      <c r="I507" s="29"/>
      <c r="J507" s="29"/>
      <c r="K507" s="55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spans="1:31" ht="15.75" customHeight="1">
      <c r="A508" s="29"/>
      <c r="B508" s="152"/>
      <c r="C508" s="29"/>
      <c r="D508" s="32"/>
      <c r="E508" s="32"/>
      <c r="F508" s="55"/>
      <c r="G508" s="55"/>
      <c r="H508" s="29"/>
      <c r="I508" s="29"/>
      <c r="J508" s="29"/>
      <c r="K508" s="55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spans="1:31" ht="15.75" customHeight="1">
      <c r="A509" s="29"/>
      <c r="B509" s="152"/>
      <c r="C509" s="29"/>
      <c r="D509" s="32"/>
      <c r="E509" s="32"/>
      <c r="F509" s="55"/>
      <c r="G509" s="55"/>
      <c r="H509" s="29"/>
      <c r="I509" s="29"/>
      <c r="J509" s="29"/>
      <c r="K509" s="55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spans="1:31" ht="15.75" customHeight="1">
      <c r="A510" s="29"/>
      <c r="B510" s="152"/>
      <c r="C510" s="29"/>
      <c r="D510" s="32"/>
      <c r="E510" s="32"/>
      <c r="F510" s="55"/>
      <c r="G510" s="55"/>
      <c r="H510" s="29"/>
      <c r="I510" s="29"/>
      <c r="J510" s="29"/>
      <c r="K510" s="55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spans="1:31" ht="15.75" customHeight="1">
      <c r="A511" s="29"/>
      <c r="B511" s="152"/>
      <c r="C511" s="29"/>
      <c r="D511" s="32"/>
      <c r="E511" s="32"/>
      <c r="F511" s="55"/>
      <c r="G511" s="55"/>
      <c r="H511" s="29"/>
      <c r="I511" s="29"/>
      <c r="J511" s="29"/>
      <c r="K511" s="55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spans="1:31" ht="15.75" customHeight="1">
      <c r="A512" s="29"/>
      <c r="B512" s="152"/>
      <c r="C512" s="29"/>
      <c r="D512" s="32"/>
      <c r="E512" s="32"/>
      <c r="F512" s="55"/>
      <c r="G512" s="55"/>
      <c r="H512" s="29"/>
      <c r="I512" s="29"/>
      <c r="J512" s="29"/>
      <c r="K512" s="55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spans="1:31" ht="15.75" customHeight="1">
      <c r="A513" s="29"/>
      <c r="B513" s="152"/>
      <c r="C513" s="29"/>
      <c r="D513" s="32"/>
      <c r="E513" s="32"/>
      <c r="F513" s="55"/>
      <c r="G513" s="55"/>
      <c r="H513" s="29"/>
      <c r="I513" s="29"/>
      <c r="J513" s="29"/>
      <c r="K513" s="55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spans="1:31" ht="15.75" customHeight="1">
      <c r="A514" s="29"/>
      <c r="B514" s="152"/>
      <c r="C514" s="29"/>
      <c r="D514" s="32"/>
      <c r="E514" s="32"/>
      <c r="F514" s="55"/>
      <c r="G514" s="55"/>
      <c r="H514" s="29"/>
      <c r="I514" s="29"/>
      <c r="J514" s="29"/>
      <c r="K514" s="55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spans="1:31" ht="15.75" customHeight="1">
      <c r="A515" s="29"/>
      <c r="B515" s="152"/>
      <c r="C515" s="29"/>
      <c r="D515" s="32"/>
      <c r="E515" s="32"/>
      <c r="F515" s="55"/>
      <c r="G515" s="55"/>
      <c r="H515" s="29"/>
      <c r="I515" s="29"/>
      <c r="J515" s="29"/>
      <c r="K515" s="55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spans="1:31" ht="15.75" customHeight="1">
      <c r="A516" s="29"/>
      <c r="B516" s="152"/>
      <c r="C516" s="29"/>
      <c r="D516" s="32"/>
      <c r="E516" s="32"/>
      <c r="F516" s="55"/>
      <c r="G516" s="55"/>
      <c r="H516" s="29"/>
      <c r="I516" s="29"/>
      <c r="J516" s="29"/>
      <c r="K516" s="55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spans="1:31" ht="15.75" customHeight="1">
      <c r="A517" s="29"/>
      <c r="B517" s="152"/>
      <c r="C517" s="29"/>
      <c r="D517" s="32"/>
      <c r="E517" s="32"/>
      <c r="F517" s="55"/>
      <c r="G517" s="55"/>
      <c r="H517" s="29"/>
      <c r="I517" s="29"/>
      <c r="J517" s="29"/>
      <c r="K517" s="55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spans="1:31" ht="15.75" customHeight="1">
      <c r="A518" s="29"/>
      <c r="B518" s="152"/>
      <c r="C518" s="29"/>
      <c r="D518" s="32"/>
      <c r="E518" s="32"/>
      <c r="F518" s="55"/>
      <c r="G518" s="55"/>
      <c r="H518" s="29"/>
      <c r="I518" s="29"/>
      <c r="J518" s="29"/>
      <c r="K518" s="55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spans="1:31" ht="15.75" customHeight="1">
      <c r="A519" s="29"/>
      <c r="B519" s="152"/>
      <c r="C519" s="29"/>
      <c r="D519" s="32"/>
      <c r="E519" s="32"/>
      <c r="F519" s="55"/>
      <c r="G519" s="55"/>
      <c r="H519" s="29"/>
      <c r="I519" s="29"/>
      <c r="J519" s="29"/>
      <c r="K519" s="55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spans="1:31" ht="15.75" customHeight="1">
      <c r="A520" s="29"/>
      <c r="B520" s="152"/>
      <c r="C520" s="29"/>
      <c r="D520" s="32"/>
      <c r="E520" s="32"/>
      <c r="F520" s="55"/>
      <c r="G520" s="55"/>
      <c r="H520" s="29"/>
      <c r="I520" s="29"/>
      <c r="J520" s="29"/>
      <c r="K520" s="55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spans="1:31" ht="15.75" customHeight="1">
      <c r="A521" s="29"/>
      <c r="B521" s="152"/>
      <c r="C521" s="29"/>
      <c r="D521" s="32"/>
      <c r="E521" s="32"/>
      <c r="F521" s="55"/>
      <c r="G521" s="55"/>
      <c r="H521" s="29"/>
      <c r="I521" s="29"/>
      <c r="J521" s="29"/>
      <c r="K521" s="55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spans="1:31" ht="15.75" customHeight="1">
      <c r="A522" s="29"/>
      <c r="B522" s="152"/>
      <c r="C522" s="29"/>
      <c r="D522" s="32"/>
      <c r="E522" s="32"/>
      <c r="F522" s="55"/>
      <c r="G522" s="55"/>
      <c r="H522" s="29"/>
      <c r="I522" s="29"/>
      <c r="J522" s="29"/>
      <c r="K522" s="55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spans="1:31" ht="15.75" customHeight="1">
      <c r="A523" s="29"/>
      <c r="B523" s="152"/>
      <c r="C523" s="29"/>
      <c r="D523" s="32"/>
      <c r="E523" s="32"/>
      <c r="F523" s="55"/>
      <c r="G523" s="55"/>
      <c r="H523" s="29"/>
      <c r="I523" s="29"/>
      <c r="J523" s="29"/>
      <c r="K523" s="55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spans="1:31" ht="15.75" customHeight="1">
      <c r="A524" s="29"/>
      <c r="B524" s="152"/>
      <c r="C524" s="29"/>
      <c r="D524" s="32"/>
      <c r="E524" s="32"/>
      <c r="F524" s="55"/>
      <c r="G524" s="55"/>
      <c r="H524" s="29"/>
      <c r="I524" s="29"/>
      <c r="J524" s="29"/>
      <c r="K524" s="55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spans="1:31" ht="15.75" customHeight="1">
      <c r="A525" s="29"/>
      <c r="B525" s="152"/>
      <c r="C525" s="29"/>
      <c r="D525" s="32"/>
      <c r="E525" s="32"/>
      <c r="F525" s="55"/>
      <c r="G525" s="55"/>
      <c r="H525" s="29"/>
      <c r="I525" s="29"/>
      <c r="J525" s="29"/>
      <c r="K525" s="55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spans="1:31" ht="15.75" customHeight="1">
      <c r="A526" s="29"/>
      <c r="B526" s="152"/>
      <c r="C526" s="29"/>
      <c r="D526" s="32"/>
      <c r="E526" s="32"/>
      <c r="F526" s="55"/>
      <c r="G526" s="55"/>
      <c r="H526" s="29"/>
      <c r="I526" s="29"/>
      <c r="J526" s="29"/>
      <c r="K526" s="55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spans="1:31" ht="15.75" customHeight="1">
      <c r="A527" s="29"/>
      <c r="B527" s="152"/>
      <c r="C527" s="29"/>
      <c r="D527" s="32"/>
      <c r="E527" s="32"/>
      <c r="F527" s="55"/>
      <c r="G527" s="55"/>
      <c r="H527" s="29"/>
      <c r="I527" s="29"/>
      <c r="J527" s="29"/>
      <c r="K527" s="55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spans="1:31" ht="15.75" customHeight="1">
      <c r="A528" s="29"/>
      <c r="B528" s="152"/>
      <c r="C528" s="29"/>
      <c r="D528" s="32"/>
      <c r="E528" s="32"/>
      <c r="F528" s="55"/>
      <c r="G528" s="55"/>
      <c r="H528" s="29"/>
      <c r="I528" s="29"/>
      <c r="J528" s="29"/>
      <c r="K528" s="55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spans="1:31" ht="15.75" customHeight="1">
      <c r="A529" s="29"/>
      <c r="B529" s="152"/>
      <c r="C529" s="29"/>
      <c r="D529" s="32"/>
      <c r="E529" s="32"/>
      <c r="F529" s="55"/>
      <c r="G529" s="55"/>
      <c r="H529" s="29"/>
      <c r="I529" s="29"/>
      <c r="J529" s="29"/>
      <c r="K529" s="55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spans="1:31" ht="15.75" customHeight="1">
      <c r="A530" s="29"/>
      <c r="B530" s="152"/>
      <c r="C530" s="29"/>
      <c r="D530" s="32"/>
      <c r="E530" s="32"/>
      <c r="F530" s="55"/>
      <c r="G530" s="55"/>
      <c r="H530" s="29"/>
      <c r="I530" s="29"/>
      <c r="J530" s="29"/>
      <c r="K530" s="55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spans="1:31" ht="15.75" customHeight="1">
      <c r="A531" s="29"/>
      <c r="B531" s="152"/>
      <c r="C531" s="29"/>
      <c r="D531" s="32"/>
      <c r="E531" s="32"/>
      <c r="F531" s="55"/>
      <c r="G531" s="55"/>
      <c r="H531" s="29"/>
      <c r="I531" s="29"/>
      <c r="J531" s="29"/>
      <c r="K531" s="55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spans="1:31" ht="15.75" customHeight="1">
      <c r="A532" s="29"/>
      <c r="B532" s="152"/>
      <c r="C532" s="29"/>
      <c r="D532" s="32"/>
      <c r="E532" s="32"/>
      <c r="F532" s="55"/>
      <c r="G532" s="55"/>
      <c r="H532" s="29"/>
      <c r="I532" s="29"/>
      <c r="J532" s="29"/>
      <c r="K532" s="55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spans="1:31" ht="15.75" customHeight="1">
      <c r="A533" s="29"/>
      <c r="B533" s="152"/>
      <c r="C533" s="29"/>
      <c r="D533" s="32"/>
      <c r="E533" s="32"/>
      <c r="F533" s="55"/>
      <c r="G533" s="55"/>
      <c r="H533" s="29"/>
      <c r="I533" s="29"/>
      <c r="J533" s="29"/>
      <c r="K533" s="55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spans="1:31" ht="15.75" customHeight="1">
      <c r="A534" s="29"/>
      <c r="B534" s="152"/>
      <c r="C534" s="29"/>
      <c r="D534" s="32"/>
      <c r="E534" s="32"/>
      <c r="F534" s="55"/>
      <c r="G534" s="55"/>
      <c r="H534" s="29"/>
      <c r="I534" s="29"/>
      <c r="J534" s="29"/>
      <c r="K534" s="55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spans="1:31" ht="15.75" customHeight="1">
      <c r="A535" s="29"/>
      <c r="B535" s="152"/>
      <c r="C535" s="29"/>
      <c r="D535" s="32"/>
      <c r="E535" s="32"/>
      <c r="F535" s="55"/>
      <c r="G535" s="55"/>
      <c r="H535" s="29"/>
      <c r="I535" s="29"/>
      <c r="J535" s="29"/>
      <c r="K535" s="55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spans="1:31" ht="15.75" customHeight="1">
      <c r="A536" s="29"/>
      <c r="B536" s="152"/>
      <c r="C536" s="29"/>
      <c r="D536" s="32"/>
      <c r="E536" s="32"/>
      <c r="F536" s="55"/>
      <c r="G536" s="55"/>
      <c r="H536" s="29"/>
      <c r="I536" s="29"/>
      <c r="J536" s="29"/>
      <c r="K536" s="55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spans="1:31" ht="15.75" customHeight="1">
      <c r="A537" s="29"/>
      <c r="B537" s="152"/>
      <c r="C537" s="29"/>
      <c r="D537" s="32"/>
      <c r="E537" s="32"/>
      <c r="F537" s="55"/>
      <c r="G537" s="55"/>
      <c r="H537" s="29"/>
      <c r="I537" s="29"/>
      <c r="J537" s="29"/>
      <c r="K537" s="55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spans="1:31" ht="15.75" customHeight="1">
      <c r="A538" s="29"/>
      <c r="B538" s="152"/>
      <c r="C538" s="29"/>
      <c r="D538" s="32"/>
      <c r="E538" s="32"/>
      <c r="F538" s="55"/>
      <c r="G538" s="55"/>
      <c r="H538" s="29"/>
      <c r="I538" s="29"/>
      <c r="J538" s="29"/>
      <c r="K538" s="55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spans="1:31" ht="15.75" customHeight="1">
      <c r="A539" s="29"/>
      <c r="B539" s="152"/>
      <c r="C539" s="29"/>
      <c r="D539" s="32"/>
      <c r="E539" s="32"/>
      <c r="F539" s="55"/>
      <c r="G539" s="55"/>
      <c r="H539" s="29"/>
      <c r="I539" s="29"/>
      <c r="J539" s="29"/>
      <c r="K539" s="55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spans="1:31" ht="15.75" customHeight="1">
      <c r="A540" s="29"/>
      <c r="B540" s="152"/>
      <c r="C540" s="29"/>
      <c r="D540" s="32"/>
      <c r="E540" s="32"/>
      <c r="F540" s="55"/>
      <c r="G540" s="55"/>
      <c r="H540" s="29"/>
      <c r="I540" s="29"/>
      <c r="J540" s="29"/>
      <c r="K540" s="55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spans="1:31" ht="15.75" customHeight="1">
      <c r="A541" s="29"/>
      <c r="B541" s="152"/>
      <c r="C541" s="29"/>
      <c r="D541" s="32"/>
      <c r="E541" s="32"/>
      <c r="F541" s="55"/>
      <c r="G541" s="55"/>
      <c r="H541" s="29"/>
      <c r="I541" s="29"/>
      <c r="J541" s="29"/>
      <c r="K541" s="55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spans="1:31" ht="15.75" customHeight="1">
      <c r="A542" s="29"/>
      <c r="B542" s="152"/>
      <c r="C542" s="29"/>
      <c r="D542" s="32"/>
      <c r="E542" s="32"/>
      <c r="F542" s="55"/>
      <c r="G542" s="55"/>
      <c r="H542" s="29"/>
      <c r="I542" s="29"/>
      <c r="J542" s="29"/>
      <c r="K542" s="55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spans="1:31" ht="15.75" customHeight="1">
      <c r="A543" s="29"/>
      <c r="B543" s="152"/>
      <c r="C543" s="29"/>
      <c r="D543" s="32"/>
      <c r="E543" s="32"/>
      <c r="F543" s="55"/>
      <c r="G543" s="55"/>
      <c r="H543" s="29"/>
      <c r="I543" s="29"/>
      <c r="J543" s="29"/>
      <c r="K543" s="55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spans="1:31" ht="15.75" customHeight="1">
      <c r="A544" s="29"/>
      <c r="B544" s="152"/>
      <c r="C544" s="29"/>
      <c r="D544" s="32"/>
      <c r="E544" s="32"/>
      <c r="F544" s="55"/>
      <c r="G544" s="55"/>
      <c r="H544" s="29"/>
      <c r="I544" s="29"/>
      <c r="J544" s="29"/>
      <c r="K544" s="55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spans="1:31" ht="15.75" customHeight="1">
      <c r="A545" s="29"/>
      <c r="B545" s="152"/>
      <c r="C545" s="29"/>
      <c r="D545" s="32"/>
      <c r="E545" s="32"/>
      <c r="F545" s="55"/>
      <c r="G545" s="55"/>
      <c r="H545" s="29"/>
      <c r="I545" s="29"/>
      <c r="J545" s="29"/>
      <c r="K545" s="55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spans="1:31" ht="15.75" customHeight="1">
      <c r="A546" s="29"/>
      <c r="B546" s="152"/>
      <c r="C546" s="29"/>
      <c r="D546" s="32"/>
      <c r="E546" s="32"/>
      <c r="F546" s="55"/>
      <c r="G546" s="55"/>
      <c r="H546" s="29"/>
      <c r="I546" s="29"/>
      <c r="J546" s="29"/>
      <c r="K546" s="55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spans="1:31" ht="15.75" customHeight="1">
      <c r="A547" s="29"/>
      <c r="B547" s="152"/>
      <c r="C547" s="29"/>
      <c r="D547" s="32"/>
      <c r="E547" s="32"/>
      <c r="F547" s="55"/>
      <c r="G547" s="55"/>
      <c r="H547" s="29"/>
      <c r="I547" s="29"/>
      <c r="J547" s="29"/>
      <c r="K547" s="55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spans="1:31" ht="15.75" customHeight="1">
      <c r="A548" s="29"/>
      <c r="B548" s="152"/>
      <c r="C548" s="29"/>
      <c r="D548" s="32"/>
      <c r="E548" s="32"/>
      <c r="F548" s="55"/>
      <c r="G548" s="55"/>
      <c r="H548" s="29"/>
      <c r="I548" s="29"/>
      <c r="J548" s="29"/>
      <c r="K548" s="55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spans="1:31" ht="15.75" customHeight="1">
      <c r="A549" s="29"/>
      <c r="B549" s="152"/>
      <c r="C549" s="29"/>
      <c r="D549" s="32"/>
      <c r="E549" s="32"/>
      <c r="F549" s="55"/>
      <c r="G549" s="55"/>
      <c r="H549" s="29"/>
      <c r="I549" s="29"/>
      <c r="J549" s="29"/>
      <c r="K549" s="55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spans="1:31" ht="15.75" customHeight="1">
      <c r="A550" s="29"/>
      <c r="B550" s="152"/>
      <c r="C550" s="29"/>
      <c r="D550" s="32"/>
      <c r="E550" s="32"/>
      <c r="F550" s="55"/>
      <c r="G550" s="55"/>
      <c r="H550" s="29"/>
      <c r="I550" s="29"/>
      <c r="J550" s="29"/>
      <c r="K550" s="55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spans="1:31" ht="15.75" customHeight="1">
      <c r="A551" s="29"/>
      <c r="B551" s="152"/>
      <c r="C551" s="29"/>
      <c r="D551" s="32"/>
      <c r="E551" s="32"/>
      <c r="F551" s="55"/>
      <c r="G551" s="55"/>
      <c r="H551" s="29"/>
      <c r="I551" s="29"/>
      <c r="J551" s="29"/>
      <c r="K551" s="55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spans="1:31" ht="15.75" customHeight="1">
      <c r="A552" s="29"/>
      <c r="B552" s="152"/>
      <c r="C552" s="29"/>
      <c r="D552" s="32"/>
      <c r="E552" s="32"/>
      <c r="F552" s="55"/>
      <c r="G552" s="55"/>
      <c r="H552" s="29"/>
      <c r="I552" s="29"/>
      <c r="J552" s="29"/>
      <c r="K552" s="55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spans="1:31" ht="15.75" customHeight="1">
      <c r="A553" s="29"/>
      <c r="B553" s="152"/>
      <c r="C553" s="29"/>
      <c r="D553" s="32"/>
      <c r="E553" s="32"/>
      <c r="F553" s="55"/>
      <c r="G553" s="55"/>
      <c r="H553" s="29"/>
      <c r="I553" s="29"/>
      <c r="J553" s="29"/>
      <c r="K553" s="55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spans="1:31" ht="15.75" customHeight="1">
      <c r="A554" s="29"/>
      <c r="B554" s="152"/>
      <c r="C554" s="29"/>
      <c r="D554" s="32"/>
      <c r="E554" s="32"/>
      <c r="F554" s="55"/>
      <c r="G554" s="55"/>
      <c r="H554" s="29"/>
      <c r="I554" s="29"/>
      <c r="J554" s="29"/>
      <c r="K554" s="55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spans="1:31" ht="15.75" customHeight="1">
      <c r="A555" s="29"/>
      <c r="B555" s="152"/>
      <c r="C555" s="29"/>
      <c r="D555" s="32"/>
      <c r="E555" s="32"/>
      <c r="F555" s="55"/>
      <c r="G555" s="55"/>
      <c r="H555" s="29"/>
      <c r="I555" s="29"/>
      <c r="J555" s="29"/>
      <c r="K555" s="55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spans="1:31" ht="15.75" customHeight="1">
      <c r="A556" s="29"/>
      <c r="B556" s="152"/>
      <c r="C556" s="29"/>
      <c r="D556" s="32"/>
      <c r="E556" s="32"/>
      <c r="F556" s="55"/>
      <c r="G556" s="55"/>
      <c r="H556" s="29"/>
      <c r="I556" s="29"/>
      <c r="J556" s="29"/>
      <c r="K556" s="55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spans="1:31" ht="15.75" customHeight="1">
      <c r="A557" s="29"/>
      <c r="B557" s="152"/>
      <c r="C557" s="29"/>
      <c r="D557" s="32"/>
      <c r="E557" s="32"/>
      <c r="F557" s="55"/>
      <c r="G557" s="55"/>
      <c r="H557" s="29"/>
      <c r="I557" s="29"/>
      <c r="J557" s="29"/>
      <c r="K557" s="55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spans="1:31" ht="15.75" customHeight="1">
      <c r="A558" s="29"/>
      <c r="B558" s="152"/>
      <c r="C558" s="29"/>
      <c r="D558" s="32"/>
      <c r="E558" s="32"/>
      <c r="F558" s="55"/>
      <c r="G558" s="55"/>
      <c r="H558" s="29"/>
      <c r="I558" s="29"/>
      <c r="J558" s="29"/>
      <c r="K558" s="55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spans="1:31" ht="15.75" customHeight="1">
      <c r="A559" s="29"/>
      <c r="B559" s="152"/>
      <c r="C559" s="29"/>
      <c r="D559" s="32"/>
      <c r="E559" s="32"/>
      <c r="F559" s="55"/>
      <c r="G559" s="55"/>
      <c r="H559" s="29"/>
      <c r="I559" s="29"/>
      <c r="J559" s="29"/>
      <c r="K559" s="55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spans="1:31" ht="15.75" customHeight="1">
      <c r="A560" s="29"/>
      <c r="B560" s="152"/>
      <c r="C560" s="29"/>
      <c r="D560" s="32"/>
      <c r="E560" s="32"/>
      <c r="F560" s="55"/>
      <c r="G560" s="55"/>
      <c r="H560" s="29"/>
      <c r="I560" s="29"/>
      <c r="J560" s="29"/>
      <c r="K560" s="55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spans="1:31" ht="15.75" customHeight="1">
      <c r="A561" s="29"/>
      <c r="B561" s="152"/>
      <c r="C561" s="29"/>
      <c r="D561" s="32"/>
      <c r="E561" s="32"/>
      <c r="F561" s="55"/>
      <c r="G561" s="55"/>
      <c r="H561" s="29"/>
      <c r="I561" s="29"/>
      <c r="J561" s="29"/>
      <c r="K561" s="55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spans="1:31" ht="15.75" customHeight="1">
      <c r="A562" s="29"/>
      <c r="B562" s="152"/>
      <c r="C562" s="29"/>
      <c r="D562" s="32"/>
      <c r="E562" s="32"/>
      <c r="F562" s="55"/>
      <c r="G562" s="55"/>
      <c r="H562" s="29"/>
      <c r="I562" s="29"/>
      <c r="J562" s="29"/>
      <c r="K562" s="55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spans="1:31" ht="15.75" customHeight="1">
      <c r="A563" s="29"/>
      <c r="B563" s="152"/>
      <c r="C563" s="29"/>
      <c r="D563" s="32"/>
      <c r="E563" s="32"/>
      <c r="F563" s="55"/>
      <c r="G563" s="55"/>
      <c r="H563" s="29"/>
      <c r="I563" s="29"/>
      <c r="J563" s="29"/>
      <c r="K563" s="55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spans="1:31" ht="15.75" customHeight="1">
      <c r="A564" s="29"/>
      <c r="B564" s="152"/>
      <c r="C564" s="29"/>
      <c r="D564" s="32"/>
      <c r="E564" s="32"/>
      <c r="F564" s="55"/>
      <c r="G564" s="55"/>
      <c r="H564" s="29"/>
      <c r="I564" s="29"/>
      <c r="J564" s="29"/>
      <c r="K564" s="55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spans="1:31" ht="15.75" customHeight="1">
      <c r="A565" s="29"/>
      <c r="B565" s="152"/>
      <c r="C565" s="29"/>
      <c r="D565" s="32"/>
      <c r="E565" s="32"/>
      <c r="F565" s="55"/>
      <c r="G565" s="55"/>
      <c r="H565" s="29"/>
      <c r="I565" s="29"/>
      <c r="J565" s="29"/>
      <c r="K565" s="55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spans="1:31" ht="15.75" customHeight="1">
      <c r="A566" s="29"/>
      <c r="B566" s="152"/>
      <c r="C566" s="29"/>
      <c r="D566" s="32"/>
      <c r="E566" s="32"/>
      <c r="F566" s="55"/>
      <c r="G566" s="55"/>
      <c r="H566" s="29"/>
      <c r="I566" s="29"/>
      <c r="J566" s="29"/>
      <c r="K566" s="55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spans="1:31" ht="15.75" customHeight="1">
      <c r="A567" s="29"/>
      <c r="B567" s="152"/>
      <c r="C567" s="29"/>
      <c r="D567" s="32"/>
      <c r="E567" s="32"/>
      <c r="F567" s="55"/>
      <c r="G567" s="55"/>
      <c r="H567" s="29"/>
      <c r="I567" s="29"/>
      <c r="J567" s="29"/>
      <c r="K567" s="55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spans="1:31" ht="15.75" customHeight="1">
      <c r="A568" s="29"/>
      <c r="B568" s="152"/>
      <c r="C568" s="29"/>
      <c r="D568" s="32"/>
      <c r="E568" s="32"/>
      <c r="F568" s="55"/>
      <c r="G568" s="55"/>
      <c r="H568" s="29"/>
      <c r="I568" s="29"/>
      <c r="J568" s="29"/>
      <c r="K568" s="55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spans="1:31" ht="15.75" customHeight="1">
      <c r="A569" s="29"/>
      <c r="B569" s="152"/>
      <c r="C569" s="29"/>
      <c r="D569" s="32"/>
      <c r="E569" s="32"/>
      <c r="F569" s="55"/>
      <c r="G569" s="55"/>
      <c r="H569" s="29"/>
      <c r="I569" s="29"/>
      <c r="J569" s="29"/>
      <c r="K569" s="55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spans="1:31" ht="15.75" customHeight="1">
      <c r="A570" s="29"/>
      <c r="B570" s="152"/>
      <c r="C570" s="29"/>
      <c r="D570" s="32"/>
      <c r="E570" s="32"/>
      <c r="F570" s="55"/>
      <c r="G570" s="55"/>
      <c r="H570" s="29"/>
      <c r="I570" s="29"/>
      <c r="J570" s="29"/>
      <c r="K570" s="55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spans="1:31" ht="15.75" customHeight="1">
      <c r="A571" s="29"/>
      <c r="B571" s="152"/>
      <c r="C571" s="29"/>
      <c r="D571" s="32"/>
      <c r="E571" s="32"/>
      <c r="F571" s="55"/>
      <c r="G571" s="55"/>
      <c r="H571" s="29"/>
      <c r="I571" s="29"/>
      <c r="J571" s="29"/>
      <c r="K571" s="55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spans="1:31" ht="15.75" customHeight="1">
      <c r="A572" s="29"/>
      <c r="B572" s="152"/>
      <c r="C572" s="29"/>
      <c r="D572" s="32"/>
      <c r="E572" s="32"/>
      <c r="F572" s="55"/>
      <c r="G572" s="55"/>
      <c r="H572" s="29"/>
      <c r="I572" s="29"/>
      <c r="J572" s="29"/>
      <c r="K572" s="55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spans="1:31" ht="15.75" customHeight="1">
      <c r="A573" s="29"/>
      <c r="B573" s="152"/>
      <c r="C573" s="29"/>
      <c r="D573" s="32"/>
      <c r="E573" s="32"/>
      <c r="F573" s="55"/>
      <c r="G573" s="55"/>
      <c r="H573" s="29"/>
      <c r="I573" s="29"/>
      <c r="J573" s="29"/>
      <c r="K573" s="55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spans="1:31" ht="15.75" customHeight="1">
      <c r="A574" s="29"/>
      <c r="B574" s="152"/>
      <c r="C574" s="29"/>
      <c r="D574" s="32"/>
      <c r="E574" s="32"/>
      <c r="F574" s="55"/>
      <c r="G574" s="55"/>
      <c r="H574" s="29"/>
      <c r="I574" s="29"/>
      <c r="J574" s="29"/>
      <c r="K574" s="55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spans="1:31" ht="15.75" customHeight="1">
      <c r="A575" s="29"/>
      <c r="B575" s="152"/>
      <c r="C575" s="29"/>
      <c r="D575" s="32"/>
      <c r="E575" s="32"/>
      <c r="F575" s="55"/>
      <c r="G575" s="55"/>
      <c r="H575" s="29"/>
      <c r="I575" s="29"/>
      <c r="J575" s="29"/>
      <c r="K575" s="55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spans="1:31" ht="15.75" customHeight="1">
      <c r="A576" s="29"/>
      <c r="B576" s="152"/>
      <c r="C576" s="29"/>
      <c r="D576" s="32"/>
      <c r="E576" s="32"/>
      <c r="F576" s="55"/>
      <c r="G576" s="55"/>
      <c r="H576" s="29"/>
      <c r="I576" s="29"/>
      <c r="J576" s="29"/>
      <c r="K576" s="55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spans="1:31" ht="15.75" customHeight="1">
      <c r="A577" s="29"/>
      <c r="B577" s="152"/>
      <c r="C577" s="29"/>
      <c r="D577" s="32"/>
      <c r="E577" s="32"/>
      <c r="F577" s="55"/>
      <c r="G577" s="55"/>
      <c r="H577" s="29"/>
      <c r="I577" s="29"/>
      <c r="J577" s="29"/>
      <c r="K577" s="55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spans="1:31" ht="15.75" customHeight="1">
      <c r="A578" s="29"/>
      <c r="B578" s="152"/>
      <c r="C578" s="29"/>
      <c r="D578" s="32"/>
      <c r="E578" s="32"/>
      <c r="F578" s="55"/>
      <c r="G578" s="55"/>
      <c r="H578" s="29"/>
      <c r="I578" s="29"/>
      <c r="J578" s="29"/>
      <c r="K578" s="55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spans="1:31" ht="15.75" customHeight="1">
      <c r="A579" s="29"/>
      <c r="B579" s="152"/>
      <c r="C579" s="29"/>
      <c r="D579" s="32"/>
      <c r="E579" s="32"/>
      <c r="F579" s="55"/>
      <c r="G579" s="55"/>
      <c r="H579" s="29"/>
      <c r="I579" s="29"/>
      <c r="J579" s="29"/>
      <c r="K579" s="55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spans="1:31" ht="15.75" customHeight="1">
      <c r="A580" s="29"/>
      <c r="B580" s="152"/>
      <c r="C580" s="29"/>
      <c r="D580" s="32"/>
      <c r="E580" s="32"/>
      <c r="F580" s="55"/>
      <c r="G580" s="55"/>
      <c r="H580" s="29"/>
      <c r="I580" s="29"/>
      <c r="J580" s="29"/>
      <c r="K580" s="55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spans="1:31" ht="15.75" customHeight="1">
      <c r="A581" s="29"/>
      <c r="B581" s="152"/>
      <c r="C581" s="29"/>
      <c r="D581" s="32"/>
      <c r="E581" s="32"/>
      <c r="F581" s="55"/>
      <c r="G581" s="55"/>
      <c r="H581" s="29"/>
      <c r="I581" s="29"/>
      <c r="J581" s="29"/>
      <c r="K581" s="55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spans="1:31" ht="15.75" customHeight="1">
      <c r="A582" s="29"/>
      <c r="B582" s="152"/>
      <c r="C582" s="29"/>
      <c r="D582" s="32"/>
      <c r="E582" s="32"/>
      <c r="F582" s="55"/>
      <c r="G582" s="55"/>
      <c r="H582" s="29"/>
      <c r="I582" s="29"/>
      <c r="J582" s="29"/>
      <c r="K582" s="55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spans="1:31" ht="15.75" customHeight="1">
      <c r="A583" s="29"/>
      <c r="B583" s="152"/>
      <c r="C583" s="29"/>
      <c r="D583" s="32"/>
      <c r="E583" s="32"/>
      <c r="F583" s="55"/>
      <c r="G583" s="55"/>
      <c r="H583" s="29"/>
      <c r="I583" s="29"/>
      <c r="J583" s="29"/>
      <c r="K583" s="55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spans="1:31" ht="15.75" customHeight="1">
      <c r="A584" s="29"/>
      <c r="B584" s="152"/>
      <c r="C584" s="29"/>
      <c r="D584" s="32"/>
      <c r="E584" s="32"/>
      <c r="F584" s="55"/>
      <c r="G584" s="55"/>
      <c r="H584" s="29"/>
      <c r="I584" s="29"/>
      <c r="J584" s="29"/>
      <c r="K584" s="55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spans="1:31" ht="15.75" customHeight="1">
      <c r="A585" s="29"/>
      <c r="B585" s="152"/>
      <c r="C585" s="29"/>
      <c r="D585" s="32"/>
      <c r="E585" s="32"/>
      <c r="F585" s="55"/>
      <c r="G585" s="55"/>
      <c r="H585" s="29"/>
      <c r="I585" s="29"/>
      <c r="J585" s="29"/>
      <c r="K585" s="55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spans="1:31" ht="15.75" customHeight="1">
      <c r="A586" s="29"/>
      <c r="B586" s="152"/>
      <c r="C586" s="29"/>
      <c r="D586" s="32"/>
      <c r="E586" s="32"/>
      <c r="F586" s="55"/>
      <c r="G586" s="55"/>
      <c r="H586" s="29"/>
      <c r="I586" s="29"/>
      <c r="J586" s="29"/>
      <c r="K586" s="55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spans="1:31" ht="15.75" customHeight="1">
      <c r="A587" s="29"/>
      <c r="B587" s="152"/>
      <c r="C587" s="29"/>
      <c r="D587" s="32"/>
      <c r="E587" s="32"/>
      <c r="F587" s="55"/>
      <c r="G587" s="55"/>
      <c r="H587" s="29"/>
      <c r="I587" s="29"/>
      <c r="J587" s="29"/>
      <c r="K587" s="55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spans="1:31" ht="15.75" customHeight="1">
      <c r="A588" s="29"/>
      <c r="B588" s="152"/>
      <c r="C588" s="29"/>
      <c r="D588" s="32"/>
      <c r="E588" s="32"/>
      <c r="F588" s="55"/>
      <c r="G588" s="55"/>
      <c r="H588" s="29"/>
      <c r="I588" s="29"/>
      <c r="J588" s="29"/>
      <c r="K588" s="55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spans="1:31" ht="15.75" customHeight="1">
      <c r="A589" s="29"/>
      <c r="B589" s="152"/>
      <c r="C589" s="29"/>
      <c r="D589" s="32"/>
      <c r="E589" s="32"/>
      <c r="F589" s="55"/>
      <c r="G589" s="55"/>
      <c r="H589" s="29"/>
      <c r="I589" s="29"/>
      <c r="J589" s="29"/>
      <c r="K589" s="55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spans="1:31" ht="15.75" customHeight="1">
      <c r="A590" s="29"/>
      <c r="B590" s="152"/>
      <c r="C590" s="29"/>
      <c r="D590" s="32"/>
      <c r="E590" s="32"/>
      <c r="F590" s="55"/>
      <c r="G590" s="55"/>
      <c r="H590" s="29"/>
      <c r="I590" s="29"/>
      <c r="J590" s="29"/>
      <c r="K590" s="55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spans="1:31" ht="15.75" customHeight="1">
      <c r="A591" s="29"/>
      <c r="B591" s="152"/>
      <c r="C591" s="29"/>
      <c r="D591" s="32"/>
      <c r="E591" s="32"/>
      <c r="F591" s="55"/>
      <c r="G591" s="55"/>
      <c r="H591" s="29"/>
      <c r="I591" s="29"/>
      <c r="J591" s="29"/>
      <c r="K591" s="55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spans="1:31" ht="15.75" customHeight="1">
      <c r="A592" s="29"/>
      <c r="B592" s="152"/>
      <c r="C592" s="29"/>
      <c r="D592" s="32"/>
      <c r="E592" s="32"/>
      <c r="F592" s="55"/>
      <c r="G592" s="55"/>
      <c r="H592" s="29"/>
      <c r="I592" s="29"/>
      <c r="J592" s="29"/>
      <c r="K592" s="55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spans="1:31" ht="15.75" customHeight="1">
      <c r="A593" s="29"/>
      <c r="B593" s="152"/>
      <c r="C593" s="29"/>
      <c r="D593" s="32"/>
      <c r="E593" s="32"/>
      <c r="F593" s="55"/>
      <c r="G593" s="55"/>
      <c r="H593" s="29"/>
      <c r="I593" s="29"/>
      <c r="J593" s="29"/>
      <c r="K593" s="55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spans="1:31" ht="15.75" customHeight="1">
      <c r="A594" s="29"/>
      <c r="B594" s="152"/>
      <c r="C594" s="29"/>
      <c r="D594" s="32"/>
      <c r="E594" s="32"/>
      <c r="F594" s="55"/>
      <c r="G594" s="55"/>
      <c r="H594" s="29"/>
      <c r="I594" s="29"/>
      <c r="J594" s="29"/>
      <c r="K594" s="55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spans="1:31" ht="15.75" customHeight="1">
      <c r="A595" s="29"/>
      <c r="B595" s="152"/>
      <c r="C595" s="29"/>
      <c r="D595" s="32"/>
      <c r="E595" s="32"/>
      <c r="F595" s="55"/>
      <c r="G595" s="55"/>
      <c r="H595" s="29"/>
      <c r="I595" s="29"/>
      <c r="J595" s="29"/>
      <c r="K595" s="55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spans="1:31" ht="15.75" customHeight="1">
      <c r="A596" s="29"/>
      <c r="B596" s="152"/>
      <c r="C596" s="29"/>
      <c r="D596" s="32"/>
      <c r="E596" s="32"/>
      <c r="F596" s="55"/>
      <c r="G596" s="55"/>
      <c r="H596" s="29"/>
      <c r="I596" s="29"/>
      <c r="J596" s="29"/>
      <c r="K596" s="55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spans="1:31" ht="15.75" customHeight="1">
      <c r="A597" s="29"/>
      <c r="B597" s="152"/>
      <c r="C597" s="29"/>
      <c r="D597" s="32"/>
      <c r="E597" s="32"/>
      <c r="F597" s="55"/>
      <c r="G597" s="55"/>
      <c r="H597" s="29"/>
      <c r="I597" s="29"/>
      <c r="J597" s="29"/>
      <c r="K597" s="55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spans="1:31" ht="15.75" customHeight="1">
      <c r="A598" s="29"/>
      <c r="B598" s="152"/>
      <c r="C598" s="29"/>
      <c r="D598" s="32"/>
      <c r="E598" s="32"/>
      <c r="F598" s="55"/>
      <c r="G598" s="55"/>
      <c r="H598" s="29"/>
      <c r="I598" s="29"/>
      <c r="J598" s="29"/>
      <c r="K598" s="55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spans="1:31" ht="15.75" customHeight="1">
      <c r="A599" s="29"/>
      <c r="B599" s="152"/>
      <c r="C599" s="29"/>
      <c r="D599" s="32"/>
      <c r="E599" s="32"/>
      <c r="F599" s="55"/>
      <c r="G599" s="55"/>
      <c r="H599" s="29"/>
      <c r="I599" s="29"/>
      <c r="J599" s="29"/>
      <c r="K599" s="55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spans="1:31" ht="15.75" customHeight="1">
      <c r="A600" s="29"/>
      <c r="B600" s="152"/>
      <c r="C600" s="29"/>
      <c r="D600" s="32"/>
      <c r="E600" s="32"/>
      <c r="F600" s="55"/>
      <c r="G600" s="55"/>
      <c r="H600" s="29"/>
      <c r="I600" s="29"/>
      <c r="J600" s="29"/>
      <c r="K600" s="55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spans="1:31" ht="15.75" customHeight="1">
      <c r="A601" s="29"/>
      <c r="B601" s="152"/>
      <c r="C601" s="29"/>
      <c r="D601" s="32"/>
      <c r="E601" s="32"/>
      <c r="F601" s="55"/>
      <c r="G601" s="55"/>
      <c r="H601" s="29"/>
      <c r="I601" s="29"/>
      <c r="J601" s="29"/>
      <c r="K601" s="55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spans="1:31" ht="15.75" customHeight="1">
      <c r="A602" s="29"/>
      <c r="B602" s="152"/>
      <c r="C602" s="29"/>
      <c r="D602" s="32"/>
      <c r="E602" s="32"/>
      <c r="F602" s="55"/>
      <c r="G602" s="55"/>
      <c r="H602" s="29"/>
      <c r="I602" s="29"/>
      <c r="J602" s="29"/>
      <c r="K602" s="55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spans="1:31" ht="15.75" customHeight="1">
      <c r="A603" s="29"/>
      <c r="B603" s="152"/>
      <c r="C603" s="29"/>
      <c r="D603" s="32"/>
      <c r="E603" s="32"/>
      <c r="F603" s="55"/>
      <c r="G603" s="55"/>
      <c r="H603" s="29"/>
      <c r="I603" s="29"/>
      <c r="J603" s="29"/>
      <c r="K603" s="55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spans="1:31" ht="15.75" customHeight="1">
      <c r="A604" s="29"/>
      <c r="B604" s="152"/>
      <c r="C604" s="29"/>
      <c r="D604" s="32"/>
      <c r="E604" s="32"/>
      <c r="F604" s="55"/>
      <c r="G604" s="55"/>
      <c r="H604" s="29"/>
      <c r="I604" s="29"/>
      <c r="J604" s="29"/>
      <c r="K604" s="55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spans="1:31" ht="15.75" customHeight="1">
      <c r="A605" s="29"/>
      <c r="B605" s="152"/>
      <c r="C605" s="29"/>
      <c r="D605" s="32"/>
      <c r="E605" s="32"/>
      <c r="F605" s="55"/>
      <c r="G605" s="55"/>
      <c r="H605" s="29"/>
      <c r="I605" s="29"/>
      <c r="J605" s="29"/>
      <c r="K605" s="55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spans="1:31" ht="15.75" customHeight="1">
      <c r="A606" s="29"/>
      <c r="B606" s="152"/>
      <c r="C606" s="29"/>
      <c r="D606" s="32"/>
      <c r="E606" s="32"/>
      <c r="F606" s="55"/>
      <c r="G606" s="55"/>
      <c r="H606" s="29"/>
      <c r="I606" s="29"/>
      <c r="J606" s="29"/>
      <c r="K606" s="55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spans="1:31" ht="15.75" customHeight="1">
      <c r="A607" s="29"/>
      <c r="B607" s="152"/>
      <c r="C607" s="29"/>
      <c r="D607" s="32"/>
      <c r="E607" s="32"/>
      <c r="F607" s="55"/>
      <c r="G607" s="55"/>
      <c r="H607" s="29"/>
      <c r="I607" s="29"/>
      <c r="J607" s="29"/>
      <c r="K607" s="55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spans="1:31" ht="15.75" customHeight="1">
      <c r="A608" s="29"/>
      <c r="B608" s="152"/>
      <c r="C608" s="29"/>
      <c r="D608" s="32"/>
      <c r="E608" s="32"/>
      <c r="F608" s="55"/>
      <c r="G608" s="55"/>
      <c r="H608" s="29"/>
      <c r="I608" s="29"/>
      <c r="J608" s="29"/>
      <c r="K608" s="55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spans="1:31" ht="15.75" customHeight="1">
      <c r="A609" s="29"/>
      <c r="B609" s="152"/>
      <c r="C609" s="29"/>
      <c r="D609" s="32"/>
      <c r="E609" s="32"/>
      <c r="F609" s="55"/>
      <c r="G609" s="55"/>
      <c r="H609" s="29"/>
      <c r="I609" s="29"/>
      <c r="J609" s="29"/>
      <c r="K609" s="55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spans="1:31" ht="15.75" customHeight="1">
      <c r="A610" s="29"/>
      <c r="B610" s="152"/>
      <c r="C610" s="29"/>
      <c r="D610" s="32"/>
      <c r="E610" s="32"/>
      <c r="F610" s="55"/>
      <c r="G610" s="55"/>
      <c r="H610" s="29"/>
      <c r="I610" s="29"/>
      <c r="J610" s="29"/>
      <c r="K610" s="55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spans="1:31" ht="15.75" customHeight="1">
      <c r="A611" s="29"/>
      <c r="B611" s="152"/>
      <c r="C611" s="29"/>
      <c r="D611" s="32"/>
      <c r="E611" s="32"/>
      <c r="F611" s="55"/>
      <c r="G611" s="55"/>
      <c r="H611" s="29"/>
      <c r="I611" s="29"/>
      <c r="J611" s="29"/>
      <c r="K611" s="55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spans="1:31" ht="15.75" customHeight="1">
      <c r="A612" s="29"/>
      <c r="B612" s="152"/>
      <c r="C612" s="29"/>
      <c r="D612" s="32"/>
      <c r="E612" s="32"/>
      <c r="F612" s="55"/>
      <c r="G612" s="55"/>
      <c r="H612" s="29"/>
      <c r="I612" s="29"/>
      <c r="J612" s="29"/>
      <c r="K612" s="55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spans="1:31" ht="15.75" customHeight="1">
      <c r="A613" s="29"/>
      <c r="B613" s="152"/>
      <c r="C613" s="29"/>
      <c r="D613" s="32"/>
      <c r="E613" s="32"/>
      <c r="F613" s="55"/>
      <c r="G613" s="55"/>
      <c r="H613" s="29"/>
      <c r="I613" s="29"/>
      <c r="J613" s="29"/>
      <c r="K613" s="55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spans="1:31" ht="15.75" customHeight="1">
      <c r="A614" s="29"/>
      <c r="B614" s="152"/>
      <c r="C614" s="29"/>
      <c r="D614" s="32"/>
      <c r="E614" s="32"/>
      <c r="F614" s="55"/>
      <c r="G614" s="55"/>
      <c r="H614" s="29"/>
      <c r="I614" s="29"/>
      <c r="J614" s="29"/>
      <c r="K614" s="55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spans="1:31" ht="15.75" customHeight="1">
      <c r="A615" s="29"/>
      <c r="B615" s="152"/>
      <c r="C615" s="29"/>
      <c r="D615" s="32"/>
      <c r="E615" s="32"/>
      <c r="F615" s="55"/>
      <c r="G615" s="55"/>
      <c r="H615" s="29"/>
      <c r="I615" s="29"/>
      <c r="J615" s="29"/>
      <c r="K615" s="55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spans="1:31" ht="15.75" customHeight="1">
      <c r="A616" s="29"/>
      <c r="B616" s="152"/>
      <c r="C616" s="29"/>
      <c r="D616" s="32"/>
      <c r="E616" s="32"/>
      <c r="F616" s="55"/>
      <c r="G616" s="55"/>
      <c r="H616" s="29"/>
      <c r="I616" s="29"/>
      <c r="J616" s="29"/>
      <c r="K616" s="55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spans="1:31" ht="15.75" customHeight="1">
      <c r="A617" s="29"/>
      <c r="B617" s="152"/>
      <c r="C617" s="29"/>
      <c r="D617" s="32"/>
      <c r="E617" s="32"/>
      <c r="F617" s="55"/>
      <c r="G617" s="55"/>
      <c r="H617" s="29"/>
      <c r="I617" s="29"/>
      <c r="J617" s="29"/>
      <c r="K617" s="55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spans="1:31" ht="15.75" customHeight="1">
      <c r="A618" s="29"/>
      <c r="B618" s="152"/>
      <c r="C618" s="29"/>
      <c r="D618" s="32"/>
      <c r="E618" s="32"/>
      <c r="F618" s="55"/>
      <c r="G618" s="55"/>
      <c r="H618" s="29"/>
      <c r="I618" s="29"/>
      <c r="J618" s="29"/>
      <c r="K618" s="55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spans="1:31" ht="15.75" customHeight="1">
      <c r="A619" s="29"/>
      <c r="B619" s="152"/>
      <c r="C619" s="29"/>
      <c r="D619" s="32"/>
      <c r="E619" s="32"/>
      <c r="F619" s="55"/>
      <c r="G619" s="55"/>
      <c r="H619" s="29"/>
      <c r="I619" s="29"/>
      <c r="J619" s="29"/>
      <c r="K619" s="55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spans="1:31" ht="15.75" customHeight="1">
      <c r="A620" s="29"/>
      <c r="B620" s="152"/>
      <c r="C620" s="29"/>
      <c r="D620" s="32"/>
      <c r="E620" s="32"/>
      <c r="F620" s="55"/>
      <c r="G620" s="55"/>
      <c r="H620" s="29"/>
      <c r="I620" s="29"/>
      <c r="J620" s="29"/>
      <c r="K620" s="55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spans="1:31" ht="15.75" customHeight="1">
      <c r="A621" s="29"/>
      <c r="B621" s="152"/>
      <c r="C621" s="29"/>
      <c r="D621" s="32"/>
      <c r="E621" s="32"/>
      <c r="F621" s="55"/>
      <c r="G621" s="55"/>
      <c r="H621" s="29"/>
      <c r="I621" s="29"/>
      <c r="J621" s="29"/>
      <c r="K621" s="55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spans="1:31" ht="15.75" customHeight="1">
      <c r="A622" s="29"/>
      <c r="B622" s="152"/>
      <c r="C622" s="29"/>
      <c r="D622" s="32"/>
      <c r="E622" s="32"/>
      <c r="F622" s="55"/>
      <c r="G622" s="55"/>
      <c r="H622" s="29"/>
      <c r="I622" s="29"/>
      <c r="J622" s="29"/>
      <c r="K622" s="55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spans="1:31" ht="15.75" customHeight="1">
      <c r="A623" s="29"/>
      <c r="B623" s="152"/>
      <c r="C623" s="29"/>
      <c r="D623" s="32"/>
      <c r="E623" s="32"/>
      <c r="F623" s="55"/>
      <c r="G623" s="55"/>
      <c r="H623" s="29"/>
      <c r="I623" s="29"/>
      <c r="J623" s="29"/>
      <c r="K623" s="55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spans="1:31" ht="15.75" customHeight="1">
      <c r="A624" s="29"/>
      <c r="B624" s="152"/>
      <c r="C624" s="29"/>
      <c r="D624" s="32"/>
      <c r="E624" s="32"/>
      <c r="F624" s="55"/>
      <c r="G624" s="55"/>
      <c r="H624" s="29"/>
      <c r="I624" s="29"/>
      <c r="J624" s="29"/>
      <c r="K624" s="55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spans="1:31" ht="15.75" customHeight="1">
      <c r="A625" s="29"/>
      <c r="B625" s="152"/>
      <c r="C625" s="29"/>
      <c r="D625" s="32"/>
      <c r="E625" s="32"/>
      <c r="F625" s="55"/>
      <c r="G625" s="55"/>
      <c r="H625" s="29"/>
      <c r="I625" s="29"/>
      <c r="J625" s="29"/>
      <c r="K625" s="55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spans="1:31" ht="15.75" customHeight="1">
      <c r="A626" s="29"/>
      <c r="B626" s="152"/>
      <c r="C626" s="29"/>
      <c r="D626" s="32"/>
      <c r="E626" s="32"/>
      <c r="F626" s="55"/>
      <c r="G626" s="55"/>
      <c r="H626" s="29"/>
      <c r="I626" s="29"/>
      <c r="J626" s="29"/>
      <c r="K626" s="55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spans="1:31" ht="15.75" customHeight="1">
      <c r="A627" s="29"/>
      <c r="B627" s="152"/>
      <c r="C627" s="29"/>
      <c r="D627" s="32"/>
      <c r="E627" s="32"/>
      <c r="F627" s="55"/>
      <c r="G627" s="55"/>
      <c r="H627" s="29"/>
      <c r="I627" s="29"/>
      <c r="J627" s="29"/>
      <c r="K627" s="55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spans="1:31" ht="15.75" customHeight="1">
      <c r="A628" s="29"/>
      <c r="B628" s="152"/>
      <c r="C628" s="29"/>
      <c r="D628" s="32"/>
      <c r="E628" s="32"/>
      <c r="F628" s="55"/>
      <c r="G628" s="55"/>
      <c r="H628" s="29"/>
      <c r="I628" s="29"/>
      <c r="J628" s="29"/>
      <c r="K628" s="55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spans="1:31" ht="15.75" customHeight="1">
      <c r="A629" s="29"/>
      <c r="B629" s="152"/>
      <c r="C629" s="29"/>
      <c r="D629" s="32"/>
      <c r="E629" s="32"/>
      <c r="F629" s="55"/>
      <c r="G629" s="55"/>
      <c r="H629" s="29"/>
      <c r="I629" s="29"/>
      <c r="J629" s="29"/>
      <c r="K629" s="55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spans="1:31" ht="15.75" customHeight="1">
      <c r="A630" s="29"/>
      <c r="B630" s="152"/>
      <c r="C630" s="29"/>
      <c r="D630" s="32"/>
      <c r="E630" s="32"/>
      <c r="F630" s="55"/>
      <c r="G630" s="55"/>
      <c r="H630" s="29"/>
      <c r="I630" s="29"/>
      <c r="J630" s="29"/>
      <c r="K630" s="55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spans="1:31" ht="15.75" customHeight="1">
      <c r="A631" s="29"/>
      <c r="B631" s="152"/>
      <c r="C631" s="29"/>
      <c r="D631" s="32"/>
      <c r="E631" s="32"/>
      <c r="F631" s="55"/>
      <c r="G631" s="55"/>
      <c r="H631" s="29"/>
      <c r="I631" s="29"/>
      <c r="J631" s="29"/>
      <c r="K631" s="55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spans="1:31" ht="15.75" customHeight="1">
      <c r="A632" s="29"/>
      <c r="B632" s="152"/>
      <c r="C632" s="29"/>
      <c r="D632" s="32"/>
      <c r="E632" s="32"/>
      <c r="F632" s="55"/>
      <c r="G632" s="55"/>
      <c r="H632" s="29"/>
      <c r="I632" s="29"/>
      <c r="J632" s="29"/>
      <c r="K632" s="55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spans="1:31" ht="15.75" customHeight="1">
      <c r="A633" s="29"/>
      <c r="B633" s="152"/>
      <c r="C633" s="29"/>
      <c r="D633" s="32"/>
      <c r="E633" s="32"/>
      <c r="F633" s="55"/>
      <c r="G633" s="55"/>
      <c r="H633" s="29"/>
      <c r="I633" s="29"/>
      <c r="J633" s="29"/>
      <c r="K633" s="55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spans="1:31" ht="15.75" customHeight="1">
      <c r="A634" s="29"/>
      <c r="B634" s="152"/>
      <c r="C634" s="29"/>
      <c r="D634" s="32"/>
      <c r="E634" s="32"/>
      <c r="F634" s="55"/>
      <c r="G634" s="55"/>
      <c r="H634" s="29"/>
      <c r="I634" s="29"/>
      <c r="J634" s="29"/>
      <c r="K634" s="55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spans="1:31" ht="15.75" customHeight="1">
      <c r="A635" s="29"/>
      <c r="B635" s="152"/>
      <c r="C635" s="29"/>
      <c r="D635" s="32"/>
      <c r="E635" s="32"/>
      <c r="F635" s="55"/>
      <c r="G635" s="55"/>
      <c r="H635" s="29"/>
      <c r="I635" s="29"/>
      <c r="J635" s="29"/>
      <c r="K635" s="55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spans="1:31" ht="15.75" customHeight="1">
      <c r="A636" s="29"/>
      <c r="B636" s="152"/>
      <c r="C636" s="29"/>
      <c r="D636" s="32"/>
      <c r="E636" s="32"/>
      <c r="F636" s="55"/>
      <c r="G636" s="55"/>
      <c r="H636" s="29"/>
      <c r="I636" s="29"/>
      <c r="J636" s="29"/>
      <c r="K636" s="55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spans="1:31" ht="15.75" customHeight="1">
      <c r="A637" s="29"/>
      <c r="B637" s="152"/>
      <c r="C637" s="29"/>
      <c r="D637" s="32"/>
      <c r="E637" s="32"/>
      <c r="F637" s="55"/>
      <c r="G637" s="55"/>
      <c r="H637" s="29"/>
      <c r="I637" s="29"/>
      <c r="J637" s="29"/>
      <c r="K637" s="55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spans="1:31" ht="15.75" customHeight="1">
      <c r="A638" s="29"/>
      <c r="B638" s="152"/>
      <c r="C638" s="29"/>
      <c r="D638" s="32"/>
      <c r="E638" s="32"/>
      <c r="F638" s="55"/>
      <c r="G638" s="55"/>
      <c r="H638" s="29"/>
      <c r="I638" s="29"/>
      <c r="J638" s="29"/>
      <c r="K638" s="55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spans="1:31" ht="15.75" customHeight="1">
      <c r="A639" s="29"/>
      <c r="B639" s="152"/>
      <c r="C639" s="29"/>
      <c r="D639" s="32"/>
      <c r="E639" s="32"/>
      <c r="F639" s="55"/>
      <c r="G639" s="55"/>
      <c r="H639" s="29"/>
      <c r="I639" s="29"/>
      <c r="J639" s="29"/>
      <c r="K639" s="55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spans="1:31" ht="15.75" customHeight="1">
      <c r="A640" s="29"/>
      <c r="B640" s="152"/>
      <c r="C640" s="29"/>
      <c r="D640" s="32"/>
      <c r="E640" s="32"/>
      <c r="F640" s="55"/>
      <c r="G640" s="55"/>
      <c r="H640" s="29"/>
      <c r="I640" s="29"/>
      <c r="J640" s="29"/>
      <c r="K640" s="55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spans="1:31" ht="15.75" customHeight="1">
      <c r="A641" s="29"/>
      <c r="B641" s="152"/>
      <c r="C641" s="29"/>
      <c r="D641" s="32"/>
      <c r="E641" s="32"/>
      <c r="F641" s="55"/>
      <c r="G641" s="55"/>
      <c r="H641" s="29"/>
      <c r="I641" s="29"/>
      <c r="J641" s="29"/>
      <c r="K641" s="55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spans="1:31" ht="15.75" customHeight="1">
      <c r="A642" s="29"/>
      <c r="B642" s="152"/>
      <c r="C642" s="29"/>
      <c r="D642" s="32"/>
      <c r="E642" s="32"/>
      <c r="F642" s="55"/>
      <c r="G642" s="55"/>
      <c r="H642" s="29"/>
      <c r="I642" s="29"/>
      <c r="J642" s="29"/>
      <c r="K642" s="55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spans="1:31" ht="15.75" customHeight="1">
      <c r="A643" s="29"/>
      <c r="B643" s="152"/>
      <c r="C643" s="29"/>
      <c r="D643" s="32"/>
      <c r="E643" s="32"/>
      <c r="F643" s="55"/>
      <c r="G643" s="55"/>
      <c r="H643" s="29"/>
      <c r="I643" s="29"/>
      <c r="J643" s="29"/>
      <c r="K643" s="55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spans="1:31" ht="15.75" customHeight="1">
      <c r="A644" s="29"/>
      <c r="B644" s="152"/>
      <c r="C644" s="29"/>
      <c r="D644" s="32"/>
      <c r="E644" s="32"/>
      <c r="F644" s="55"/>
      <c r="G644" s="55"/>
      <c r="H644" s="29"/>
      <c r="I644" s="29"/>
      <c r="J644" s="29"/>
      <c r="K644" s="55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spans="1:31" ht="15.75" customHeight="1">
      <c r="A645" s="29"/>
      <c r="B645" s="152"/>
      <c r="C645" s="29"/>
      <c r="D645" s="32"/>
      <c r="E645" s="32"/>
      <c r="F645" s="55"/>
      <c r="G645" s="55"/>
      <c r="H645" s="29"/>
      <c r="I645" s="29"/>
      <c r="J645" s="29"/>
      <c r="K645" s="55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spans="1:31" ht="15.75" customHeight="1">
      <c r="A646" s="29"/>
      <c r="B646" s="152"/>
      <c r="C646" s="29"/>
      <c r="D646" s="32"/>
      <c r="E646" s="32"/>
      <c r="F646" s="55"/>
      <c r="G646" s="55"/>
      <c r="H646" s="29"/>
      <c r="I646" s="29"/>
      <c r="J646" s="29"/>
      <c r="K646" s="55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spans="1:31" ht="15.75" customHeight="1">
      <c r="A647" s="29"/>
      <c r="B647" s="152"/>
      <c r="C647" s="29"/>
      <c r="D647" s="32"/>
      <c r="E647" s="32"/>
      <c r="F647" s="55"/>
      <c r="G647" s="55"/>
      <c r="H647" s="29"/>
      <c r="I647" s="29"/>
      <c r="J647" s="29"/>
      <c r="K647" s="55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spans="1:31" ht="15.75" customHeight="1">
      <c r="A648" s="29"/>
      <c r="B648" s="152"/>
      <c r="C648" s="29"/>
      <c r="D648" s="32"/>
      <c r="E648" s="32"/>
      <c r="F648" s="55"/>
      <c r="G648" s="55"/>
      <c r="H648" s="29"/>
      <c r="I648" s="29"/>
      <c r="J648" s="29"/>
      <c r="K648" s="55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spans="1:31" ht="15.75" customHeight="1">
      <c r="A649" s="29"/>
      <c r="B649" s="152"/>
      <c r="C649" s="29"/>
      <c r="D649" s="32"/>
      <c r="E649" s="32"/>
      <c r="F649" s="55"/>
      <c r="G649" s="55"/>
      <c r="H649" s="29"/>
      <c r="I649" s="29"/>
      <c r="J649" s="29"/>
      <c r="K649" s="55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spans="1:31" ht="15.75" customHeight="1">
      <c r="A650" s="29"/>
      <c r="B650" s="152"/>
      <c r="C650" s="29"/>
      <c r="D650" s="32"/>
      <c r="E650" s="32"/>
      <c r="F650" s="55"/>
      <c r="G650" s="55"/>
      <c r="H650" s="29"/>
      <c r="I650" s="29"/>
      <c r="J650" s="29"/>
      <c r="K650" s="55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spans="1:31" ht="15.75" customHeight="1">
      <c r="A651" s="29"/>
      <c r="B651" s="152"/>
      <c r="C651" s="29"/>
      <c r="D651" s="32"/>
      <c r="E651" s="32"/>
      <c r="F651" s="55"/>
      <c r="G651" s="55"/>
      <c r="H651" s="29"/>
      <c r="I651" s="29"/>
      <c r="J651" s="29"/>
      <c r="K651" s="55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spans="1:31" ht="15.75" customHeight="1">
      <c r="A652" s="29"/>
      <c r="B652" s="152"/>
      <c r="C652" s="29"/>
      <c r="D652" s="32"/>
      <c r="E652" s="32"/>
      <c r="F652" s="55"/>
      <c r="G652" s="55"/>
      <c r="H652" s="29"/>
      <c r="I652" s="29"/>
      <c r="J652" s="29"/>
      <c r="K652" s="55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spans="1:31" ht="15.75" customHeight="1">
      <c r="A653" s="29"/>
      <c r="B653" s="152"/>
      <c r="C653" s="29"/>
      <c r="D653" s="32"/>
      <c r="E653" s="32"/>
      <c r="F653" s="55"/>
      <c r="G653" s="55"/>
      <c r="H653" s="29"/>
      <c r="I653" s="29"/>
      <c r="J653" s="29"/>
      <c r="K653" s="55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spans="1:31" ht="15.75" customHeight="1">
      <c r="A654" s="29"/>
      <c r="B654" s="152"/>
      <c r="C654" s="29"/>
      <c r="D654" s="32"/>
      <c r="E654" s="32"/>
      <c r="F654" s="55"/>
      <c r="G654" s="55"/>
      <c r="H654" s="29"/>
      <c r="I654" s="29"/>
      <c r="J654" s="29"/>
      <c r="K654" s="55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spans="1:31" ht="15.75" customHeight="1">
      <c r="A655" s="29"/>
      <c r="B655" s="152"/>
      <c r="C655" s="29"/>
      <c r="D655" s="32"/>
      <c r="E655" s="32"/>
      <c r="F655" s="55"/>
      <c r="G655" s="55"/>
      <c r="H655" s="29"/>
      <c r="I655" s="29"/>
      <c r="J655" s="29"/>
      <c r="K655" s="55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spans="1:31" ht="15.75" customHeight="1">
      <c r="A656" s="29"/>
      <c r="B656" s="152"/>
      <c r="C656" s="29"/>
      <c r="D656" s="32"/>
      <c r="E656" s="32"/>
      <c r="F656" s="55"/>
      <c r="G656" s="55"/>
      <c r="H656" s="29"/>
      <c r="I656" s="29"/>
      <c r="J656" s="29"/>
      <c r="K656" s="55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spans="1:31" ht="15.75" customHeight="1">
      <c r="A657" s="29"/>
      <c r="B657" s="152"/>
      <c r="C657" s="29"/>
      <c r="D657" s="32"/>
      <c r="E657" s="32"/>
      <c r="F657" s="55"/>
      <c r="G657" s="55"/>
      <c r="H657" s="29"/>
      <c r="I657" s="29"/>
      <c r="J657" s="29"/>
      <c r="K657" s="55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spans="1:31" ht="15.75" customHeight="1">
      <c r="A658" s="29"/>
      <c r="B658" s="152"/>
      <c r="C658" s="29"/>
      <c r="D658" s="32"/>
      <c r="E658" s="32"/>
      <c r="F658" s="55"/>
      <c r="G658" s="55"/>
      <c r="H658" s="29"/>
      <c r="I658" s="29"/>
      <c r="J658" s="29"/>
      <c r="K658" s="55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spans="1:31" ht="15.75" customHeight="1">
      <c r="A659" s="29"/>
      <c r="B659" s="152"/>
      <c r="C659" s="29"/>
      <c r="D659" s="32"/>
      <c r="E659" s="32"/>
      <c r="F659" s="55"/>
      <c r="G659" s="55"/>
      <c r="H659" s="29"/>
      <c r="I659" s="29"/>
      <c r="J659" s="29"/>
      <c r="K659" s="55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spans="1:31" ht="15.75" customHeight="1">
      <c r="A660" s="29"/>
      <c r="B660" s="152"/>
      <c r="C660" s="29"/>
      <c r="D660" s="32"/>
      <c r="E660" s="32"/>
      <c r="F660" s="55"/>
      <c r="G660" s="55"/>
      <c r="H660" s="29"/>
      <c r="I660" s="29"/>
      <c r="J660" s="29"/>
      <c r="K660" s="55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spans="1:31" ht="15.75" customHeight="1">
      <c r="A661" s="29"/>
      <c r="B661" s="152"/>
      <c r="C661" s="29"/>
      <c r="D661" s="32"/>
      <c r="E661" s="32"/>
      <c r="F661" s="55"/>
      <c r="G661" s="55"/>
      <c r="H661" s="29"/>
      <c r="I661" s="29"/>
      <c r="J661" s="29"/>
      <c r="K661" s="55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spans="1:31" ht="15.75" customHeight="1">
      <c r="A662" s="29"/>
      <c r="B662" s="152"/>
      <c r="C662" s="29"/>
      <c r="D662" s="32"/>
      <c r="E662" s="32"/>
      <c r="F662" s="55"/>
      <c r="G662" s="55"/>
      <c r="H662" s="29"/>
      <c r="I662" s="29"/>
      <c r="J662" s="29"/>
      <c r="K662" s="55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spans="1:31" ht="15.75" customHeight="1">
      <c r="A663" s="29"/>
      <c r="B663" s="152"/>
      <c r="C663" s="29"/>
      <c r="D663" s="32"/>
      <c r="E663" s="32"/>
      <c r="F663" s="55"/>
      <c r="G663" s="55"/>
      <c r="H663" s="29"/>
      <c r="I663" s="29"/>
      <c r="J663" s="29"/>
      <c r="K663" s="55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spans="1:31" ht="15.75" customHeight="1">
      <c r="A664" s="29"/>
      <c r="B664" s="152"/>
      <c r="C664" s="29"/>
      <c r="D664" s="32"/>
      <c r="E664" s="32"/>
      <c r="F664" s="55"/>
      <c r="G664" s="55"/>
      <c r="H664" s="29"/>
      <c r="I664" s="29"/>
      <c r="J664" s="29"/>
      <c r="K664" s="55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spans="1:31" ht="15.75" customHeight="1">
      <c r="A665" s="29"/>
      <c r="B665" s="152"/>
      <c r="C665" s="29"/>
      <c r="D665" s="32"/>
      <c r="E665" s="32"/>
      <c r="F665" s="55"/>
      <c r="G665" s="55"/>
      <c r="H665" s="29"/>
      <c r="I665" s="29"/>
      <c r="J665" s="29"/>
      <c r="K665" s="55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spans="1:31" ht="15.75" customHeight="1">
      <c r="A666" s="29"/>
      <c r="B666" s="152"/>
      <c r="C666" s="29"/>
      <c r="D666" s="32"/>
      <c r="E666" s="32"/>
      <c r="F666" s="55"/>
      <c r="G666" s="55"/>
      <c r="H666" s="29"/>
      <c r="I666" s="29"/>
      <c r="J666" s="29"/>
      <c r="K666" s="55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spans="1:31" ht="15.75" customHeight="1">
      <c r="A667" s="29"/>
      <c r="B667" s="152"/>
      <c r="C667" s="29"/>
      <c r="D667" s="32"/>
      <c r="E667" s="32"/>
      <c r="F667" s="55"/>
      <c r="G667" s="55"/>
      <c r="H667" s="29"/>
      <c r="I667" s="29"/>
      <c r="J667" s="29"/>
      <c r="K667" s="55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spans="1:31" ht="15.75" customHeight="1">
      <c r="A668" s="29"/>
      <c r="B668" s="152"/>
      <c r="C668" s="29"/>
      <c r="D668" s="32"/>
      <c r="E668" s="32"/>
      <c r="F668" s="55"/>
      <c r="G668" s="55"/>
      <c r="H668" s="29"/>
      <c r="I668" s="29"/>
      <c r="J668" s="29"/>
      <c r="K668" s="55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spans="1:31" ht="15.75" customHeight="1">
      <c r="A669" s="29"/>
      <c r="B669" s="152"/>
      <c r="C669" s="29"/>
      <c r="D669" s="32"/>
      <c r="E669" s="32"/>
      <c r="F669" s="55"/>
      <c r="G669" s="55"/>
      <c r="H669" s="29"/>
      <c r="I669" s="29"/>
      <c r="J669" s="29"/>
      <c r="K669" s="55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spans="1:31" ht="15.75" customHeight="1">
      <c r="A670" s="29"/>
      <c r="B670" s="152"/>
      <c r="C670" s="29"/>
      <c r="D670" s="32"/>
      <c r="E670" s="32"/>
      <c r="F670" s="55"/>
      <c r="G670" s="55"/>
      <c r="H670" s="29"/>
      <c r="I670" s="29"/>
      <c r="J670" s="29"/>
      <c r="K670" s="55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spans="1:31" ht="15.75" customHeight="1">
      <c r="A671" s="29"/>
      <c r="B671" s="152"/>
      <c r="C671" s="29"/>
      <c r="D671" s="32"/>
      <c r="E671" s="32"/>
      <c r="F671" s="55"/>
      <c r="G671" s="55"/>
      <c r="H671" s="29"/>
      <c r="I671" s="29"/>
      <c r="J671" s="29"/>
      <c r="K671" s="55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spans="1:31" ht="15.75" customHeight="1">
      <c r="A672" s="29"/>
      <c r="B672" s="152"/>
      <c r="C672" s="29"/>
      <c r="D672" s="32"/>
      <c r="E672" s="32"/>
      <c r="F672" s="55"/>
      <c r="G672" s="55"/>
      <c r="H672" s="29"/>
      <c r="I672" s="29"/>
      <c r="J672" s="29"/>
      <c r="K672" s="55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spans="1:31" ht="15.75" customHeight="1">
      <c r="A673" s="29"/>
      <c r="B673" s="152"/>
      <c r="C673" s="29"/>
      <c r="D673" s="32"/>
      <c r="E673" s="32"/>
      <c r="F673" s="55"/>
      <c r="G673" s="55"/>
      <c r="H673" s="29"/>
      <c r="I673" s="29"/>
      <c r="J673" s="29"/>
      <c r="K673" s="55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spans="1:31" ht="15.75" customHeight="1">
      <c r="A674" s="29"/>
      <c r="B674" s="152"/>
      <c r="C674" s="29"/>
      <c r="D674" s="32"/>
      <c r="E674" s="32"/>
      <c r="F674" s="55"/>
      <c r="G674" s="55"/>
      <c r="H674" s="29"/>
      <c r="I674" s="29"/>
      <c r="J674" s="29"/>
      <c r="K674" s="55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spans="1:31" ht="15.75" customHeight="1">
      <c r="A675" s="29"/>
      <c r="B675" s="152"/>
      <c r="C675" s="29"/>
      <c r="D675" s="32"/>
      <c r="E675" s="32"/>
      <c r="F675" s="55"/>
      <c r="G675" s="55"/>
      <c r="H675" s="29"/>
      <c r="I675" s="29"/>
      <c r="J675" s="29"/>
      <c r="K675" s="55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spans="1:31" ht="15.75" customHeight="1">
      <c r="A676" s="29"/>
      <c r="B676" s="152"/>
      <c r="C676" s="29"/>
      <c r="D676" s="32"/>
      <c r="E676" s="32"/>
      <c r="F676" s="55"/>
      <c r="G676" s="55"/>
      <c r="H676" s="29"/>
      <c r="I676" s="29"/>
      <c r="J676" s="29"/>
      <c r="K676" s="55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spans="1:31" ht="15.75" customHeight="1">
      <c r="A677" s="29"/>
      <c r="B677" s="152"/>
      <c r="C677" s="29"/>
      <c r="D677" s="32"/>
      <c r="E677" s="32"/>
      <c r="F677" s="55"/>
      <c r="G677" s="55"/>
      <c r="H677" s="29"/>
      <c r="I677" s="29"/>
      <c r="J677" s="29"/>
      <c r="K677" s="55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spans="1:31" ht="15.75" customHeight="1">
      <c r="A678" s="29"/>
      <c r="B678" s="152"/>
      <c r="C678" s="29"/>
      <c r="D678" s="32"/>
      <c r="E678" s="32"/>
      <c r="F678" s="55"/>
      <c r="G678" s="55"/>
      <c r="H678" s="29"/>
      <c r="I678" s="29"/>
      <c r="J678" s="29"/>
      <c r="K678" s="55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spans="1:31" ht="15.75" customHeight="1">
      <c r="A679" s="29"/>
      <c r="B679" s="152"/>
      <c r="C679" s="29"/>
      <c r="D679" s="32"/>
      <c r="E679" s="32"/>
      <c r="F679" s="55"/>
      <c r="G679" s="55"/>
      <c r="H679" s="29"/>
      <c r="I679" s="29"/>
      <c r="J679" s="29"/>
      <c r="K679" s="55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spans="1:31" ht="15.75" customHeight="1">
      <c r="A680" s="29"/>
      <c r="B680" s="152"/>
      <c r="C680" s="29"/>
      <c r="D680" s="32"/>
      <c r="E680" s="32"/>
      <c r="F680" s="55"/>
      <c r="G680" s="55"/>
      <c r="H680" s="29"/>
      <c r="I680" s="29"/>
      <c r="J680" s="29"/>
      <c r="K680" s="55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spans="1:31" ht="15.75" customHeight="1">
      <c r="A681" s="29"/>
      <c r="B681" s="152"/>
      <c r="C681" s="29"/>
      <c r="D681" s="32"/>
      <c r="E681" s="32"/>
      <c r="F681" s="55"/>
      <c r="G681" s="55"/>
      <c r="H681" s="29"/>
      <c r="I681" s="29"/>
      <c r="J681" s="29"/>
      <c r="K681" s="55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spans="1:31" ht="15.75" customHeight="1">
      <c r="A682" s="29"/>
      <c r="B682" s="152"/>
      <c r="C682" s="29"/>
      <c r="D682" s="32"/>
      <c r="E682" s="32"/>
      <c r="F682" s="55"/>
      <c r="G682" s="55"/>
      <c r="H682" s="29"/>
      <c r="I682" s="29"/>
      <c r="J682" s="29"/>
      <c r="K682" s="55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spans="1:31" ht="15.75" customHeight="1">
      <c r="A683" s="29"/>
      <c r="B683" s="152"/>
      <c r="C683" s="29"/>
      <c r="D683" s="32"/>
      <c r="E683" s="32"/>
      <c r="F683" s="55"/>
      <c r="G683" s="55"/>
      <c r="H683" s="29"/>
      <c r="I683" s="29"/>
      <c r="J683" s="29"/>
      <c r="K683" s="55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spans="1:31" ht="15.75" customHeight="1">
      <c r="A684" s="29"/>
      <c r="B684" s="152"/>
      <c r="C684" s="29"/>
      <c r="D684" s="32"/>
      <c r="E684" s="32"/>
      <c r="F684" s="55"/>
      <c r="G684" s="55"/>
      <c r="H684" s="29"/>
      <c r="I684" s="29"/>
      <c r="J684" s="29"/>
      <c r="K684" s="55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spans="1:31" ht="15.75" customHeight="1">
      <c r="A685" s="29"/>
      <c r="B685" s="152"/>
      <c r="C685" s="29"/>
      <c r="D685" s="32"/>
      <c r="E685" s="32"/>
      <c r="F685" s="55"/>
      <c r="G685" s="55"/>
      <c r="H685" s="29"/>
      <c r="I685" s="29"/>
      <c r="J685" s="29"/>
      <c r="K685" s="55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spans="1:31" ht="15.75" customHeight="1">
      <c r="A686" s="29"/>
      <c r="B686" s="152"/>
      <c r="C686" s="29"/>
      <c r="D686" s="32"/>
      <c r="E686" s="32"/>
      <c r="F686" s="55"/>
      <c r="G686" s="55"/>
      <c r="H686" s="29"/>
      <c r="I686" s="29"/>
      <c r="J686" s="29"/>
      <c r="K686" s="55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spans="1:31" ht="15.75" customHeight="1">
      <c r="A687" s="29"/>
      <c r="B687" s="152"/>
      <c r="C687" s="29"/>
      <c r="D687" s="32"/>
      <c r="E687" s="32"/>
      <c r="F687" s="55"/>
      <c r="G687" s="55"/>
      <c r="H687" s="29"/>
      <c r="I687" s="29"/>
      <c r="J687" s="29"/>
      <c r="K687" s="55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spans="1:31" ht="15.75" customHeight="1">
      <c r="A688" s="29"/>
      <c r="B688" s="152"/>
      <c r="C688" s="29"/>
      <c r="D688" s="32"/>
      <c r="E688" s="32"/>
      <c r="F688" s="55"/>
      <c r="G688" s="55"/>
      <c r="H688" s="29"/>
      <c r="I688" s="29"/>
      <c r="J688" s="29"/>
      <c r="K688" s="55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spans="1:31" ht="15.75" customHeight="1">
      <c r="A689" s="29"/>
      <c r="B689" s="152"/>
      <c r="C689" s="29"/>
      <c r="D689" s="32"/>
      <c r="E689" s="32"/>
      <c r="F689" s="55"/>
      <c r="G689" s="55"/>
      <c r="H689" s="29"/>
      <c r="I689" s="29"/>
      <c r="J689" s="29"/>
      <c r="K689" s="55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spans="1:31" ht="15.75" customHeight="1">
      <c r="A690" s="29"/>
      <c r="B690" s="152"/>
      <c r="C690" s="29"/>
      <c r="D690" s="32"/>
      <c r="E690" s="32"/>
      <c r="F690" s="55"/>
      <c r="G690" s="55"/>
      <c r="H690" s="29"/>
      <c r="I690" s="29"/>
      <c r="J690" s="29"/>
      <c r="K690" s="55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spans="1:31" ht="15.75" customHeight="1">
      <c r="A691" s="29"/>
      <c r="B691" s="152"/>
      <c r="C691" s="29"/>
      <c r="D691" s="32"/>
      <c r="E691" s="32"/>
      <c r="F691" s="55"/>
      <c r="G691" s="55"/>
      <c r="H691" s="29"/>
      <c r="I691" s="29"/>
      <c r="J691" s="29"/>
      <c r="K691" s="55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spans="1:31" ht="15.75" customHeight="1">
      <c r="A692" s="29"/>
      <c r="B692" s="152"/>
      <c r="C692" s="29"/>
      <c r="D692" s="32"/>
      <c r="E692" s="32"/>
      <c r="F692" s="55"/>
      <c r="G692" s="55"/>
      <c r="H692" s="29"/>
      <c r="I692" s="29"/>
      <c r="J692" s="29"/>
      <c r="K692" s="55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spans="1:31" ht="15.75" customHeight="1">
      <c r="A693" s="29"/>
      <c r="B693" s="152"/>
      <c r="C693" s="29"/>
      <c r="D693" s="32"/>
      <c r="E693" s="32"/>
      <c r="F693" s="55"/>
      <c r="G693" s="55"/>
      <c r="H693" s="29"/>
      <c r="I693" s="29"/>
      <c r="J693" s="29"/>
      <c r="K693" s="55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spans="1:31" ht="15.75" customHeight="1">
      <c r="A694" s="29"/>
      <c r="B694" s="152"/>
      <c r="C694" s="29"/>
      <c r="D694" s="32"/>
      <c r="E694" s="32"/>
      <c r="F694" s="55"/>
      <c r="G694" s="55"/>
      <c r="H694" s="29"/>
      <c r="I694" s="29"/>
      <c r="J694" s="29"/>
      <c r="K694" s="55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spans="1:31" ht="15.75" customHeight="1">
      <c r="A695" s="29"/>
      <c r="B695" s="152"/>
      <c r="C695" s="29"/>
      <c r="D695" s="32"/>
      <c r="E695" s="32"/>
      <c r="F695" s="55"/>
      <c r="G695" s="55"/>
      <c r="H695" s="29"/>
      <c r="I695" s="29"/>
      <c r="J695" s="29"/>
      <c r="K695" s="55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spans="1:31" ht="15.75" customHeight="1">
      <c r="A696" s="29"/>
      <c r="B696" s="152"/>
      <c r="C696" s="29"/>
      <c r="D696" s="32"/>
      <c r="E696" s="32"/>
      <c r="F696" s="55"/>
      <c r="G696" s="55"/>
      <c r="H696" s="29"/>
      <c r="I696" s="29"/>
      <c r="J696" s="29"/>
      <c r="K696" s="55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spans="1:31" ht="15.75" customHeight="1">
      <c r="A697" s="29"/>
      <c r="B697" s="152"/>
      <c r="C697" s="29"/>
      <c r="D697" s="32"/>
      <c r="E697" s="32"/>
      <c r="F697" s="55"/>
      <c r="G697" s="55"/>
      <c r="H697" s="29"/>
      <c r="I697" s="29"/>
      <c r="J697" s="29"/>
      <c r="K697" s="55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spans="1:31" ht="15.75" customHeight="1">
      <c r="A698" s="29"/>
      <c r="B698" s="152"/>
      <c r="C698" s="29"/>
      <c r="D698" s="32"/>
      <c r="E698" s="32"/>
      <c r="F698" s="55"/>
      <c r="G698" s="55"/>
      <c r="H698" s="29"/>
      <c r="I698" s="29"/>
      <c r="J698" s="29"/>
      <c r="K698" s="55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spans="1:31" ht="15.75" customHeight="1">
      <c r="A699" s="29"/>
      <c r="B699" s="152"/>
      <c r="C699" s="29"/>
      <c r="D699" s="32"/>
      <c r="E699" s="32"/>
      <c r="F699" s="55"/>
      <c r="G699" s="55"/>
      <c r="H699" s="29"/>
      <c r="I699" s="29"/>
      <c r="J699" s="29"/>
      <c r="K699" s="55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spans="1:31" ht="15.75" customHeight="1">
      <c r="A700" s="29"/>
      <c r="B700" s="152"/>
      <c r="C700" s="29"/>
      <c r="D700" s="32"/>
      <c r="E700" s="32"/>
      <c r="F700" s="55"/>
      <c r="G700" s="55"/>
      <c r="H700" s="29"/>
      <c r="I700" s="29"/>
      <c r="J700" s="29"/>
      <c r="K700" s="55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spans="1:31" ht="15.75" customHeight="1">
      <c r="A701" s="29"/>
      <c r="B701" s="152"/>
      <c r="C701" s="29"/>
      <c r="D701" s="32"/>
      <c r="E701" s="32"/>
      <c r="F701" s="55"/>
      <c r="G701" s="55"/>
      <c r="H701" s="29"/>
      <c r="I701" s="29"/>
      <c r="J701" s="29"/>
      <c r="K701" s="55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spans="1:31" ht="15.75" customHeight="1">
      <c r="A702" s="29"/>
      <c r="B702" s="152"/>
      <c r="C702" s="29"/>
      <c r="D702" s="32"/>
      <c r="E702" s="32"/>
      <c r="F702" s="55"/>
      <c r="G702" s="55"/>
      <c r="H702" s="29"/>
      <c r="I702" s="29"/>
      <c r="J702" s="29"/>
      <c r="K702" s="55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spans="1:31" ht="15.75" customHeight="1">
      <c r="A703" s="29"/>
      <c r="B703" s="152"/>
      <c r="C703" s="29"/>
      <c r="D703" s="32"/>
      <c r="E703" s="32"/>
      <c r="F703" s="55"/>
      <c r="G703" s="55"/>
      <c r="H703" s="29"/>
      <c r="I703" s="29"/>
      <c r="J703" s="29"/>
      <c r="K703" s="55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spans="1:31" ht="15.75" customHeight="1">
      <c r="A704" s="29"/>
      <c r="B704" s="152"/>
      <c r="C704" s="29"/>
      <c r="D704" s="32"/>
      <c r="E704" s="32"/>
      <c r="F704" s="55"/>
      <c r="G704" s="55"/>
      <c r="H704" s="29"/>
      <c r="I704" s="29"/>
      <c r="J704" s="29"/>
      <c r="K704" s="55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spans="1:31" ht="15.75" customHeight="1">
      <c r="A705" s="29"/>
      <c r="B705" s="152"/>
      <c r="C705" s="29"/>
      <c r="D705" s="32"/>
      <c r="E705" s="32"/>
      <c r="F705" s="55"/>
      <c r="G705" s="55"/>
      <c r="H705" s="29"/>
      <c r="I705" s="29"/>
      <c r="J705" s="29"/>
      <c r="K705" s="55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spans="1:31" ht="15.75" customHeight="1">
      <c r="A706" s="29"/>
      <c r="B706" s="152"/>
      <c r="C706" s="29"/>
      <c r="D706" s="32"/>
      <c r="E706" s="32"/>
      <c r="F706" s="55"/>
      <c r="G706" s="55"/>
      <c r="H706" s="29"/>
      <c r="I706" s="29"/>
      <c r="J706" s="29"/>
      <c r="K706" s="55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spans="1:31" ht="15.75" customHeight="1">
      <c r="A707" s="29"/>
      <c r="B707" s="152"/>
      <c r="C707" s="29"/>
      <c r="D707" s="32"/>
      <c r="E707" s="32"/>
      <c r="F707" s="55"/>
      <c r="G707" s="55"/>
      <c r="H707" s="29"/>
      <c r="I707" s="29"/>
      <c r="J707" s="29"/>
      <c r="K707" s="55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spans="1:31" ht="15.75" customHeight="1">
      <c r="A708" s="29"/>
      <c r="B708" s="152"/>
      <c r="C708" s="29"/>
      <c r="D708" s="32"/>
      <c r="E708" s="32"/>
      <c r="F708" s="55"/>
      <c r="G708" s="55"/>
      <c r="H708" s="29"/>
      <c r="I708" s="29"/>
      <c r="J708" s="29"/>
      <c r="K708" s="55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spans="1:31" ht="15.75" customHeight="1">
      <c r="A709" s="29"/>
      <c r="B709" s="152"/>
      <c r="C709" s="29"/>
      <c r="D709" s="32"/>
      <c r="E709" s="32"/>
      <c r="F709" s="55"/>
      <c r="G709" s="55"/>
      <c r="H709" s="29"/>
      <c r="I709" s="29"/>
      <c r="J709" s="29"/>
      <c r="K709" s="55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spans="1:31" ht="15.75" customHeight="1">
      <c r="A710" s="29"/>
      <c r="B710" s="152"/>
      <c r="C710" s="29"/>
      <c r="D710" s="32"/>
      <c r="E710" s="32"/>
      <c r="F710" s="55"/>
      <c r="G710" s="55"/>
      <c r="H710" s="29"/>
      <c r="I710" s="29"/>
      <c r="J710" s="29"/>
      <c r="K710" s="55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spans="1:31" ht="15.75" customHeight="1">
      <c r="A711" s="29"/>
      <c r="B711" s="152"/>
      <c r="C711" s="29"/>
      <c r="D711" s="32"/>
      <c r="E711" s="32"/>
      <c r="F711" s="55"/>
      <c r="G711" s="55"/>
      <c r="H711" s="29"/>
      <c r="I711" s="29"/>
      <c r="J711" s="29"/>
      <c r="K711" s="55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spans="1:31" ht="15.75" customHeight="1">
      <c r="A712" s="29"/>
      <c r="B712" s="152"/>
      <c r="C712" s="29"/>
      <c r="D712" s="32"/>
      <c r="E712" s="32"/>
      <c r="F712" s="55"/>
      <c r="G712" s="55"/>
      <c r="H712" s="29"/>
      <c r="I712" s="29"/>
      <c r="J712" s="29"/>
      <c r="K712" s="55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spans="1:31" ht="15.75" customHeight="1">
      <c r="A713" s="29"/>
      <c r="B713" s="152"/>
      <c r="C713" s="29"/>
      <c r="D713" s="32"/>
      <c r="E713" s="32"/>
      <c r="F713" s="55"/>
      <c r="G713" s="55"/>
      <c r="H713" s="29"/>
      <c r="I713" s="29"/>
      <c r="J713" s="29"/>
      <c r="K713" s="55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spans="1:31" ht="15.75" customHeight="1">
      <c r="A714" s="29"/>
      <c r="B714" s="152"/>
      <c r="C714" s="29"/>
      <c r="D714" s="32"/>
      <c r="E714" s="32"/>
      <c r="F714" s="55"/>
      <c r="G714" s="55"/>
      <c r="H714" s="29"/>
      <c r="I714" s="29"/>
      <c r="J714" s="29"/>
      <c r="K714" s="55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spans="1:31" ht="15.75" customHeight="1">
      <c r="A715" s="29"/>
      <c r="B715" s="152"/>
      <c r="C715" s="29"/>
      <c r="D715" s="32"/>
      <c r="E715" s="32"/>
      <c r="F715" s="55"/>
      <c r="G715" s="55"/>
      <c r="H715" s="29"/>
      <c r="I715" s="29"/>
      <c r="J715" s="29"/>
      <c r="K715" s="55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spans="1:31" ht="15.75" customHeight="1">
      <c r="A716" s="29"/>
      <c r="B716" s="152"/>
      <c r="C716" s="29"/>
      <c r="D716" s="32"/>
      <c r="E716" s="32"/>
      <c r="F716" s="55"/>
      <c r="G716" s="55"/>
      <c r="H716" s="29"/>
      <c r="I716" s="29"/>
      <c r="J716" s="29"/>
      <c r="K716" s="55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spans="1:31" ht="15.75" customHeight="1">
      <c r="A717" s="29"/>
      <c r="B717" s="152"/>
      <c r="C717" s="29"/>
      <c r="D717" s="32"/>
      <c r="E717" s="32"/>
      <c r="F717" s="55"/>
      <c r="G717" s="55"/>
      <c r="H717" s="29"/>
      <c r="I717" s="29"/>
      <c r="J717" s="29"/>
      <c r="K717" s="55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spans="1:31" ht="15.75" customHeight="1">
      <c r="A718" s="29"/>
      <c r="B718" s="152"/>
      <c r="C718" s="29"/>
      <c r="D718" s="32"/>
      <c r="E718" s="32"/>
      <c r="F718" s="55"/>
      <c r="G718" s="55"/>
      <c r="H718" s="29"/>
      <c r="I718" s="29"/>
      <c r="J718" s="29"/>
      <c r="K718" s="55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spans="1:31" ht="15.75" customHeight="1">
      <c r="A719" s="29"/>
      <c r="B719" s="152"/>
      <c r="C719" s="29"/>
      <c r="D719" s="32"/>
      <c r="E719" s="32"/>
      <c r="F719" s="55"/>
      <c r="G719" s="55"/>
      <c r="H719" s="29"/>
      <c r="I719" s="29"/>
      <c r="J719" s="29"/>
      <c r="K719" s="55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spans="1:31" ht="15.75" customHeight="1">
      <c r="A720" s="29"/>
      <c r="B720" s="152"/>
      <c r="C720" s="29"/>
      <c r="D720" s="32"/>
      <c r="E720" s="32"/>
      <c r="F720" s="55"/>
      <c r="G720" s="55"/>
      <c r="H720" s="29"/>
      <c r="I720" s="29"/>
      <c r="J720" s="29"/>
      <c r="K720" s="55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spans="1:31" ht="15.75" customHeight="1">
      <c r="A721" s="29"/>
      <c r="B721" s="152"/>
      <c r="C721" s="29"/>
      <c r="D721" s="32"/>
      <c r="E721" s="32"/>
      <c r="F721" s="55"/>
      <c r="G721" s="55"/>
      <c r="H721" s="29"/>
      <c r="I721" s="29"/>
      <c r="J721" s="29"/>
      <c r="K721" s="55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spans="1:31" ht="15.75" customHeight="1">
      <c r="A722" s="29"/>
      <c r="B722" s="152"/>
      <c r="C722" s="29"/>
      <c r="D722" s="32"/>
      <c r="E722" s="32"/>
      <c r="F722" s="55"/>
      <c r="G722" s="55"/>
      <c r="H722" s="29"/>
      <c r="I722" s="29"/>
      <c r="J722" s="29"/>
      <c r="K722" s="55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spans="1:31" ht="15.75" customHeight="1">
      <c r="A723" s="29"/>
      <c r="B723" s="152"/>
      <c r="C723" s="29"/>
      <c r="D723" s="32"/>
      <c r="E723" s="32"/>
      <c r="F723" s="55"/>
      <c r="G723" s="55"/>
      <c r="H723" s="29"/>
      <c r="I723" s="29"/>
      <c r="J723" s="29"/>
      <c r="K723" s="55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spans="1:31" ht="15.75" customHeight="1">
      <c r="A724" s="29"/>
      <c r="B724" s="152"/>
      <c r="C724" s="29"/>
      <c r="D724" s="32"/>
      <c r="E724" s="32"/>
      <c r="F724" s="55"/>
      <c r="G724" s="55"/>
      <c r="H724" s="29"/>
      <c r="I724" s="29"/>
      <c r="J724" s="29"/>
      <c r="K724" s="55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spans="1:31" ht="15.75" customHeight="1">
      <c r="A725" s="29"/>
      <c r="B725" s="152"/>
      <c r="C725" s="29"/>
      <c r="D725" s="32"/>
      <c r="E725" s="32"/>
      <c r="F725" s="55"/>
      <c r="G725" s="55"/>
      <c r="H725" s="29"/>
      <c r="I725" s="29"/>
      <c r="J725" s="29"/>
      <c r="K725" s="55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spans="1:31" ht="15.75" customHeight="1">
      <c r="A726" s="29"/>
      <c r="B726" s="152"/>
      <c r="C726" s="29"/>
      <c r="D726" s="32"/>
      <c r="E726" s="32"/>
      <c r="F726" s="55"/>
      <c r="G726" s="55"/>
      <c r="H726" s="29"/>
      <c r="I726" s="29"/>
      <c r="J726" s="29"/>
      <c r="K726" s="55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spans="1:31" ht="15.75" customHeight="1">
      <c r="A727" s="29"/>
      <c r="B727" s="152"/>
      <c r="C727" s="29"/>
      <c r="D727" s="32"/>
      <c r="E727" s="32"/>
      <c r="F727" s="55"/>
      <c r="G727" s="55"/>
      <c r="H727" s="29"/>
      <c r="I727" s="29"/>
      <c r="J727" s="29"/>
      <c r="K727" s="55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spans="1:31" ht="15.75" customHeight="1">
      <c r="A728" s="29"/>
      <c r="B728" s="152"/>
      <c r="C728" s="29"/>
      <c r="D728" s="32"/>
      <c r="E728" s="32"/>
      <c r="F728" s="55"/>
      <c r="G728" s="55"/>
      <c r="H728" s="29"/>
      <c r="I728" s="29"/>
      <c r="J728" s="29"/>
      <c r="K728" s="55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spans="1:31" ht="15.75" customHeight="1">
      <c r="A729" s="29"/>
      <c r="B729" s="152"/>
      <c r="C729" s="29"/>
      <c r="D729" s="32"/>
      <c r="E729" s="32"/>
      <c r="F729" s="55"/>
      <c r="G729" s="55"/>
      <c r="H729" s="29"/>
      <c r="I729" s="29"/>
      <c r="J729" s="29"/>
      <c r="K729" s="55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spans="1:31" ht="15.75" customHeight="1">
      <c r="A730" s="29"/>
      <c r="B730" s="152"/>
      <c r="C730" s="29"/>
      <c r="D730" s="32"/>
      <c r="E730" s="32"/>
      <c r="F730" s="55"/>
      <c r="G730" s="55"/>
      <c r="H730" s="29"/>
      <c r="I730" s="29"/>
      <c r="J730" s="29"/>
      <c r="K730" s="55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spans="1:31" ht="15.75" customHeight="1">
      <c r="A731" s="29"/>
      <c r="B731" s="152"/>
      <c r="C731" s="29"/>
      <c r="D731" s="32"/>
      <c r="E731" s="32"/>
      <c r="F731" s="55"/>
      <c r="G731" s="55"/>
      <c r="H731" s="29"/>
      <c r="I731" s="29"/>
      <c r="J731" s="29"/>
      <c r="K731" s="55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spans="1:31" ht="15.75" customHeight="1">
      <c r="A732" s="29"/>
      <c r="B732" s="152"/>
      <c r="C732" s="29"/>
      <c r="D732" s="32"/>
      <c r="E732" s="32"/>
      <c r="F732" s="55"/>
      <c r="G732" s="55"/>
      <c r="H732" s="29"/>
      <c r="I732" s="29"/>
      <c r="J732" s="29"/>
      <c r="K732" s="55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spans="1:31" ht="15.75" customHeight="1">
      <c r="A733" s="29"/>
      <c r="B733" s="152"/>
      <c r="C733" s="29"/>
      <c r="D733" s="32"/>
      <c r="E733" s="32"/>
      <c r="F733" s="55"/>
      <c r="G733" s="55"/>
      <c r="H733" s="29"/>
      <c r="I733" s="29"/>
      <c r="J733" s="29"/>
      <c r="K733" s="55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spans="1:31" ht="15.75" customHeight="1">
      <c r="A734" s="29"/>
      <c r="B734" s="152"/>
      <c r="C734" s="29"/>
      <c r="D734" s="32"/>
      <c r="E734" s="32"/>
      <c r="F734" s="55"/>
      <c r="G734" s="55"/>
      <c r="H734" s="29"/>
      <c r="I734" s="29"/>
      <c r="J734" s="29"/>
      <c r="K734" s="55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spans="1:31" ht="15.75" customHeight="1">
      <c r="A735" s="29"/>
      <c r="B735" s="152"/>
      <c r="C735" s="29"/>
      <c r="D735" s="32"/>
      <c r="E735" s="32"/>
      <c r="F735" s="55"/>
      <c r="G735" s="55"/>
      <c r="H735" s="29"/>
      <c r="I735" s="29"/>
      <c r="J735" s="29"/>
      <c r="K735" s="55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spans="1:31" ht="15.75" customHeight="1">
      <c r="A736" s="29"/>
      <c r="B736" s="152"/>
      <c r="C736" s="29"/>
      <c r="D736" s="32"/>
      <c r="E736" s="32"/>
      <c r="F736" s="55"/>
      <c r="G736" s="55"/>
      <c r="H736" s="29"/>
      <c r="I736" s="29"/>
      <c r="J736" s="29"/>
      <c r="K736" s="55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spans="1:31" ht="15.75" customHeight="1">
      <c r="A737" s="29"/>
      <c r="B737" s="152"/>
      <c r="C737" s="29"/>
      <c r="D737" s="32"/>
      <c r="E737" s="32"/>
      <c r="F737" s="55"/>
      <c r="G737" s="55"/>
      <c r="H737" s="29"/>
      <c r="I737" s="29"/>
      <c r="J737" s="29"/>
      <c r="K737" s="55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spans="1:31" ht="15.75" customHeight="1">
      <c r="A738" s="29"/>
      <c r="B738" s="152"/>
      <c r="C738" s="29"/>
      <c r="D738" s="32"/>
      <c r="E738" s="32"/>
      <c r="F738" s="55"/>
      <c r="G738" s="55"/>
      <c r="H738" s="29"/>
      <c r="I738" s="29"/>
      <c r="J738" s="29"/>
      <c r="K738" s="55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spans="1:31" ht="15.75" customHeight="1">
      <c r="A739" s="29"/>
      <c r="B739" s="152"/>
      <c r="C739" s="29"/>
      <c r="D739" s="32"/>
      <c r="E739" s="32"/>
      <c r="F739" s="55"/>
      <c r="G739" s="55"/>
      <c r="H739" s="29"/>
      <c r="I739" s="29"/>
      <c r="J739" s="29"/>
      <c r="K739" s="55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spans="1:31" ht="15.75" customHeight="1">
      <c r="A740" s="29"/>
      <c r="B740" s="152"/>
      <c r="C740" s="29"/>
      <c r="D740" s="32"/>
      <c r="E740" s="32"/>
      <c r="F740" s="55"/>
      <c r="G740" s="55"/>
      <c r="H740" s="29"/>
      <c r="I740" s="29"/>
      <c r="J740" s="29"/>
      <c r="K740" s="55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spans="1:31" ht="15.75" customHeight="1">
      <c r="A741" s="29"/>
      <c r="B741" s="152"/>
      <c r="C741" s="29"/>
      <c r="D741" s="32"/>
      <c r="E741" s="32"/>
      <c r="F741" s="55"/>
      <c r="G741" s="55"/>
      <c r="H741" s="29"/>
      <c r="I741" s="29"/>
      <c r="J741" s="29"/>
      <c r="K741" s="55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spans="1:31" ht="15.75" customHeight="1">
      <c r="A742" s="29"/>
      <c r="B742" s="152"/>
      <c r="C742" s="29"/>
      <c r="D742" s="32"/>
      <c r="E742" s="32"/>
      <c r="F742" s="55"/>
      <c r="G742" s="55"/>
      <c r="H742" s="29"/>
      <c r="I742" s="29"/>
      <c r="J742" s="29"/>
      <c r="K742" s="55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spans="1:31" ht="15.75" customHeight="1">
      <c r="A743" s="29"/>
      <c r="B743" s="152"/>
      <c r="C743" s="29"/>
      <c r="D743" s="32"/>
      <c r="E743" s="32"/>
      <c r="F743" s="55"/>
      <c r="G743" s="55"/>
      <c r="H743" s="29"/>
      <c r="I743" s="29"/>
      <c r="J743" s="29"/>
      <c r="K743" s="55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spans="1:31" ht="15.75" customHeight="1">
      <c r="A744" s="29"/>
      <c r="B744" s="152"/>
      <c r="C744" s="29"/>
      <c r="D744" s="32"/>
      <c r="E744" s="32"/>
      <c r="F744" s="55"/>
      <c r="G744" s="55"/>
      <c r="H744" s="29"/>
      <c r="I744" s="29"/>
      <c r="J744" s="29"/>
      <c r="K744" s="55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spans="1:31" ht="15.75" customHeight="1">
      <c r="A745" s="29"/>
      <c r="B745" s="152"/>
      <c r="C745" s="29"/>
      <c r="D745" s="32"/>
      <c r="E745" s="32"/>
      <c r="F745" s="55"/>
      <c r="G745" s="55"/>
      <c r="H745" s="29"/>
      <c r="I745" s="29"/>
      <c r="J745" s="29"/>
      <c r="K745" s="55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spans="1:31" ht="15.75" customHeight="1">
      <c r="A746" s="29"/>
      <c r="B746" s="152"/>
      <c r="C746" s="29"/>
      <c r="D746" s="32"/>
      <c r="E746" s="32"/>
      <c r="F746" s="55"/>
      <c r="G746" s="55"/>
      <c r="H746" s="29"/>
      <c r="I746" s="29"/>
      <c r="J746" s="29"/>
      <c r="K746" s="55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spans="1:31" ht="15.75" customHeight="1">
      <c r="A747" s="29"/>
      <c r="B747" s="152"/>
      <c r="C747" s="29"/>
      <c r="D747" s="32"/>
      <c r="E747" s="32"/>
      <c r="F747" s="55"/>
      <c r="G747" s="55"/>
      <c r="H747" s="29"/>
      <c r="I747" s="29"/>
      <c r="J747" s="29"/>
      <c r="K747" s="55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spans="1:31" ht="15.75" customHeight="1">
      <c r="A748" s="29"/>
      <c r="B748" s="152"/>
      <c r="C748" s="29"/>
      <c r="D748" s="32"/>
      <c r="E748" s="32"/>
      <c r="F748" s="55"/>
      <c r="G748" s="55"/>
      <c r="H748" s="29"/>
      <c r="I748" s="29"/>
      <c r="J748" s="29"/>
      <c r="K748" s="55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spans="1:31" ht="15.75" customHeight="1">
      <c r="A749" s="29"/>
      <c r="B749" s="152"/>
      <c r="C749" s="29"/>
      <c r="D749" s="32"/>
      <c r="E749" s="32"/>
      <c r="F749" s="55"/>
      <c r="G749" s="55"/>
      <c r="H749" s="29"/>
      <c r="I749" s="29"/>
      <c r="J749" s="29"/>
      <c r="K749" s="55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spans="1:31" ht="15.75" customHeight="1">
      <c r="A750" s="29"/>
      <c r="B750" s="152"/>
      <c r="C750" s="29"/>
      <c r="D750" s="32"/>
      <c r="E750" s="32"/>
      <c r="F750" s="55"/>
      <c r="G750" s="55"/>
      <c r="H750" s="29"/>
      <c r="I750" s="29"/>
      <c r="J750" s="29"/>
      <c r="K750" s="55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spans="1:31" ht="15.75" customHeight="1">
      <c r="A751" s="29"/>
      <c r="B751" s="152"/>
      <c r="C751" s="29"/>
      <c r="D751" s="32"/>
      <c r="E751" s="32"/>
      <c r="F751" s="55"/>
      <c r="G751" s="55"/>
      <c r="H751" s="29"/>
      <c r="I751" s="29"/>
      <c r="J751" s="29"/>
      <c r="K751" s="55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spans="1:31" ht="15.75" customHeight="1">
      <c r="A752" s="29"/>
      <c r="B752" s="152"/>
      <c r="C752" s="29"/>
      <c r="D752" s="32"/>
      <c r="E752" s="32"/>
      <c r="F752" s="55"/>
      <c r="G752" s="55"/>
      <c r="H752" s="29"/>
      <c r="I752" s="29"/>
      <c r="J752" s="29"/>
      <c r="K752" s="55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spans="1:31" ht="15.75" customHeight="1">
      <c r="A753" s="29"/>
      <c r="B753" s="152"/>
      <c r="C753" s="29"/>
      <c r="D753" s="32"/>
      <c r="E753" s="32"/>
      <c r="F753" s="55"/>
      <c r="G753" s="55"/>
      <c r="H753" s="29"/>
      <c r="I753" s="29"/>
      <c r="J753" s="29"/>
      <c r="K753" s="55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spans="1:31" ht="15.75" customHeight="1">
      <c r="A754" s="29"/>
      <c r="B754" s="152"/>
      <c r="C754" s="29"/>
      <c r="D754" s="32"/>
      <c r="E754" s="32"/>
      <c r="F754" s="55"/>
      <c r="G754" s="55"/>
      <c r="H754" s="29"/>
      <c r="I754" s="29"/>
      <c r="J754" s="29"/>
      <c r="K754" s="55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spans="1:31" ht="15.75" customHeight="1">
      <c r="A755" s="29"/>
      <c r="B755" s="152"/>
      <c r="C755" s="29"/>
      <c r="D755" s="32"/>
      <c r="E755" s="32"/>
      <c r="F755" s="55"/>
      <c r="G755" s="55"/>
      <c r="H755" s="29"/>
      <c r="I755" s="29"/>
      <c r="J755" s="29"/>
      <c r="K755" s="55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spans="1:31" ht="15.75" customHeight="1">
      <c r="A756" s="29"/>
      <c r="B756" s="152"/>
      <c r="C756" s="29"/>
      <c r="D756" s="32"/>
      <c r="E756" s="32"/>
      <c r="F756" s="55"/>
      <c r="G756" s="55"/>
      <c r="H756" s="29"/>
      <c r="I756" s="29"/>
      <c r="J756" s="29"/>
      <c r="K756" s="55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spans="1:31" ht="15.75" customHeight="1">
      <c r="A757" s="29"/>
      <c r="B757" s="152"/>
      <c r="C757" s="29"/>
      <c r="D757" s="32"/>
      <c r="E757" s="32"/>
      <c r="F757" s="55"/>
      <c r="G757" s="55"/>
      <c r="H757" s="29"/>
      <c r="I757" s="29"/>
      <c r="J757" s="29"/>
      <c r="K757" s="55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spans="1:31" ht="15.75" customHeight="1">
      <c r="A758" s="29"/>
      <c r="B758" s="152"/>
      <c r="C758" s="29"/>
      <c r="D758" s="32"/>
      <c r="E758" s="32"/>
      <c r="F758" s="55"/>
      <c r="G758" s="55"/>
      <c r="H758" s="29"/>
      <c r="I758" s="29"/>
      <c r="J758" s="29"/>
      <c r="K758" s="55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spans="1:31" ht="15.75" customHeight="1">
      <c r="A759" s="29"/>
      <c r="B759" s="152"/>
      <c r="C759" s="29"/>
      <c r="D759" s="32"/>
      <c r="E759" s="32"/>
      <c r="F759" s="55"/>
      <c r="G759" s="55"/>
      <c r="H759" s="29"/>
      <c r="I759" s="29"/>
      <c r="J759" s="29"/>
      <c r="K759" s="55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spans="1:31" ht="15.75" customHeight="1">
      <c r="A760" s="29"/>
      <c r="B760" s="152"/>
      <c r="C760" s="29"/>
      <c r="D760" s="32"/>
      <c r="E760" s="32"/>
      <c r="F760" s="55"/>
      <c r="G760" s="55"/>
      <c r="H760" s="29"/>
      <c r="I760" s="29"/>
      <c r="J760" s="29"/>
      <c r="K760" s="55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spans="1:31" ht="15.75" customHeight="1">
      <c r="A761" s="29"/>
      <c r="B761" s="152"/>
      <c r="C761" s="29"/>
      <c r="D761" s="32"/>
      <c r="E761" s="32"/>
      <c r="F761" s="55"/>
      <c r="G761" s="55"/>
      <c r="H761" s="29"/>
      <c r="I761" s="29"/>
      <c r="J761" s="29"/>
      <c r="K761" s="55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spans="1:31" ht="15.75" customHeight="1">
      <c r="A762" s="29"/>
      <c r="B762" s="152"/>
      <c r="C762" s="29"/>
      <c r="D762" s="32"/>
      <c r="E762" s="32"/>
      <c r="F762" s="55"/>
      <c r="G762" s="55"/>
      <c r="H762" s="29"/>
      <c r="I762" s="29"/>
      <c r="J762" s="29"/>
      <c r="K762" s="55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spans="1:31" ht="15.75" customHeight="1">
      <c r="A763" s="29"/>
      <c r="B763" s="152"/>
      <c r="C763" s="29"/>
      <c r="D763" s="32"/>
      <c r="E763" s="32"/>
      <c r="F763" s="55"/>
      <c r="G763" s="55"/>
      <c r="H763" s="29"/>
      <c r="I763" s="29"/>
      <c r="J763" s="29"/>
      <c r="K763" s="55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spans="1:31" ht="15.75" customHeight="1">
      <c r="A764" s="29"/>
      <c r="B764" s="152"/>
      <c r="C764" s="29"/>
      <c r="D764" s="32"/>
      <c r="E764" s="32"/>
      <c r="F764" s="55"/>
      <c r="G764" s="55"/>
      <c r="H764" s="29"/>
      <c r="I764" s="29"/>
      <c r="J764" s="29"/>
      <c r="K764" s="55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spans="1:31" ht="15.75" customHeight="1">
      <c r="A765" s="29"/>
      <c r="B765" s="152"/>
      <c r="C765" s="29"/>
      <c r="D765" s="32"/>
      <c r="E765" s="32"/>
      <c r="F765" s="55"/>
      <c r="G765" s="55"/>
      <c r="H765" s="29"/>
      <c r="I765" s="29"/>
      <c r="J765" s="29"/>
      <c r="K765" s="55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spans="1:31" ht="15.75" customHeight="1">
      <c r="A766" s="29"/>
      <c r="B766" s="152"/>
      <c r="C766" s="29"/>
      <c r="D766" s="32"/>
      <c r="E766" s="32"/>
      <c r="F766" s="55"/>
      <c r="G766" s="55"/>
      <c r="H766" s="29"/>
      <c r="I766" s="29"/>
      <c r="J766" s="29"/>
      <c r="K766" s="55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spans="1:31" ht="15.75" customHeight="1">
      <c r="A767" s="29"/>
      <c r="B767" s="152"/>
      <c r="C767" s="29"/>
      <c r="D767" s="32"/>
      <c r="E767" s="32"/>
      <c r="F767" s="55"/>
      <c r="G767" s="55"/>
      <c r="H767" s="29"/>
      <c r="I767" s="29"/>
      <c r="J767" s="29"/>
      <c r="K767" s="55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spans="1:31" ht="15.75" customHeight="1">
      <c r="A768" s="29"/>
      <c r="B768" s="152"/>
      <c r="C768" s="29"/>
      <c r="D768" s="32"/>
      <c r="E768" s="32"/>
      <c r="F768" s="55"/>
      <c r="G768" s="55"/>
      <c r="H768" s="29"/>
      <c r="I768" s="29"/>
      <c r="J768" s="29"/>
      <c r="K768" s="55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spans="1:31" ht="15.75" customHeight="1">
      <c r="A769" s="29"/>
      <c r="B769" s="152"/>
      <c r="C769" s="29"/>
      <c r="D769" s="32"/>
      <c r="E769" s="32"/>
      <c r="F769" s="55"/>
      <c r="G769" s="55"/>
      <c r="H769" s="29"/>
      <c r="I769" s="29"/>
      <c r="J769" s="29"/>
      <c r="K769" s="55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spans="1:31" ht="15.75" customHeight="1">
      <c r="A770" s="29"/>
      <c r="B770" s="152"/>
      <c r="C770" s="29"/>
      <c r="D770" s="32"/>
      <c r="E770" s="32"/>
      <c r="F770" s="55"/>
      <c r="G770" s="55"/>
      <c r="H770" s="29"/>
      <c r="I770" s="29"/>
      <c r="J770" s="29"/>
      <c r="K770" s="55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spans="1:31" ht="15.75" customHeight="1">
      <c r="A771" s="29"/>
      <c r="B771" s="152"/>
      <c r="C771" s="29"/>
      <c r="D771" s="32"/>
      <c r="E771" s="32"/>
      <c r="F771" s="55"/>
      <c r="G771" s="55"/>
      <c r="H771" s="29"/>
      <c r="I771" s="29"/>
      <c r="J771" s="29"/>
      <c r="K771" s="55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spans="1:31" ht="15.75" customHeight="1">
      <c r="A772" s="29"/>
      <c r="B772" s="152"/>
      <c r="C772" s="29"/>
      <c r="D772" s="32"/>
      <c r="E772" s="32"/>
      <c r="F772" s="55"/>
      <c r="G772" s="55"/>
      <c r="H772" s="29"/>
      <c r="I772" s="29"/>
      <c r="J772" s="29"/>
      <c r="K772" s="55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spans="1:31" ht="15.75" customHeight="1">
      <c r="A773" s="29"/>
      <c r="B773" s="152"/>
      <c r="C773" s="29"/>
      <c r="D773" s="32"/>
      <c r="E773" s="32"/>
      <c r="F773" s="55"/>
      <c r="G773" s="55"/>
      <c r="H773" s="29"/>
      <c r="I773" s="29"/>
      <c r="J773" s="29"/>
      <c r="K773" s="55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spans="1:31" ht="15.75" customHeight="1">
      <c r="A774" s="29"/>
      <c r="B774" s="152"/>
      <c r="C774" s="29"/>
      <c r="D774" s="32"/>
      <c r="E774" s="32"/>
      <c r="F774" s="55"/>
      <c r="G774" s="55"/>
      <c r="H774" s="29"/>
      <c r="I774" s="29"/>
      <c r="J774" s="29"/>
      <c r="K774" s="55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spans="1:31" ht="15.75" customHeight="1">
      <c r="A775" s="29"/>
      <c r="B775" s="152"/>
      <c r="C775" s="29"/>
      <c r="D775" s="32"/>
      <c r="E775" s="32"/>
      <c r="F775" s="55"/>
      <c r="G775" s="55"/>
      <c r="H775" s="29"/>
      <c r="I775" s="29"/>
      <c r="J775" s="29"/>
      <c r="K775" s="55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spans="1:31" ht="15.75" customHeight="1">
      <c r="A776" s="29"/>
      <c r="B776" s="152"/>
      <c r="C776" s="29"/>
      <c r="D776" s="32"/>
      <c r="E776" s="32"/>
      <c r="F776" s="55"/>
      <c r="G776" s="55"/>
      <c r="H776" s="29"/>
      <c r="I776" s="29"/>
      <c r="J776" s="29"/>
      <c r="K776" s="55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spans="1:31" ht="15.75" customHeight="1">
      <c r="A777" s="29"/>
      <c r="B777" s="152"/>
      <c r="C777" s="29"/>
      <c r="D777" s="32"/>
      <c r="E777" s="32"/>
      <c r="F777" s="55"/>
      <c r="G777" s="55"/>
      <c r="H777" s="29"/>
      <c r="I777" s="29"/>
      <c r="J777" s="29"/>
      <c r="K777" s="55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spans="1:31" ht="15.75" customHeight="1">
      <c r="A778" s="29"/>
      <c r="B778" s="152"/>
      <c r="C778" s="29"/>
      <c r="D778" s="32"/>
      <c r="E778" s="32"/>
      <c r="F778" s="55"/>
      <c r="G778" s="55"/>
      <c r="H778" s="29"/>
      <c r="I778" s="29"/>
      <c r="J778" s="29"/>
      <c r="K778" s="55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spans="1:31" ht="15.75" customHeight="1">
      <c r="A779" s="29"/>
      <c r="B779" s="152"/>
      <c r="C779" s="29"/>
      <c r="D779" s="32"/>
      <c r="E779" s="32"/>
      <c r="F779" s="55"/>
      <c r="G779" s="55"/>
      <c r="H779" s="29"/>
      <c r="I779" s="29"/>
      <c r="J779" s="29"/>
      <c r="K779" s="55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spans="1:31" ht="15.75" customHeight="1">
      <c r="A780" s="29"/>
      <c r="B780" s="152"/>
      <c r="C780" s="29"/>
      <c r="D780" s="32"/>
      <c r="E780" s="32"/>
      <c r="F780" s="55"/>
      <c r="G780" s="55"/>
      <c r="H780" s="29"/>
      <c r="I780" s="29"/>
      <c r="J780" s="29"/>
      <c r="K780" s="55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spans="1:31" ht="15.75" customHeight="1">
      <c r="A781" s="29"/>
      <c r="B781" s="152"/>
      <c r="C781" s="29"/>
      <c r="D781" s="32"/>
      <c r="E781" s="32"/>
      <c r="F781" s="55"/>
      <c r="G781" s="55"/>
      <c r="H781" s="29"/>
      <c r="I781" s="29"/>
      <c r="J781" s="29"/>
      <c r="K781" s="55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spans="1:31" ht="15.75" customHeight="1">
      <c r="A782" s="29"/>
      <c r="B782" s="152"/>
      <c r="C782" s="29"/>
      <c r="D782" s="32"/>
      <c r="E782" s="32"/>
      <c r="F782" s="55"/>
      <c r="G782" s="55"/>
      <c r="H782" s="29"/>
      <c r="I782" s="29"/>
      <c r="J782" s="29"/>
      <c r="K782" s="55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spans="1:31" ht="15.75" customHeight="1">
      <c r="A783" s="29"/>
      <c r="B783" s="152"/>
      <c r="C783" s="29"/>
      <c r="D783" s="32"/>
      <c r="E783" s="32"/>
      <c r="F783" s="55"/>
      <c r="G783" s="55"/>
      <c r="H783" s="29"/>
      <c r="I783" s="29"/>
      <c r="J783" s="29"/>
      <c r="K783" s="55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spans="1:31" ht="15.75" customHeight="1">
      <c r="A784" s="29"/>
      <c r="B784" s="152"/>
      <c r="C784" s="29"/>
      <c r="D784" s="32"/>
      <c r="E784" s="32"/>
      <c r="F784" s="55"/>
      <c r="G784" s="55"/>
      <c r="H784" s="29"/>
      <c r="I784" s="29"/>
      <c r="J784" s="29"/>
      <c r="K784" s="55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spans="1:31" ht="15.75" customHeight="1">
      <c r="A785" s="29"/>
      <c r="B785" s="152"/>
      <c r="C785" s="29"/>
      <c r="D785" s="32"/>
      <c r="E785" s="32"/>
      <c r="F785" s="55"/>
      <c r="G785" s="55"/>
      <c r="H785" s="29"/>
      <c r="I785" s="29"/>
      <c r="J785" s="29"/>
      <c r="K785" s="55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spans="1:31" ht="15.75" customHeight="1">
      <c r="A786" s="29"/>
      <c r="B786" s="152"/>
      <c r="C786" s="29"/>
      <c r="D786" s="32"/>
      <c r="E786" s="32"/>
      <c r="F786" s="55"/>
      <c r="G786" s="55"/>
      <c r="H786" s="29"/>
      <c r="I786" s="29"/>
      <c r="J786" s="29"/>
      <c r="K786" s="55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spans="1:31" ht="15.75" customHeight="1">
      <c r="A787" s="29"/>
      <c r="B787" s="152"/>
      <c r="C787" s="29"/>
      <c r="D787" s="32"/>
      <c r="E787" s="32"/>
      <c r="F787" s="55"/>
      <c r="G787" s="55"/>
      <c r="H787" s="29"/>
      <c r="I787" s="29"/>
      <c r="J787" s="29"/>
      <c r="K787" s="55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spans="1:31" ht="15.75" customHeight="1">
      <c r="A788" s="29"/>
      <c r="B788" s="152"/>
      <c r="C788" s="29"/>
      <c r="D788" s="32"/>
      <c r="E788" s="32"/>
      <c r="F788" s="55"/>
      <c r="G788" s="55"/>
      <c r="H788" s="29"/>
      <c r="I788" s="29"/>
      <c r="J788" s="29"/>
      <c r="K788" s="55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spans="1:31" ht="15.75" customHeight="1">
      <c r="A789" s="29"/>
      <c r="B789" s="152"/>
      <c r="C789" s="29"/>
      <c r="D789" s="32"/>
      <c r="E789" s="32"/>
      <c r="F789" s="55"/>
      <c r="G789" s="55"/>
      <c r="H789" s="29"/>
      <c r="I789" s="29"/>
      <c r="J789" s="29"/>
      <c r="K789" s="55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spans="1:31" ht="15.75" customHeight="1">
      <c r="A790" s="29"/>
      <c r="B790" s="152"/>
      <c r="C790" s="29"/>
      <c r="D790" s="32"/>
      <c r="E790" s="32"/>
      <c r="F790" s="55"/>
      <c r="G790" s="55"/>
      <c r="H790" s="29"/>
      <c r="I790" s="29"/>
      <c r="J790" s="29"/>
      <c r="K790" s="55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spans="1:31" ht="15.75" customHeight="1">
      <c r="A791" s="29"/>
      <c r="B791" s="152"/>
      <c r="C791" s="29"/>
      <c r="D791" s="32"/>
      <c r="E791" s="32"/>
      <c r="F791" s="55"/>
      <c r="G791" s="55"/>
      <c r="H791" s="29"/>
      <c r="I791" s="29"/>
      <c r="J791" s="29"/>
      <c r="K791" s="55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spans="1:31" ht="15.75" customHeight="1">
      <c r="A792" s="29"/>
      <c r="B792" s="152"/>
      <c r="C792" s="29"/>
      <c r="D792" s="32"/>
      <c r="E792" s="32"/>
      <c r="F792" s="55"/>
      <c r="G792" s="55"/>
      <c r="H792" s="29"/>
      <c r="I792" s="29"/>
      <c r="J792" s="29"/>
      <c r="K792" s="55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spans="1:31" ht="15.75" customHeight="1">
      <c r="A793" s="29"/>
      <c r="B793" s="152"/>
      <c r="C793" s="29"/>
      <c r="D793" s="32"/>
      <c r="E793" s="32"/>
      <c r="F793" s="55"/>
      <c r="G793" s="55"/>
      <c r="H793" s="29"/>
      <c r="I793" s="29"/>
      <c r="J793" s="29"/>
      <c r="K793" s="55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spans="1:31" ht="15.75" customHeight="1">
      <c r="A794" s="29"/>
      <c r="B794" s="152"/>
      <c r="C794" s="29"/>
      <c r="D794" s="32"/>
      <c r="E794" s="32"/>
      <c r="F794" s="55"/>
      <c r="G794" s="55"/>
      <c r="H794" s="29"/>
      <c r="I794" s="29"/>
      <c r="J794" s="29"/>
      <c r="K794" s="55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spans="1:31" ht="15.75" customHeight="1">
      <c r="A795" s="29"/>
      <c r="B795" s="152"/>
      <c r="C795" s="29"/>
      <c r="D795" s="32"/>
      <c r="E795" s="32"/>
      <c r="F795" s="55"/>
      <c r="G795" s="55"/>
      <c r="H795" s="29"/>
      <c r="I795" s="29"/>
      <c r="J795" s="29"/>
      <c r="K795" s="55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spans="1:31" ht="15.75" customHeight="1">
      <c r="A796" s="29"/>
      <c r="B796" s="152"/>
      <c r="C796" s="29"/>
      <c r="D796" s="32"/>
      <c r="E796" s="32"/>
      <c r="F796" s="55"/>
      <c r="G796" s="55"/>
      <c r="H796" s="29"/>
      <c r="I796" s="29"/>
      <c r="J796" s="29"/>
      <c r="K796" s="55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spans="1:31" ht="15.75" customHeight="1">
      <c r="A797" s="29"/>
      <c r="B797" s="152"/>
      <c r="C797" s="29"/>
      <c r="D797" s="32"/>
      <c r="E797" s="32"/>
      <c r="F797" s="55"/>
      <c r="G797" s="55"/>
      <c r="H797" s="29"/>
      <c r="I797" s="29"/>
      <c r="J797" s="29"/>
      <c r="K797" s="55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spans="1:31" ht="15.75" customHeight="1">
      <c r="A798" s="29"/>
      <c r="B798" s="152"/>
      <c r="C798" s="29"/>
      <c r="D798" s="32"/>
      <c r="E798" s="32"/>
      <c r="F798" s="55"/>
      <c r="G798" s="55"/>
      <c r="H798" s="29"/>
      <c r="I798" s="29"/>
      <c r="J798" s="29"/>
      <c r="K798" s="55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spans="1:31" ht="15.75" customHeight="1">
      <c r="A799" s="29"/>
      <c r="B799" s="152"/>
      <c r="C799" s="29"/>
      <c r="D799" s="32"/>
      <c r="E799" s="32"/>
      <c r="F799" s="55"/>
      <c r="G799" s="55"/>
      <c r="H799" s="29"/>
      <c r="I799" s="29"/>
      <c r="J799" s="29"/>
      <c r="K799" s="55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spans="1:31" ht="15.75" customHeight="1">
      <c r="A800" s="29"/>
      <c r="B800" s="152"/>
      <c r="C800" s="29"/>
      <c r="D800" s="32"/>
      <c r="E800" s="32"/>
      <c r="F800" s="55"/>
      <c r="G800" s="55"/>
      <c r="H800" s="29"/>
      <c r="I800" s="29"/>
      <c r="J800" s="29"/>
      <c r="K800" s="55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spans="1:31" ht="15.75" customHeight="1">
      <c r="A801" s="29"/>
      <c r="B801" s="152"/>
      <c r="C801" s="29"/>
      <c r="D801" s="32"/>
      <c r="E801" s="32"/>
      <c r="F801" s="55"/>
      <c r="G801" s="55"/>
      <c r="H801" s="29"/>
      <c r="I801" s="29"/>
      <c r="J801" s="29"/>
      <c r="K801" s="55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spans="1:31" ht="15.75" customHeight="1">
      <c r="A802" s="29"/>
      <c r="B802" s="152"/>
      <c r="C802" s="29"/>
      <c r="D802" s="32"/>
      <c r="E802" s="32"/>
      <c r="F802" s="55"/>
      <c r="G802" s="55"/>
      <c r="H802" s="29"/>
      <c r="I802" s="29"/>
      <c r="J802" s="29"/>
      <c r="K802" s="55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spans="1:31" ht="15.75" customHeight="1">
      <c r="A803" s="29"/>
      <c r="B803" s="152"/>
      <c r="C803" s="29"/>
      <c r="D803" s="32"/>
      <c r="E803" s="32"/>
      <c r="F803" s="55"/>
      <c r="G803" s="55"/>
      <c r="H803" s="29"/>
      <c r="I803" s="29"/>
      <c r="J803" s="29"/>
      <c r="K803" s="55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spans="1:31" ht="15.75" customHeight="1">
      <c r="A804" s="29"/>
      <c r="B804" s="152"/>
      <c r="C804" s="29"/>
      <c r="D804" s="32"/>
      <c r="E804" s="32"/>
      <c r="F804" s="55"/>
      <c r="G804" s="55"/>
      <c r="H804" s="29"/>
      <c r="I804" s="29"/>
      <c r="J804" s="29"/>
      <c r="K804" s="55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spans="1:31" ht="15.75" customHeight="1">
      <c r="A805" s="29"/>
      <c r="B805" s="152"/>
      <c r="C805" s="29"/>
      <c r="D805" s="32"/>
      <c r="E805" s="32"/>
      <c r="F805" s="55"/>
      <c r="G805" s="55"/>
      <c r="H805" s="29"/>
      <c r="I805" s="29"/>
      <c r="J805" s="29"/>
      <c r="K805" s="55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spans="1:31" ht="15.75" customHeight="1">
      <c r="A806" s="29"/>
      <c r="B806" s="152"/>
      <c r="C806" s="29"/>
      <c r="D806" s="32"/>
      <c r="E806" s="32"/>
      <c r="F806" s="55"/>
      <c r="G806" s="55"/>
      <c r="H806" s="29"/>
      <c r="I806" s="29"/>
      <c r="J806" s="29"/>
      <c r="K806" s="55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spans="1:31" ht="15.75" customHeight="1">
      <c r="A807" s="29"/>
      <c r="B807" s="152"/>
      <c r="C807" s="29"/>
      <c r="D807" s="32"/>
      <c r="E807" s="32"/>
      <c r="F807" s="55"/>
      <c r="G807" s="55"/>
      <c r="H807" s="29"/>
      <c r="I807" s="29"/>
      <c r="J807" s="29"/>
      <c r="K807" s="55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spans="1:31" ht="15.75" customHeight="1">
      <c r="A808" s="29"/>
      <c r="B808" s="152"/>
      <c r="C808" s="29"/>
      <c r="D808" s="32"/>
      <c r="E808" s="32"/>
      <c r="F808" s="55"/>
      <c r="G808" s="55"/>
      <c r="H808" s="29"/>
      <c r="I808" s="29"/>
      <c r="J808" s="29"/>
      <c r="K808" s="55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spans="1:31" ht="15.75" customHeight="1">
      <c r="A809" s="29"/>
      <c r="B809" s="152"/>
      <c r="C809" s="29"/>
      <c r="D809" s="32"/>
      <c r="E809" s="32"/>
      <c r="F809" s="55"/>
      <c r="G809" s="55"/>
      <c r="H809" s="29"/>
      <c r="I809" s="29"/>
      <c r="J809" s="29"/>
      <c r="K809" s="55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spans="1:31" ht="15.75" customHeight="1">
      <c r="A810" s="29"/>
      <c r="B810" s="152"/>
      <c r="C810" s="29"/>
      <c r="D810" s="32"/>
      <c r="E810" s="32"/>
      <c r="F810" s="55"/>
      <c r="G810" s="55"/>
      <c r="H810" s="29"/>
      <c r="I810" s="29"/>
      <c r="J810" s="29"/>
      <c r="K810" s="55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spans="1:31" ht="15.75" customHeight="1">
      <c r="A811" s="29"/>
      <c r="B811" s="152"/>
      <c r="C811" s="29"/>
      <c r="D811" s="32"/>
      <c r="E811" s="32"/>
      <c r="F811" s="55"/>
      <c r="G811" s="55"/>
      <c r="H811" s="29"/>
      <c r="I811" s="29"/>
      <c r="J811" s="29"/>
      <c r="K811" s="55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spans="1:31" ht="15.75" customHeight="1">
      <c r="A812" s="29"/>
      <c r="B812" s="152"/>
      <c r="C812" s="29"/>
      <c r="D812" s="32"/>
      <c r="E812" s="32"/>
      <c r="F812" s="55"/>
      <c r="G812" s="55"/>
      <c r="H812" s="29"/>
      <c r="I812" s="29"/>
      <c r="J812" s="29"/>
      <c r="K812" s="55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spans="1:31" ht="15.75" customHeight="1">
      <c r="A813" s="29"/>
      <c r="B813" s="152"/>
      <c r="C813" s="29"/>
      <c r="D813" s="32"/>
      <c r="E813" s="32"/>
      <c r="F813" s="55"/>
      <c r="G813" s="55"/>
      <c r="H813" s="29"/>
      <c r="I813" s="29"/>
      <c r="J813" s="29"/>
      <c r="K813" s="55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spans="1:31" ht="15.75" customHeight="1">
      <c r="A814" s="29"/>
      <c r="B814" s="152"/>
      <c r="C814" s="29"/>
      <c r="D814" s="32"/>
      <c r="E814" s="32"/>
      <c r="F814" s="55"/>
      <c r="G814" s="55"/>
      <c r="H814" s="29"/>
      <c r="I814" s="29"/>
      <c r="J814" s="29"/>
      <c r="K814" s="55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spans="1:31" ht="15.75" customHeight="1">
      <c r="A815" s="29"/>
      <c r="B815" s="152"/>
      <c r="C815" s="29"/>
      <c r="D815" s="32"/>
      <c r="E815" s="32"/>
      <c r="F815" s="55"/>
      <c r="G815" s="55"/>
      <c r="H815" s="29"/>
      <c r="I815" s="29"/>
      <c r="J815" s="29"/>
      <c r="K815" s="55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spans="1:31" ht="15.75" customHeight="1">
      <c r="A816" s="29"/>
      <c r="B816" s="152"/>
      <c r="C816" s="29"/>
      <c r="D816" s="32"/>
      <c r="E816" s="32"/>
      <c r="F816" s="55"/>
      <c r="G816" s="55"/>
      <c r="H816" s="29"/>
      <c r="I816" s="29"/>
      <c r="J816" s="29"/>
      <c r="K816" s="55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spans="1:31" ht="15.75" customHeight="1">
      <c r="A817" s="29"/>
      <c r="B817" s="152"/>
      <c r="C817" s="29"/>
      <c r="D817" s="32"/>
      <c r="E817" s="32"/>
      <c r="F817" s="55"/>
      <c r="G817" s="55"/>
      <c r="H817" s="29"/>
      <c r="I817" s="29"/>
      <c r="J817" s="29"/>
      <c r="K817" s="55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spans="1:31" ht="15.75" customHeight="1">
      <c r="A818" s="29"/>
      <c r="B818" s="152"/>
      <c r="C818" s="29"/>
      <c r="D818" s="32"/>
      <c r="E818" s="32"/>
      <c r="F818" s="55"/>
      <c r="G818" s="55"/>
      <c r="H818" s="29"/>
      <c r="I818" s="29"/>
      <c r="J818" s="29"/>
      <c r="K818" s="55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spans="1:31" ht="15.75" customHeight="1">
      <c r="A819" s="29"/>
      <c r="B819" s="152"/>
      <c r="C819" s="29"/>
      <c r="D819" s="32"/>
      <c r="E819" s="32"/>
      <c r="F819" s="55"/>
      <c r="G819" s="55"/>
      <c r="H819" s="29"/>
      <c r="I819" s="29"/>
      <c r="J819" s="29"/>
      <c r="K819" s="55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spans="1:31" ht="15.75" customHeight="1">
      <c r="A820" s="29"/>
      <c r="B820" s="152"/>
      <c r="C820" s="29"/>
      <c r="D820" s="32"/>
      <c r="E820" s="32"/>
      <c r="F820" s="55"/>
      <c r="G820" s="55"/>
      <c r="H820" s="29"/>
      <c r="I820" s="29"/>
      <c r="J820" s="29"/>
      <c r="K820" s="55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spans="1:31" ht="15.75" customHeight="1">
      <c r="A821" s="29"/>
      <c r="B821" s="152"/>
      <c r="C821" s="29"/>
      <c r="D821" s="32"/>
      <c r="E821" s="32"/>
      <c r="F821" s="55"/>
      <c r="G821" s="55"/>
      <c r="H821" s="29"/>
      <c r="I821" s="29"/>
      <c r="J821" s="29"/>
      <c r="K821" s="55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spans="1:31" ht="15.75" customHeight="1">
      <c r="A822" s="29"/>
      <c r="B822" s="152"/>
      <c r="C822" s="29"/>
      <c r="D822" s="32"/>
      <c r="E822" s="32"/>
      <c r="F822" s="55"/>
      <c r="G822" s="55"/>
      <c r="H822" s="29"/>
      <c r="I822" s="29"/>
      <c r="J822" s="29"/>
      <c r="K822" s="55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spans="1:31" ht="15.75" customHeight="1">
      <c r="A823" s="29"/>
      <c r="B823" s="152"/>
      <c r="C823" s="29"/>
      <c r="D823" s="32"/>
      <c r="E823" s="32"/>
      <c r="F823" s="55"/>
      <c r="G823" s="55"/>
      <c r="H823" s="29"/>
      <c r="I823" s="29"/>
      <c r="J823" s="29"/>
      <c r="K823" s="55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spans="1:31" ht="15.75" customHeight="1">
      <c r="A824" s="29"/>
      <c r="B824" s="152"/>
      <c r="C824" s="29"/>
      <c r="D824" s="32"/>
      <c r="E824" s="32"/>
      <c r="F824" s="55"/>
      <c r="G824" s="55"/>
      <c r="H824" s="29"/>
      <c r="I824" s="29"/>
      <c r="J824" s="29"/>
      <c r="K824" s="55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spans="1:31" ht="15.75" customHeight="1">
      <c r="A825" s="29"/>
      <c r="B825" s="152"/>
      <c r="C825" s="29"/>
      <c r="D825" s="32"/>
      <c r="E825" s="32"/>
      <c r="F825" s="55"/>
      <c r="G825" s="55"/>
      <c r="H825" s="29"/>
      <c r="I825" s="29"/>
      <c r="J825" s="29"/>
      <c r="K825" s="55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spans="1:31" ht="15.75" customHeight="1">
      <c r="A826" s="29"/>
      <c r="B826" s="152"/>
      <c r="C826" s="29"/>
      <c r="D826" s="32"/>
      <c r="E826" s="32"/>
      <c r="F826" s="55"/>
      <c r="G826" s="55"/>
      <c r="H826" s="29"/>
      <c r="I826" s="29"/>
      <c r="J826" s="29"/>
      <c r="K826" s="55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spans="1:31" ht="15.75" customHeight="1">
      <c r="A827" s="29"/>
      <c r="B827" s="152"/>
      <c r="C827" s="29"/>
      <c r="D827" s="32"/>
      <c r="E827" s="32"/>
      <c r="F827" s="55"/>
      <c r="G827" s="55"/>
      <c r="H827" s="29"/>
      <c r="I827" s="29"/>
      <c r="J827" s="29"/>
      <c r="K827" s="55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spans="1:31" ht="15.75" customHeight="1">
      <c r="A828" s="29"/>
      <c r="B828" s="152"/>
      <c r="C828" s="29"/>
      <c r="D828" s="32"/>
      <c r="E828" s="32"/>
      <c r="F828" s="55"/>
      <c r="G828" s="55"/>
      <c r="H828" s="29"/>
      <c r="I828" s="29"/>
      <c r="J828" s="29"/>
      <c r="K828" s="55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spans="1:31" ht="15.75" customHeight="1">
      <c r="A829" s="29"/>
      <c r="B829" s="152"/>
      <c r="C829" s="29"/>
      <c r="D829" s="32"/>
      <c r="E829" s="32"/>
      <c r="F829" s="55"/>
      <c r="G829" s="55"/>
      <c r="H829" s="29"/>
      <c r="I829" s="29"/>
      <c r="J829" s="29"/>
      <c r="K829" s="55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spans="1:31" ht="15.75" customHeight="1">
      <c r="A830" s="29"/>
      <c r="B830" s="152"/>
      <c r="C830" s="29"/>
      <c r="D830" s="32"/>
      <c r="E830" s="32"/>
      <c r="F830" s="55"/>
      <c r="G830" s="55"/>
      <c r="H830" s="29"/>
      <c r="I830" s="29"/>
      <c r="J830" s="29"/>
      <c r="K830" s="55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spans="1:31" ht="15.75" customHeight="1">
      <c r="A831" s="29"/>
      <c r="B831" s="152"/>
      <c r="C831" s="29"/>
      <c r="D831" s="32"/>
      <c r="E831" s="32"/>
      <c r="F831" s="55"/>
      <c r="G831" s="55"/>
      <c r="H831" s="29"/>
      <c r="I831" s="29"/>
      <c r="J831" s="29"/>
      <c r="K831" s="55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spans="1:31" ht="15.75" customHeight="1">
      <c r="A832" s="29"/>
      <c r="B832" s="152"/>
      <c r="C832" s="29"/>
      <c r="D832" s="32"/>
      <c r="E832" s="32"/>
      <c r="F832" s="55"/>
      <c r="G832" s="55"/>
      <c r="H832" s="29"/>
      <c r="I832" s="29"/>
      <c r="J832" s="29"/>
      <c r="K832" s="55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spans="1:31" ht="15.75" customHeight="1">
      <c r="A833" s="29"/>
      <c r="B833" s="152"/>
      <c r="C833" s="29"/>
      <c r="D833" s="32"/>
      <c r="E833" s="32"/>
      <c r="F833" s="55"/>
      <c r="G833" s="55"/>
      <c r="H833" s="29"/>
      <c r="I833" s="29"/>
      <c r="J833" s="29"/>
      <c r="K833" s="55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spans="1:31" ht="15.75" customHeight="1">
      <c r="A834" s="29"/>
      <c r="B834" s="152"/>
      <c r="C834" s="29"/>
      <c r="D834" s="32"/>
      <c r="E834" s="32"/>
      <c r="F834" s="55"/>
      <c r="G834" s="55"/>
      <c r="H834" s="29"/>
      <c r="I834" s="29"/>
      <c r="J834" s="29"/>
      <c r="K834" s="55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spans="1:31" ht="15.75" customHeight="1">
      <c r="A835" s="29"/>
      <c r="B835" s="152"/>
      <c r="C835" s="29"/>
      <c r="D835" s="32"/>
      <c r="E835" s="32"/>
      <c r="F835" s="55"/>
      <c r="G835" s="55"/>
      <c r="H835" s="29"/>
      <c r="I835" s="29"/>
      <c r="J835" s="29"/>
      <c r="K835" s="55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spans="1:31" ht="15.75" customHeight="1">
      <c r="A836" s="29"/>
      <c r="B836" s="152"/>
      <c r="C836" s="29"/>
      <c r="D836" s="32"/>
      <c r="E836" s="32"/>
      <c r="F836" s="55"/>
      <c r="G836" s="55"/>
      <c r="H836" s="29"/>
      <c r="I836" s="29"/>
      <c r="J836" s="29"/>
      <c r="K836" s="55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spans="1:31" ht="15.75" customHeight="1">
      <c r="A837" s="29"/>
      <c r="B837" s="152"/>
      <c r="C837" s="29"/>
      <c r="D837" s="32"/>
      <c r="E837" s="32"/>
      <c r="F837" s="55"/>
      <c r="G837" s="55"/>
      <c r="H837" s="29"/>
      <c r="I837" s="29"/>
      <c r="J837" s="29"/>
      <c r="K837" s="55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spans="1:31" ht="15.75" customHeight="1">
      <c r="A838" s="29"/>
      <c r="B838" s="152"/>
      <c r="C838" s="29"/>
      <c r="D838" s="32"/>
      <c r="E838" s="32"/>
      <c r="F838" s="55"/>
      <c r="G838" s="55"/>
      <c r="H838" s="29"/>
      <c r="I838" s="29"/>
      <c r="J838" s="29"/>
      <c r="K838" s="55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spans="1:31" ht="15.75" customHeight="1">
      <c r="A839" s="29"/>
      <c r="B839" s="152"/>
      <c r="C839" s="29"/>
      <c r="D839" s="32"/>
      <c r="E839" s="32"/>
      <c r="F839" s="55"/>
      <c r="G839" s="55"/>
      <c r="H839" s="29"/>
      <c r="I839" s="29"/>
      <c r="J839" s="29"/>
      <c r="K839" s="55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spans="1:31" ht="15.75" customHeight="1">
      <c r="A840" s="29"/>
      <c r="B840" s="152"/>
      <c r="C840" s="29"/>
      <c r="D840" s="32"/>
      <c r="E840" s="32"/>
      <c r="F840" s="55"/>
      <c r="G840" s="55"/>
      <c r="H840" s="29"/>
      <c r="I840" s="29"/>
      <c r="J840" s="29"/>
      <c r="K840" s="55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spans="1:31" ht="15.75" customHeight="1">
      <c r="A841" s="29"/>
      <c r="B841" s="152"/>
      <c r="C841" s="29"/>
      <c r="D841" s="32"/>
      <c r="E841" s="32"/>
      <c r="F841" s="55"/>
      <c r="G841" s="55"/>
      <c r="H841" s="29"/>
      <c r="I841" s="29"/>
      <c r="J841" s="29"/>
      <c r="K841" s="55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spans="1:31" ht="15.75" customHeight="1">
      <c r="A842" s="29"/>
      <c r="B842" s="152"/>
      <c r="C842" s="29"/>
      <c r="D842" s="32"/>
      <c r="E842" s="32"/>
      <c r="F842" s="55"/>
      <c r="G842" s="55"/>
      <c r="H842" s="29"/>
      <c r="I842" s="29"/>
      <c r="J842" s="29"/>
      <c r="K842" s="55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spans="1:31" ht="15.75" customHeight="1">
      <c r="A843" s="29"/>
      <c r="B843" s="152"/>
      <c r="C843" s="29"/>
      <c r="D843" s="32"/>
      <c r="E843" s="32"/>
      <c r="F843" s="55"/>
      <c r="G843" s="55"/>
      <c r="H843" s="29"/>
      <c r="I843" s="29"/>
      <c r="J843" s="29"/>
      <c r="K843" s="55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spans="1:31" ht="15.75" customHeight="1">
      <c r="A844" s="29"/>
      <c r="B844" s="152"/>
      <c r="C844" s="29"/>
      <c r="D844" s="32"/>
      <c r="E844" s="32"/>
      <c r="F844" s="55"/>
      <c r="G844" s="55"/>
      <c r="H844" s="29"/>
      <c r="I844" s="29"/>
      <c r="J844" s="29"/>
      <c r="K844" s="55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spans="1:31" ht="15.75" customHeight="1">
      <c r="A845" s="29"/>
      <c r="B845" s="152"/>
      <c r="C845" s="29"/>
      <c r="D845" s="32"/>
      <c r="E845" s="32"/>
      <c r="F845" s="55"/>
      <c r="G845" s="55"/>
      <c r="H845" s="29"/>
      <c r="I845" s="29"/>
      <c r="J845" s="29"/>
      <c r="K845" s="55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spans="1:31" ht="15.75" customHeight="1">
      <c r="A846" s="29"/>
      <c r="B846" s="152"/>
      <c r="C846" s="29"/>
      <c r="D846" s="32"/>
      <c r="E846" s="32"/>
      <c r="F846" s="55"/>
      <c r="G846" s="55"/>
      <c r="H846" s="29"/>
      <c r="I846" s="29"/>
      <c r="J846" s="29"/>
      <c r="K846" s="55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spans="1:31" ht="15.75" customHeight="1">
      <c r="A847" s="29"/>
      <c r="B847" s="152"/>
      <c r="C847" s="29"/>
      <c r="D847" s="32"/>
      <c r="E847" s="32"/>
      <c r="F847" s="55"/>
      <c r="G847" s="55"/>
      <c r="H847" s="29"/>
      <c r="I847" s="29"/>
      <c r="J847" s="29"/>
      <c r="K847" s="55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spans="1:31" ht="15.75" customHeight="1">
      <c r="A848" s="29"/>
      <c r="B848" s="152"/>
      <c r="C848" s="29"/>
      <c r="D848" s="32"/>
      <c r="E848" s="32"/>
      <c r="F848" s="55"/>
      <c r="G848" s="55"/>
      <c r="H848" s="29"/>
      <c r="I848" s="29"/>
      <c r="J848" s="29"/>
      <c r="K848" s="55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spans="1:31" ht="15.75" customHeight="1">
      <c r="A849" s="29"/>
      <c r="B849" s="152"/>
      <c r="C849" s="29"/>
      <c r="D849" s="32"/>
      <c r="E849" s="32"/>
      <c r="F849" s="55"/>
      <c r="G849" s="55"/>
      <c r="H849" s="29"/>
      <c r="I849" s="29"/>
      <c r="J849" s="29"/>
      <c r="K849" s="55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spans="1:31" ht="15.75" customHeight="1">
      <c r="A850" s="29"/>
      <c r="B850" s="152"/>
      <c r="C850" s="29"/>
      <c r="D850" s="32"/>
      <c r="E850" s="32"/>
      <c r="F850" s="55"/>
      <c r="G850" s="55"/>
      <c r="H850" s="29"/>
      <c r="I850" s="29"/>
      <c r="J850" s="29"/>
      <c r="K850" s="55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spans="1:31" ht="15.75" customHeight="1">
      <c r="A851" s="29"/>
      <c r="B851" s="152"/>
      <c r="C851" s="29"/>
      <c r="D851" s="32"/>
      <c r="E851" s="32"/>
      <c r="F851" s="55"/>
      <c r="G851" s="55"/>
      <c r="H851" s="29"/>
      <c r="I851" s="29"/>
      <c r="J851" s="29"/>
      <c r="K851" s="55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spans="1:31" ht="15.75" customHeight="1">
      <c r="A852" s="29"/>
      <c r="B852" s="152"/>
      <c r="C852" s="29"/>
      <c r="D852" s="32"/>
      <c r="E852" s="32"/>
      <c r="F852" s="55"/>
      <c r="G852" s="55"/>
      <c r="H852" s="29"/>
      <c r="I852" s="29"/>
      <c r="J852" s="29"/>
      <c r="K852" s="55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spans="1:31" ht="15.75" customHeight="1">
      <c r="A853" s="29"/>
      <c r="B853" s="152"/>
      <c r="C853" s="29"/>
      <c r="D853" s="32"/>
      <c r="E853" s="32"/>
      <c r="F853" s="55"/>
      <c r="G853" s="55"/>
      <c r="H853" s="29"/>
      <c r="I853" s="29"/>
      <c r="J853" s="29"/>
      <c r="K853" s="55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spans="1:31" ht="15.75" customHeight="1">
      <c r="A854" s="29"/>
      <c r="B854" s="152"/>
      <c r="C854" s="29"/>
      <c r="D854" s="32"/>
      <c r="E854" s="32"/>
      <c r="F854" s="55"/>
      <c r="G854" s="55"/>
      <c r="H854" s="29"/>
      <c r="I854" s="29"/>
      <c r="J854" s="29"/>
      <c r="K854" s="55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spans="1:31" ht="15.75" customHeight="1">
      <c r="A855" s="29"/>
      <c r="B855" s="152"/>
      <c r="C855" s="29"/>
      <c r="D855" s="32"/>
      <c r="E855" s="32"/>
      <c r="F855" s="55"/>
      <c r="G855" s="55"/>
      <c r="H855" s="29"/>
      <c r="I855" s="29"/>
      <c r="J855" s="29"/>
      <c r="K855" s="55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spans="1:31" ht="15.75" customHeight="1">
      <c r="A856" s="29"/>
      <c r="B856" s="152"/>
      <c r="C856" s="29"/>
      <c r="D856" s="32"/>
      <c r="E856" s="32"/>
      <c r="F856" s="55"/>
      <c r="G856" s="55"/>
      <c r="H856" s="29"/>
      <c r="I856" s="29"/>
      <c r="J856" s="29"/>
      <c r="K856" s="55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spans="1:31" ht="15.75" customHeight="1">
      <c r="A857" s="29"/>
      <c r="B857" s="152"/>
      <c r="C857" s="29"/>
      <c r="D857" s="32"/>
      <c r="E857" s="32"/>
      <c r="F857" s="55"/>
      <c r="G857" s="55"/>
      <c r="H857" s="29"/>
      <c r="I857" s="29"/>
      <c r="J857" s="29"/>
      <c r="K857" s="55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spans="1:31" ht="15.75" customHeight="1">
      <c r="A858" s="29"/>
      <c r="B858" s="152"/>
      <c r="C858" s="29"/>
      <c r="D858" s="32"/>
      <c r="E858" s="32"/>
      <c r="F858" s="55"/>
      <c r="G858" s="55"/>
      <c r="H858" s="29"/>
      <c r="I858" s="29"/>
      <c r="J858" s="29"/>
      <c r="K858" s="55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spans="1:31" ht="15.75" customHeight="1">
      <c r="A859" s="29"/>
      <c r="B859" s="152"/>
      <c r="C859" s="29"/>
      <c r="D859" s="32"/>
      <c r="E859" s="32"/>
      <c r="F859" s="55"/>
      <c r="G859" s="55"/>
      <c r="H859" s="29"/>
      <c r="I859" s="29"/>
      <c r="J859" s="29"/>
      <c r="K859" s="55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spans="1:31" ht="15.75" customHeight="1">
      <c r="A860" s="29"/>
      <c r="B860" s="152"/>
      <c r="C860" s="29"/>
      <c r="D860" s="32"/>
      <c r="E860" s="32"/>
      <c r="F860" s="55"/>
      <c r="G860" s="55"/>
      <c r="H860" s="29"/>
      <c r="I860" s="29"/>
      <c r="J860" s="29"/>
      <c r="K860" s="55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spans="1:31" ht="13.2">
      <c r="K861" s="57"/>
    </row>
    <row r="862" spans="1:31" ht="13.2">
      <c r="K862" s="57"/>
    </row>
    <row r="863" spans="1:31" ht="13.2">
      <c r="K863" s="57"/>
    </row>
    <row r="864" spans="1:31" ht="13.2">
      <c r="K864" s="57"/>
    </row>
    <row r="865" spans="11:11" ht="13.2">
      <c r="K865" s="57"/>
    </row>
    <row r="866" spans="11:11" ht="13.2">
      <c r="K866" s="57"/>
    </row>
    <row r="867" spans="11:11" ht="13.2">
      <c r="K867" s="57"/>
    </row>
    <row r="868" spans="11:11" ht="13.2">
      <c r="K868" s="57"/>
    </row>
    <row r="869" spans="11:11" ht="13.2">
      <c r="K869" s="57"/>
    </row>
    <row r="870" spans="11:11" ht="13.2">
      <c r="K870" s="57"/>
    </row>
    <row r="871" spans="11:11" ht="13.2">
      <c r="K871" s="57"/>
    </row>
    <row r="872" spans="11:11" ht="13.2">
      <c r="K872" s="57"/>
    </row>
    <row r="873" spans="11:11" ht="13.2">
      <c r="K873" s="57"/>
    </row>
    <row r="874" spans="11:11" ht="13.2">
      <c r="K874" s="57"/>
    </row>
    <row r="875" spans="11:11" ht="13.2">
      <c r="K875" s="57"/>
    </row>
    <row r="876" spans="11:11" ht="13.2">
      <c r="K876" s="57"/>
    </row>
    <row r="877" spans="11:11" ht="13.2">
      <c r="K877" s="57"/>
    </row>
    <row r="878" spans="11:11" ht="13.2">
      <c r="K878" s="57"/>
    </row>
    <row r="879" spans="11:11" ht="13.2">
      <c r="K879" s="57"/>
    </row>
    <row r="880" spans="11:11" ht="13.2">
      <c r="K880" s="57"/>
    </row>
    <row r="881" spans="11:11" ht="13.2">
      <c r="K881" s="57"/>
    </row>
    <row r="882" spans="11:11" ht="13.2">
      <c r="K882" s="57"/>
    </row>
    <row r="883" spans="11:11" ht="13.2">
      <c r="K883" s="57"/>
    </row>
    <row r="884" spans="11:11" ht="13.2">
      <c r="K884" s="57"/>
    </row>
    <row r="885" spans="11:11" ht="13.2">
      <c r="K885" s="57"/>
    </row>
    <row r="886" spans="11:11" ht="13.2">
      <c r="K886" s="57"/>
    </row>
    <row r="887" spans="11:11" ht="13.2">
      <c r="K887" s="57"/>
    </row>
    <row r="888" spans="11:11" ht="13.2">
      <c r="K888" s="57"/>
    </row>
    <row r="889" spans="11:11" ht="13.2">
      <c r="K889" s="57"/>
    </row>
    <row r="890" spans="11:11" ht="13.2">
      <c r="K890" s="57"/>
    </row>
    <row r="891" spans="11:11" ht="13.2">
      <c r="K891" s="57"/>
    </row>
    <row r="892" spans="11:11" ht="13.2">
      <c r="K892" s="57"/>
    </row>
    <row r="893" spans="11:11" ht="13.2">
      <c r="K893" s="57"/>
    </row>
    <row r="894" spans="11:11" ht="13.2">
      <c r="K894" s="57"/>
    </row>
    <row r="895" spans="11:11" ht="13.2">
      <c r="K895" s="57"/>
    </row>
    <row r="896" spans="11:11" ht="13.2">
      <c r="K896" s="57"/>
    </row>
    <row r="897" spans="11:11" ht="13.2">
      <c r="K897" s="57"/>
    </row>
    <row r="898" spans="11:11" ht="13.2">
      <c r="K898" s="57"/>
    </row>
    <row r="899" spans="11:11" ht="13.2">
      <c r="K899" s="57"/>
    </row>
    <row r="900" spans="11:11" ht="13.2">
      <c r="K900" s="57"/>
    </row>
    <row r="901" spans="11:11" ht="13.2">
      <c r="K901" s="57"/>
    </row>
    <row r="902" spans="11:11" ht="13.2">
      <c r="K902" s="57"/>
    </row>
    <row r="903" spans="11:11" ht="13.2">
      <c r="K903" s="57"/>
    </row>
    <row r="904" spans="11:11" ht="13.2">
      <c r="K904" s="57"/>
    </row>
    <row r="905" spans="11:11" ht="13.2">
      <c r="K905" s="57"/>
    </row>
    <row r="906" spans="11:11" ht="13.2">
      <c r="K906" s="57"/>
    </row>
    <row r="907" spans="11:11" ht="13.2">
      <c r="K907" s="57"/>
    </row>
    <row r="908" spans="11:11" ht="13.2">
      <c r="K908" s="57"/>
    </row>
    <row r="909" spans="11:11" ht="13.2">
      <c r="K909" s="57"/>
    </row>
    <row r="910" spans="11:11" ht="13.2">
      <c r="K910" s="57"/>
    </row>
    <row r="911" spans="11:11" ht="13.2">
      <c r="K911" s="57"/>
    </row>
    <row r="912" spans="11:11" ht="13.2">
      <c r="K912" s="57"/>
    </row>
    <row r="913" spans="11:11" ht="13.2">
      <c r="K913" s="57"/>
    </row>
    <row r="914" spans="11:11" ht="13.2">
      <c r="K914" s="57"/>
    </row>
    <row r="915" spans="11:11" ht="13.2">
      <c r="K915" s="57"/>
    </row>
    <row r="916" spans="11:11" ht="13.2">
      <c r="K916" s="57"/>
    </row>
    <row r="917" spans="11:11" ht="13.2">
      <c r="K917" s="57"/>
    </row>
    <row r="918" spans="11:11" ht="13.2">
      <c r="K918" s="57"/>
    </row>
    <row r="919" spans="11:11" ht="13.2">
      <c r="K919" s="57"/>
    </row>
    <row r="920" spans="11:11" ht="13.2">
      <c r="K920" s="57"/>
    </row>
    <row r="921" spans="11:11" ht="13.2">
      <c r="K921" s="57"/>
    </row>
    <row r="922" spans="11:11" ht="13.2">
      <c r="K922" s="57"/>
    </row>
    <row r="923" spans="11:11" ht="13.2">
      <c r="K923" s="57"/>
    </row>
    <row r="924" spans="11:11" ht="13.2">
      <c r="K924" s="57"/>
    </row>
    <row r="925" spans="11:11" ht="13.2">
      <c r="K925" s="57"/>
    </row>
    <row r="926" spans="11:11" ht="13.2">
      <c r="K926" s="57"/>
    </row>
    <row r="927" spans="11:11" ht="13.2">
      <c r="K927" s="57"/>
    </row>
    <row r="928" spans="11:11" ht="13.2">
      <c r="K928" s="57"/>
    </row>
    <row r="929" spans="11:11" ht="13.2">
      <c r="K929" s="57"/>
    </row>
    <row r="930" spans="11:11" ht="13.2">
      <c r="K930" s="57"/>
    </row>
    <row r="931" spans="11:11" ht="13.2">
      <c r="K931" s="57"/>
    </row>
    <row r="932" spans="11:11" ht="13.2">
      <c r="K932" s="57"/>
    </row>
    <row r="933" spans="11:11" ht="13.2">
      <c r="K933" s="57"/>
    </row>
    <row r="934" spans="11:11" ht="13.2">
      <c r="K934" s="57"/>
    </row>
    <row r="935" spans="11:11" ht="13.2">
      <c r="K935" s="57"/>
    </row>
    <row r="936" spans="11:11" ht="13.2">
      <c r="K936" s="57"/>
    </row>
    <row r="937" spans="11:11" ht="13.2">
      <c r="K937" s="57"/>
    </row>
    <row r="938" spans="11:11" ht="13.2">
      <c r="K938" s="57"/>
    </row>
    <row r="939" spans="11:11" ht="13.2">
      <c r="K939" s="57"/>
    </row>
    <row r="940" spans="11:11" ht="13.2">
      <c r="K940" s="57"/>
    </row>
    <row r="941" spans="11:11" ht="13.2">
      <c r="K941" s="57"/>
    </row>
    <row r="942" spans="11:11" ht="13.2">
      <c r="K942" s="57"/>
    </row>
    <row r="943" spans="11:11" ht="13.2">
      <c r="K943" s="57"/>
    </row>
    <row r="944" spans="11:11" ht="13.2">
      <c r="K944" s="57"/>
    </row>
    <row r="945" spans="11:11" ht="13.2">
      <c r="K945" s="57"/>
    </row>
    <row r="946" spans="11:11" ht="13.2">
      <c r="K946" s="57"/>
    </row>
    <row r="947" spans="11:11" ht="13.2">
      <c r="K947" s="57"/>
    </row>
    <row r="948" spans="11:11" ht="13.2">
      <c r="K948" s="57"/>
    </row>
    <row r="949" spans="11:11" ht="13.2">
      <c r="K949" s="57"/>
    </row>
    <row r="950" spans="11:11" ht="13.2">
      <c r="K950" s="57"/>
    </row>
    <row r="951" spans="11:11" ht="13.2">
      <c r="K951" s="57"/>
    </row>
    <row r="952" spans="11:11" ht="13.2">
      <c r="K952" s="57"/>
    </row>
    <row r="953" spans="11:11" ht="13.2">
      <c r="K953" s="57"/>
    </row>
    <row r="954" spans="11:11" ht="13.2">
      <c r="K954" s="57"/>
    </row>
    <row r="955" spans="11:11" ht="13.2">
      <c r="K955" s="57"/>
    </row>
    <row r="956" spans="11:11" ht="13.2">
      <c r="K956" s="57"/>
    </row>
    <row r="957" spans="11:11" ht="13.2">
      <c r="K957" s="57"/>
    </row>
    <row r="958" spans="11:11" ht="13.2">
      <c r="K958" s="57"/>
    </row>
    <row r="959" spans="11:11" ht="13.2">
      <c r="K959" s="57"/>
    </row>
    <row r="960" spans="11:11" ht="13.2">
      <c r="K960" s="57"/>
    </row>
    <row r="961" spans="11:11" ht="13.2">
      <c r="K961" s="57"/>
    </row>
    <row r="962" spans="11:11" ht="13.2">
      <c r="K962" s="57"/>
    </row>
    <row r="963" spans="11:11" ht="13.2">
      <c r="K963" s="57"/>
    </row>
    <row r="964" spans="11:11" ht="13.2">
      <c r="K964" s="57"/>
    </row>
    <row r="965" spans="11:11" ht="13.2">
      <c r="K965" s="57"/>
    </row>
    <row r="966" spans="11:11" ht="13.2">
      <c r="K966" s="57"/>
    </row>
    <row r="967" spans="11:11" ht="13.2">
      <c r="K967" s="57"/>
    </row>
    <row r="968" spans="11:11" ht="13.2">
      <c r="K968" s="57"/>
    </row>
    <row r="969" spans="11:11" ht="13.2">
      <c r="K969" s="57"/>
    </row>
    <row r="970" spans="11:11" ht="13.2">
      <c r="K970" s="57"/>
    </row>
    <row r="971" spans="11:11" ht="13.2">
      <c r="K971" s="57"/>
    </row>
    <row r="972" spans="11:11" ht="13.2">
      <c r="K972" s="57"/>
    </row>
    <row r="973" spans="11:11" ht="13.2">
      <c r="K973" s="57"/>
    </row>
    <row r="974" spans="11:11" ht="13.2">
      <c r="K974" s="57"/>
    </row>
    <row r="975" spans="11:11" ht="13.2">
      <c r="K975" s="57"/>
    </row>
    <row r="976" spans="11:11" ht="13.2">
      <c r="K976" s="57"/>
    </row>
    <row r="977" spans="11:11" ht="13.2">
      <c r="K977" s="57"/>
    </row>
    <row r="978" spans="11:11" ht="13.2">
      <c r="K978" s="57"/>
    </row>
  </sheetData>
  <autoFilter ref="C1:C860" xr:uid="{00000000-0009-0000-0000-000005000000}"/>
  <hyperlinks>
    <hyperlink ref="A1" r:id="rId1" xr:uid="{00000000-0004-0000-0500-000000000000}"/>
    <hyperlink ref="K2" r:id="rId2" xr:uid="{00000000-0004-0000-0500-000001000000}"/>
    <hyperlink ref="K3" r:id="rId3" xr:uid="{00000000-0004-0000-0500-000002000000}"/>
    <hyperlink ref="K4" r:id="rId4" xr:uid="{00000000-0004-0000-0500-000003000000}"/>
    <hyperlink ref="K5" r:id="rId5" xr:uid="{00000000-0004-0000-0500-000004000000}"/>
    <hyperlink ref="K6" r:id="rId6" xr:uid="{00000000-0004-0000-0500-000005000000}"/>
    <hyperlink ref="K7" r:id="rId7" xr:uid="{00000000-0004-0000-0500-000006000000}"/>
    <hyperlink ref="K11" r:id="rId8" xr:uid="{00000000-0004-0000-0500-000007000000}"/>
    <hyperlink ref="K12" r:id="rId9" xr:uid="{00000000-0004-0000-0500-000008000000}"/>
    <hyperlink ref="K14" r:id="rId10" xr:uid="{00000000-0004-0000-0500-000009000000}"/>
    <hyperlink ref="K15" r:id="rId11" xr:uid="{00000000-0004-0000-0500-00000A000000}"/>
    <hyperlink ref="K19" r:id="rId12" xr:uid="{00000000-0004-0000-0500-00000B000000}"/>
    <hyperlink ref="K20" r:id="rId13" xr:uid="{00000000-0004-0000-0500-00000C000000}"/>
    <hyperlink ref="K21" r:id="rId14" xr:uid="{00000000-0004-0000-0500-00000D000000}"/>
    <hyperlink ref="K22" r:id="rId15" xr:uid="{00000000-0004-0000-0500-00000E000000}"/>
    <hyperlink ref="K24" r:id="rId16" xr:uid="{00000000-0004-0000-0500-00000F000000}"/>
    <hyperlink ref="K26" r:id="rId17" xr:uid="{00000000-0004-0000-0500-000010000000}"/>
    <hyperlink ref="K27" r:id="rId18" xr:uid="{00000000-0004-0000-0500-000011000000}"/>
    <hyperlink ref="K28" r:id="rId19" xr:uid="{00000000-0004-0000-0500-000012000000}"/>
    <hyperlink ref="K29" r:id="rId20" xr:uid="{00000000-0004-0000-0500-000013000000}"/>
    <hyperlink ref="K31" r:id="rId21" xr:uid="{00000000-0004-0000-0500-000014000000}"/>
    <hyperlink ref="K32" r:id="rId22" xr:uid="{00000000-0004-0000-0500-000015000000}"/>
    <hyperlink ref="K33" r:id="rId23" xr:uid="{00000000-0004-0000-0500-000016000000}"/>
    <hyperlink ref="K35" r:id="rId24" xr:uid="{00000000-0004-0000-0500-000017000000}"/>
    <hyperlink ref="K36" r:id="rId25" xr:uid="{00000000-0004-0000-0500-000018000000}"/>
    <hyperlink ref="K37" r:id="rId26" xr:uid="{00000000-0004-0000-0500-000019000000}"/>
    <hyperlink ref="K38" r:id="rId27" xr:uid="{00000000-0004-0000-0500-00001A000000}"/>
    <hyperlink ref="K39" r:id="rId28" xr:uid="{00000000-0004-0000-0500-00001B000000}"/>
    <hyperlink ref="K41" r:id="rId29" xr:uid="{00000000-0004-0000-0500-00001C000000}"/>
    <hyperlink ref="K42" r:id="rId30" xr:uid="{00000000-0004-0000-0500-00001D000000}"/>
    <hyperlink ref="E43" r:id="rId31" xr:uid="{00000000-0004-0000-0500-00001E000000}"/>
    <hyperlink ref="K43" r:id="rId32" xr:uid="{00000000-0004-0000-0500-00001F000000}"/>
    <hyperlink ref="K44" r:id="rId33" xr:uid="{00000000-0004-0000-0500-000020000000}"/>
    <hyperlink ref="K45" r:id="rId34" xr:uid="{00000000-0004-0000-0500-000021000000}"/>
    <hyperlink ref="K47" r:id="rId35" xr:uid="{00000000-0004-0000-0500-000022000000}"/>
    <hyperlink ref="K48" r:id="rId36" xr:uid="{00000000-0004-0000-0500-000023000000}"/>
    <hyperlink ref="K49" r:id="rId37" xr:uid="{00000000-0004-0000-0500-000024000000}"/>
    <hyperlink ref="K50" r:id="rId38" xr:uid="{00000000-0004-0000-0500-000025000000}"/>
    <hyperlink ref="K51" r:id="rId39" xr:uid="{00000000-0004-0000-0500-000026000000}"/>
    <hyperlink ref="K52" r:id="rId40" xr:uid="{00000000-0004-0000-0500-000027000000}"/>
    <hyperlink ref="K53" r:id="rId41" xr:uid="{00000000-0004-0000-0500-000028000000}"/>
    <hyperlink ref="K54" r:id="rId42" xr:uid="{00000000-0004-0000-0500-000029000000}"/>
    <hyperlink ref="K55" r:id="rId43" xr:uid="{00000000-0004-0000-0500-00002A000000}"/>
    <hyperlink ref="K56" r:id="rId44" xr:uid="{00000000-0004-0000-0500-00002B000000}"/>
    <hyperlink ref="K57" r:id="rId45" xr:uid="{00000000-0004-0000-0500-00002C000000}"/>
    <hyperlink ref="K58" r:id="rId46" xr:uid="{00000000-0004-0000-0500-00002D000000}"/>
    <hyperlink ref="K59" r:id="rId47" xr:uid="{00000000-0004-0000-0500-00002E000000}"/>
    <hyperlink ref="K60" r:id="rId48" xr:uid="{00000000-0004-0000-0500-00002F000000}"/>
    <hyperlink ref="K61" r:id="rId49" xr:uid="{00000000-0004-0000-0500-000030000000}"/>
    <hyperlink ref="K62" r:id="rId50" xr:uid="{00000000-0004-0000-0500-000031000000}"/>
    <hyperlink ref="K63" r:id="rId51" xr:uid="{00000000-0004-0000-0500-000032000000}"/>
    <hyperlink ref="K64" r:id="rId52" xr:uid="{00000000-0004-0000-0500-000033000000}"/>
    <hyperlink ref="K65" r:id="rId53" xr:uid="{00000000-0004-0000-0500-000034000000}"/>
    <hyperlink ref="K66" r:id="rId54" xr:uid="{00000000-0004-0000-0500-000035000000}"/>
    <hyperlink ref="K67" r:id="rId55" xr:uid="{00000000-0004-0000-0500-000036000000}"/>
    <hyperlink ref="K69" r:id="rId56" xr:uid="{00000000-0004-0000-0500-000037000000}"/>
    <hyperlink ref="K70" r:id="rId57" xr:uid="{00000000-0004-0000-0500-000038000000}"/>
    <hyperlink ref="K71" r:id="rId58" xr:uid="{00000000-0004-0000-0500-000039000000}"/>
    <hyperlink ref="K72" r:id="rId59" xr:uid="{00000000-0004-0000-0500-00003A000000}"/>
    <hyperlink ref="K73" r:id="rId60" xr:uid="{00000000-0004-0000-0500-00003B000000}"/>
    <hyperlink ref="K74" r:id="rId61" xr:uid="{00000000-0004-0000-0500-00003C000000}"/>
    <hyperlink ref="K75" r:id="rId62" xr:uid="{00000000-0004-0000-0500-00003D000000}"/>
    <hyperlink ref="K76" r:id="rId63" xr:uid="{00000000-0004-0000-0500-00003E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7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6" customWidth="1"/>
    <col min="2" max="2" width="9.88671875" customWidth="1"/>
    <col min="3" max="3" width="23.88671875" customWidth="1"/>
    <col min="4" max="4" width="36.33203125" customWidth="1"/>
    <col min="5" max="5" width="19.6640625" customWidth="1"/>
    <col min="6" max="6" width="16.33203125" customWidth="1"/>
    <col min="7" max="7" width="26.44140625" customWidth="1"/>
    <col min="8" max="8" width="20.88671875" customWidth="1"/>
    <col min="10" max="10" width="21.77734375" customWidth="1"/>
    <col min="14" max="14" width="23.33203125" customWidth="1"/>
  </cols>
  <sheetData>
    <row r="1" spans="1:28" ht="31.5" customHeight="1">
      <c r="A1" s="41"/>
      <c r="B1" s="92"/>
      <c r="C1" s="37"/>
      <c r="D1" s="37"/>
      <c r="E1" s="41"/>
      <c r="F1" s="41"/>
      <c r="G1" s="41"/>
      <c r="H1" s="37"/>
      <c r="I1" s="37"/>
      <c r="J1" s="37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51.75" customHeight="1">
      <c r="A2" s="93" t="s">
        <v>2011</v>
      </c>
      <c r="B2" s="94" t="s">
        <v>2012</v>
      </c>
      <c r="C2" s="95" t="s">
        <v>2013</v>
      </c>
      <c r="D2" s="95" t="s">
        <v>2014</v>
      </c>
      <c r="E2" s="96" t="s">
        <v>2015</v>
      </c>
      <c r="F2" s="97" t="s">
        <v>2016</v>
      </c>
      <c r="G2" s="98" t="s">
        <v>2017</v>
      </c>
      <c r="H2" s="97" t="s">
        <v>2018</v>
      </c>
      <c r="I2" s="97" t="s">
        <v>2019</v>
      </c>
      <c r="J2" s="97" t="s">
        <v>2020</v>
      </c>
      <c r="K2" s="97" t="s">
        <v>2021</v>
      </c>
      <c r="L2" s="97" t="s">
        <v>2022</v>
      </c>
      <c r="M2" s="97" t="s">
        <v>2023</v>
      </c>
      <c r="N2" s="99" t="s">
        <v>2024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ht="26.25" customHeight="1">
      <c r="A3" s="41">
        <v>1</v>
      </c>
      <c r="B3" s="92" t="s">
        <v>15</v>
      </c>
      <c r="C3" s="37" t="s">
        <v>2025</v>
      </c>
      <c r="D3" s="37" t="s">
        <v>2026</v>
      </c>
      <c r="E3" s="41" t="s">
        <v>2027</v>
      </c>
      <c r="F3" s="100">
        <v>45420</v>
      </c>
      <c r="G3" s="37" t="s">
        <v>2028</v>
      </c>
      <c r="H3" s="51" t="s">
        <v>2029</v>
      </c>
      <c r="I3" s="37" t="s">
        <v>2030</v>
      </c>
      <c r="J3" s="37" t="s">
        <v>2031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34.5" customHeight="1">
      <c r="A4" s="41">
        <v>2</v>
      </c>
      <c r="B4" s="92" t="s">
        <v>15</v>
      </c>
      <c r="C4" s="37" t="s">
        <v>1459</v>
      </c>
      <c r="D4" s="37" t="s">
        <v>2032</v>
      </c>
      <c r="E4" s="41" t="s">
        <v>2033</v>
      </c>
      <c r="F4" s="37" t="s">
        <v>2034</v>
      </c>
      <c r="G4" s="41" t="s">
        <v>2035</v>
      </c>
      <c r="H4" s="51" t="s">
        <v>2036</v>
      </c>
      <c r="I4" s="37" t="s">
        <v>2037</v>
      </c>
      <c r="J4" s="37" t="s">
        <v>2038</v>
      </c>
      <c r="K4" s="41"/>
      <c r="L4" s="41"/>
      <c r="M4" s="41" t="s">
        <v>2038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32.25" customHeight="1">
      <c r="A5" s="41">
        <v>3</v>
      </c>
      <c r="B5" s="92" t="s">
        <v>15</v>
      </c>
      <c r="C5" s="37" t="s">
        <v>1459</v>
      </c>
      <c r="D5" s="37" t="s">
        <v>2039</v>
      </c>
      <c r="E5" s="41" t="s">
        <v>2040</v>
      </c>
      <c r="F5" s="100">
        <v>45420</v>
      </c>
      <c r="G5" s="41" t="s">
        <v>2041</v>
      </c>
      <c r="H5" s="51" t="s">
        <v>2042</v>
      </c>
      <c r="I5" s="37" t="s">
        <v>2037</v>
      </c>
      <c r="J5" s="37" t="s">
        <v>2038</v>
      </c>
      <c r="K5" s="41"/>
      <c r="L5" s="41"/>
      <c r="M5" s="41" t="s">
        <v>2038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35.25" customHeight="1">
      <c r="A6" s="41">
        <v>4</v>
      </c>
      <c r="B6" s="92" t="s">
        <v>15</v>
      </c>
      <c r="C6" s="37" t="s">
        <v>1459</v>
      </c>
      <c r="D6" s="37" t="s">
        <v>2043</v>
      </c>
      <c r="E6" s="41" t="s">
        <v>2027</v>
      </c>
      <c r="F6" s="37" t="s">
        <v>2034</v>
      </c>
      <c r="G6" s="41" t="s">
        <v>2044</v>
      </c>
      <c r="H6" s="51" t="s">
        <v>2029</v>
      </c>
      <c r="I6" s="37" t="s">
        <v>2030</v>
      </c>
      <c r="J6" s="37" t="s">
        <v>2031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24" customHeight="1">
      <c r="A7" s="41">
        <v>5</v>
      </c>
      <c r="B7" s="92" t="s">
        <v>15</v>
      </c>
      <c r="C7" s="37" t="s">
        <v>1459</v>
      </c>
      <c r="D7" s="37" t="s">
        <v>2045</v>
      </c>
      <c r="E7" s="41" t="s">
        <v>2046</v>
      </c>
      <c r="F7" s="37" t="s">
        <v>2047</v>
      </c>
      <c r="G7" s="41" t="s">
        <v>2048</v>
      </c>
      <c r="H7" s="51" t="s">
        <v>2036</v>
      </c>
      <c r="I7" s="37" t="s">
        <v>2037</v>
      </c>
      <c r="J7" s="37" t="s">
        <v>2038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5.75" customHeight="1">
      <c r="A8" s="41">
        <v>6</v>
      </c>
      <c r="B8" s="92" t="s">
        <v>15</v>
      </c>
      <c r="C8" s="37" t="s">
        <v>1459</v>
      </c>
      <c r="D8" s="37" t="s">
        <v>2049</v>
      </c>
      <c r="E8" s="41" t="s">
        <v>2050</v>
      </c>
      <c r="F8" s="37" t="s">
        <v>2051</v>
      </c>
      <c r="G8" s="41" t="s">
        <v>2052</v>
      </c>
      <c r="H8" s="51" t="s">
        <v>2053</v>
      </c>
      <c r="I8" s="37" t="s">
        <v>2053</v>
      </c>
      <c r="J8" s="37" t="s">
        <v>2038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15.75" customHeight="1">
      <c r="A9" s="41">
        <v>7</v>
      </c>
      <c r="B9" s="92" t="s">
        <v>15</v>
      </c>
      <c r="C9" s="37" t="s">
        <v>2054</v>
      </c>
      <c r="D9" s="37" t="s">
        <v>2055</v>
      </c>
      <c r="E9" s="41" t="s">
        <v>2027</v>
      </c>
      <c r="F9" s="37" t="s">
        <v>2056</v>
      </c>
      <c r="G9" s="41" t="s">
        <v>100</v>
      </c>
      <c r="H9" s="51" t="s">
        <v>2057</v>
      </c>
      <c r="I9" s="37" t="s">
        <v>2058</v>
      </c>
      <c r="J9" s="37" t="s">
        <v>2031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15.75" customHeight="1">
      <c r="A10" s="41">
        <v>8</v>
      </c>
      <c r="B10" s="92" t="s">
        <v>15</v>
      </c>
      <c r="C10" s="101" t="s">
        <v>2059</v>
      </c>
      <c r="D10" s="37" t="s">
        <v>2060</v>
      </c>
      <c r="E10" s="41" t="s">
        <v>2027</v>
      </c>
      <c r="F10" s="37" t="s">
        <v>2061</v>
      </c>
      <c r="G10" s="41" t="s">
        <v>100</v>
      </c>
      <c r="H10" s="51" t="s">
        <v>2062</v>
      </c>
      <c r="I10" s="37"/>
      <c r="J10" s="37" t="s">
        <v>2031</v>
      </c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24.75" customHeight="1">
      <c r="A11" s="75">
        <v>9</v>
      </c>
      <c r="B11" s="102" t="s">
        <v>15</v>
      </c>
      <c r="C11" s="71" t="s">
        <v>1459</v>
      </c>
      <c r="D11" s="71" t="s">
        <v>2063</v>
      </c>
      <c r="E11" s="75" t="s">
        <v>2027</v>
      </c>
      <c r="F11" s="70">
        <v>45574</v>
      </c>
      <c r="G11" s="75" t="s">
        <v>100</v>
      </c>
      <c r="H11" s="103" t="s">
        <v>2062</v>
      </c>
      <c r="I11" s="71" t="s">
        <v>2058</v>
      </c>
      <c r="J11" s="71" t="s">
        <v>2031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</row>
    <row r="12" spans="1:28" ht="31.5" customHeight="1">
      <c r="A12" s="75">
        <v>10</v>
      </c>
      <c r="B12" s="102" t="s">
        <v>15</v>
      </c>
      <c r="C12" s="71" t="s">
        <v>1463</v>
      </c>
      <c r="D12" s="71" t="s">
        <v>2064</v>
      </c>
      <c r="E12" s="75" t="s">
        <v>2027</v>
      </c>
      <c r="F12" s="70">
        <v>45574</v>
      </c>
      <c r="G12" s="75" t="s">
        <v>100</v>
      </c>
      <c r="H12" s="103" t="s">
        <v>2062</v>
      </c>
      <c r="I12" s="71" t="s">
        <v>2058</v>
      </c>
      <c r="J12" s="71" t="s">
        <v>2031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</row>
    <row r="13" spans="1:28" ht="33" customHeight="1">
      <c r="A13" s="75">
        <v>11</v>
      </c>
      <c r="B13" s="102" t="s">
        <v>15</v>
      </c>
      <c r="C13" s="71" t="s">
        <v>1459</v>
      </c>
      <c r="D13" s="71" t="s">
        <v>2065</v>
      </c>
      <c r="E13" s="75" t="s">
        <v>2027</v>
      </c>
      <c r="F13" s="70">
        <v>45574</v>
      </c>
      <c r="G13" s="75" t="s">
        <v>100</v>
      </c>
      <c r="H13" s="103" t="s">
        <v>2066</v>
      </c>
      <c r="I13" s="71" t="s">
        <v>47</v>
      </c>
      <c r="J13" s="71" t="s">
        <v>2031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</row>
    <row r="14" spans="1:28" ht="30" customHeight="1">
      <c r="A14" s="75">
        <v>12</v>
      </c>
      <c r="B14" s="102" t="s">
        <v>15</v>
      </c>
      <c r="C14" s="71" t="s">
        <v>1463</v>
      </c>
      <c r="D14" s="71" t="s">
        <v>2067</v>
      </c>
      <c r="E14" s="75" t="s">
        <v>2027</v>
      </c>
      <c r="F14" s="70">
        <v>45574</v>
      </c>
      <c r="G14" s="75" t="s">
        <v>100</v>
      </c>
      <c r="H14" s="103" t="s">
        <v>2066</v>
      </c>
      <c r="I14" s="71" t="s">
        <v>47</v>
      </c>
      <c r="J14" s="71" t="s">
        <v>2031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</row>
    <row r="15" spans="1:28" ht="37.5" customHeight="1">
      <c r="A15" s="75">
        <v>13</v>
      </c>
      <c r="B15" s="102" t="s">
        <v>15</v>
      </c>
      <c r="C15" s="71" t="s">
        <v>2068</v>
      </c>
      <c r="D15" s="104" t="s">
        <v>2069</v>
      </c>
      <c r="E15" s="75" t="s">
        <v>2027</v>
      </c>
      <c r="F15" s="71" t="s">
        <v>1478</v>
      </c>
      <c r="G15" s="75" t="s">
        <v>100</v>
      </c>
      <c r="H15" s="103" t="s">
        <v>2066</v>
      </c>
      <c r="I15" s="71"/>
      <c r="J15" s="71" t="s">
        <v>2031</v>
      </c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</row>
    <row r="16" spans="1:28" ht="33.75" customHeight="1">
      <c r="A16" s="75">
        <v>14</v>
      </c>
      <c r="B16" s="105" t="s">
        <v>16</v>
      </c>
      <c r="C16" s="103" t="s">
        <v>1861</v>
      </c>
      <c r="D16" s="103" t="s">
        <v>2070</v>
      </c>
      <c r="E16" s="103" t="s">
        <v>2071</v>
      </c>
      <c r="F16" s="106">
        <v>45392</v>
      </c>
      <c r="G16" s="107" t="s">
        <v>2072</v>
      </c>
      <c r="H16" s="103" t="s">
        <v>2066</v>
      </c>
      <c r="I16" s="37"/>
      <c r="J16" s="71" t="s">
        <v>2031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26.25" customHeight="1">
      <c r="A17" s="75">
        <v>15</v>
      </c>
      <c r="B17" s="105" t="s">
        <v>16</v>
      </c>
      <c r="C17" s="103" t="s">
        <v>2073</v>
      </c>
      <c r="D17" s="108" t="s">
        <v>2074</v>
      </c>
      <c r="E17" s="109" t="s">
        <v>2071</v>
      </c>
      <c r="F17" s="106">
        <v>45392</v>
      </c>
      <c r="G17" s="107" t="s">
        <v>2075</v>
      </c>
      <c r="H17" s="103" t="s">
        <v>2066</v>
      </c>
      <c r="I17" s="37"/>
      <c r="J17" s="105" t="s">
        <v>2076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37.5" customHeight="1">
      <c r="A18" s="75">
        <v>16</v>
      </c>
      <c r="B18" s="105" t="s">
        <v>16</v>
      </c>
      <c r="C18" s="103" t="s">
        <v>2077</v>
      </c>
      <c r="D18" s="103" t="s">
        <v>2078</v>
      </c>
      <c r="E18" s="104" t="s">
        <v>2071</v>
      </c>
      <c r="F18" s="110">
        <v>45392</v>
      </c>
      <c r="G18" s="107" t="s">
        <v>2079</v>
      </c>
      <c r="H18" s="103" t="s">
        <v>2066</v>
      </c>
      <c r="I18" s="37"/>
      <c r="J18" s="71" t="s">
        <v>2031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31.5" customHeight="1">
      <c r="A19" s="41">
        <v>17</v>
      </c>
      <c r="B19" s="105" t="s">
        <v>21</v>
      </c>
      <c r="C19" s="103" t="s">
        <v>2080</v>
      </c>
      <c r="D19" s="108" t="s">
        <v>2081</v>
      </c>
      <c r="E19" s="104" t="s">
        <v>2071</v>
      </c>
      <c r="F19" s="37" t="s">
        <v>2082</v>
      </c>
      <c r="G19" s="75" t="s">
        <v>100</v>
      </c>
      <c r="H19" s="103" t="s">
        <v>2066</v>
      </c>
      <c r="I19" s="37" t="s">
        <v>2083</v>
      </c>
      <c r="J19" s="71" t="s">
        <v>2031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48" customHeight="1">
      <c r="A20" s="41">
        <v>18</v>
      </c>
      <c r="B20" s="111" t="s">
        <v>17</v>
      </c>
      <c r="C20" s="112" t="s">
        <v>2084</v>
      </c>
      <c r="D20" s="112" t="s">
        <v>2085</v>
      </c>
      <c r="E20" s="113" t="s">
        <v>2027</v>
      </c>
      <c r="F20" s="112" t="s">
        <v>2086</v>
      </c>
      <c r="G20" s="113" t="s">
        <v>100</v>
      </c>
      <c r="H20" s="112" t="s">
        <v>2066</v>
      </c>
      <c r="I20" s="112" t="s">
        <v>47</v>
      </c>
      <c r="J20" s="112" t="s">
        <v>2031</v>
      </c>
      <c r="K20" s="75"/>
      <c r="L20" s="75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5.75" customHeight="1">
      <c r="A21" s="41">
        <v>19</v>
      </c>
      <c r="B21" s="111" t="s">
        <v>17</v>
      </c>
      <c r="C21" s="112" t="s">
        <v>2087</v>
      </c>
      <c r="D21" s="112" t="s">
        <v>2088</v>
      </c>
      <c r="E21" s="113" t="s">
        <v>2027</v>
      </c>
      <c r="F21" s="112" t="s">
        <v>2086</v>
      </c>
      <c r="G21" s="113" t="s">
        <v>100</v>
      </c>
      <c r="H21" s="112" t="s">
        <v>2066</v>
      </c>
      <c r="I21" s="112" t="s">
        <v>47</v>
      </c>
      <c r="J21" s="112" t="s">
        <v>2031</v>
      </c>
      <c r="K21" s="75"/>
      <c r="L21" s="75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5.75" customHeight="1">
      <c r="A22" s="41">
        <v>20</v>
      </c>
      <c r="B22" s="111" t="s">
        <v>17</v>
      </c>
      <c r="C22" s="112" t="s">
        <v>2089</v>
      </c>
      <c r="D22" s="114" t="s">
        <v>2090</v>
      </c>
      <c r="E22" s="113" t="s">
        <v>2027</v>
      </c>
      <c r="F22" s="112" t="s">
        <v>2091</v>
      </c>
      <c r="G22" s="113" t="s">
        <v>100</v>
      </c>
      <c r="H22" s="112" t="s">
        <v>2092</v>
      </c>
      <c r="I22" s="112"/>
      <c r="J22" s="112" t="s">
        <v>2031</v>
      </c>
      <c r="K22" s="75"/>
      <c r="L22" s="75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48" customHeight="1">
      <c r="A23" s="41">
        <v>21</v>
      </c>
      <c r="B23" s="102" t="s">
        <v>203</v>
      </c>
      <c r="C23" s="71" t="s">
        <v>2093</v>
      </c>
      <c r="D23" s="71" t="s">
        <v>2094</v>
      </c>
      <c r="E23" s="115">
        <v>80000</v>
      </c>
      <c r="F23" s="116">
        <v>45361</v>
      </c>
      <c r="G23" s="107" t="s">
        <v>2095</v>
      </c>
      <c r="H23" s="103" t="s">
        <v>2066</v>
      </c>
      <c r="I23" s="37"/>
      <c r="J23" s="71" t="s">
        <v>2031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31.5" customHeight="1">
      <c r="A24" s="41">
        <v>22</v>
      </c>
      <c r="B24" s="102" t="s">
        <v>15</v>
      </c>
      <c r="C24" s="117" t="s">
        <v>2096</v>
      </c>
      <c r="D24" s="118" t="s">
        <v>2097</v>
      </c>
      <c r="E24" s="75" t="s">
        <v>2027</v>
      </c>
      <c r="F24" s="71" t="s">
        <v>1478</v>
      </c>
      <c r="G24" s="75" t="s">
        <v>100</v>
      </c>
      <c r="H24" s="103" t="s">
        <v>2066</v>
      </c>
      <c r="I24" s="71"/>
      <c r="J24" s="71" t="s">
        <v>2031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28.5" customHeight="1">
      <c r="A25" s="119">
        <v>23</v>
      </c>
      <c r="B25" s="120" t="s">
        <v>16</v>
      </c>
      <c r="C25" s="121" t="s">
        <v>2098</v>
      </c>
      <c r="D25" s="121" t="s">
        <v>2099</v>
      </c>
      <c r="E25" s="122" t="s">
        <v>2100</v>
      </c>
      <c r="F25" s="123"/>
      <c r="G25" s="119" t="s">
        <v>2101</v>
      </c>
      <c r="H25" s="121" t="s">
        <v>2066</v>
      </c>
      <c r="I25" s="124"/>
      <c r="J25" s="125" t="s">
        <v>2102</v>
      </c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1:28" ht="27.75" customHeight="1">
      <c r="A26" s="126">
        <v>24</v>
      </c>
      <c r="B26" s="102" t="s">
        <v>15</v>
      </c>
      <c r="C26" s="103" t="s">
        <v>2103</v>
      </c>
      <c r="D26" s="103" t="s">
        <v>2104</v>
      </c>
      <c r="E26" s="75" t="s">
        <v>2027</v>
      </c>
      <c r="F26" s="71" t="s">
        <v>1478</v>
      </c>
      <c r="G26" s="75" t="s">
        <v>100</v>
      </c>
      <c r="H26" s="103" t="s">
        <v>2066</v>
      </c>
      <c r="I26" s="71"/>
      <c r="J26" s="105" t="s">
        <v>2076</v>
      </c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</row>
    <row r="27" spans="1:28" ht="27.75" customHeight="1">
      <c r="A27" s="126">
        <v>25</v>
      </c>
      <c r="B27" s="102" t="s">
        <v>15</v>
      </c>
      <c r="C27" s="51" t="s">
        <v>2105</v>
      </c>
      <c r="D27" s="51" t="s">
        <v>2106</v>
      </c>
      <c r="E27" s="75" t="s">
        <v>2027</v>
      </c>
      <c r="F27" s="71" t="s">
        <v>1478</v>
      </c>
      <c r="G27" s="75" t="s">
        <v>100</v>
      </c>
      <c r="H27" s="103" t="s">
        <v>2066</v>
      </c>
      <c r="I27" s="71"/>
      <c r="J27" s="71" t="s">
        <v>2031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</row>
    <row r="28" spans="1:28" ht="27.75" customHeight="1">
      <c r="A28" s="126">
        <v>26</v>
      </c>
      <c r="B28" s="102" t="s">
        <v>15</v>
      </c>
      <c r="C28" s="51" t="s">
        <v>2107</v>
      </c>
      <c r="D28" s="51" t="s">
        <v>2108</v>
      </c>
      <c r="E28" s="41" t="s">
        <v>2027</v>
      </c>
      <c r="F28" s="71" t="s">
        <v>1478</v>
      </c>
      <c r="G28" s="75" t="s">
        <v>100</v>
      </c>
      <c r="H28" s="103" t="s">
        <v>2066</v>
      </c>
      <c r="I28" s="71"/>
      <c r="J28" s="105" t="s">
        <v>2076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</row>
    <row r="29" spans="1:28" ht="23.25" customHeight="1">
      <c r="A29" s="119">
        <v>27</v>
      </c>
      <c r="B29" s="120" t="s">
        <v>15</v>
      </c>
      <c r="C29" s="124" t="s">
        <v>2109</v>
      </c>
      <c r="D29" s="124" t="s">
        <v>2110</v>
      </c>
      <c r="E29" s="119" t="s">
        <v>2027</v>
      </c>
      <c r="F29" s="123"/>
      <c r="G29" s="119" t="s">
        <v>2111</v>
      </c>
      <c r="H29" s="121" t="s">
        <v>2066</v>
      </c>
      <c r="I29" s="124"/>
      <c r="J29" s="124" t="s">
        <v>2102</v>
      </c>
      <c r="K29" s="119">
        <v>100000</v>
      </c>
      <c r="L29" s="119">
        <v>100000</v>
      </c>
      <c r="M29" s="119" t="s">
        <v>2112</v>
      </c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1:28" ht="21" customHeight="1">
      <c r="A30" s="119">
        <v>28</v>
      </c>
      <c r="B30" s="120" t="s">
        <v>15</v>
      </c>
      <c r="C30" s="124" t="s">
        <v>1176</v>
      </c>
      <c r="D30" s="127" t="s">
        <v>2113</v>
      </c>
      <c r="E30" s="119" t="s">
        <v>2027</v>
      </c>
      <c r="F30" s="121"/>
      <c r="G30" s="119" t="s">
        <v>2114</v>
      </c>
      <c r="H30" s="121" t="s">
        <v>2066</v>
      </c>
      <c r="I30" s="124"/>
      <c r="J30" s="124" t="s">
        <v>2102</v>
      </c>
      <c r="K30" s="119">
        <v>100000</v>
      </c>
      <c r="L30" s="119">
        <v>100000</v>
      </c>
      <c r="M30" s="119" t="s">
        <v>2112</v>
      </c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1:28" ht="26.25" customHeight="1">
      <c r="A31" s="41">
        <v>29</v>
      </c>
      <c r="B31" s="92" t="s">
        <v>24</v>
      </c>
      <c r="C31" s="37" t="s">
        <v>2115</v>
      </c>
      <c r="D31" s="37" t="s">
        <v>2116</v>
      </c>
      <c r="E31" s="41" t="s">
        <v>2027</v>
      </c>
      <c r="F31" s="71" t="s">
        <v>1478</v>
      </c>
      <c r="G31" s="107" t="s">
        <v>2117</v>
      </c>
      <c r="H31" s="103" t="s">
        <v>2066</v>
      </c>
      <c r="I31" s="37"/>
      <c r="J31" s="71" t="s">
        <v>2118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15.75" customHeight="1">
      <c r="A32" s="41">
        <v>30</v>
      </c>
      <c r="B32" s="92" t="s">
        <v>18</v>
      </c>
      <c r="C32" s="37" t="s">
        <v>2119</v>
      </c>
      <c r="D32" s="128" t="s">
        <v>2120</v>
      </c>
      <c r="E32" s="75">
        <v>2108000</v>
      </c>
      <c r="F32" s="129">
        <v>45566</v>
      </c>
      <c r="G32" s="75" t="s">
        <v>2121</v>
      </c>
      <c r="H32" s="130" t="s">
        <v>2122</v>
      </c>
      <c r="I32" s="71" t="s">
        <v>2083</v>
      </c>
      <c r="J32" s="71" t="s">
        <v>2038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31.5" customHeight="1">
      <c r="A33" s="41">
        <v>31</v>
      </c>
      <c r="B33" s="92" t="s">
        <v>18</v>
      </c>
      <c r="C33" s="128" t="s">
        <v>154</v>
      </c>
      <c r="D33" s="37" t="s">
        <v>2123</v>
      </c>
      <c r="E33" s="115">
        <v>50000</v>
      </c>
      <c r="F33" s="75" t="s">
        <v>2124</v>
      </c>
      <c r="G33" s="41" t="s">
        <v>100</v>
      </c>
      <c r="H33" s="37" t="s">
        <v>2066</v>
      </c>
      <c r="I33" s="71" t="s">
        <v>2083</v>
      </c>
      <c r="J33" s="37" t="s">
        <v>2038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26.25" customHeight="1">
      <c r="A34" s="41">
        <v>32</v>
      </c>
      <c r="B34" s="92" t="s">
        <v>203</v>
      </c>
      <c r="C34" s="37" t="s">
        <v>2125</v>
      </c>
      <c r="D34" s="37" t="s">
        <v>2126</v>
      </c>
      <c r="E34" s="41">
        <v>50000</v>
      </c>
      <c r="F34" s="71" t="s">
        <v>2091</v>
      </c>
      <c r="G34" s="107" t="s">
        <v>2127</v>
      </c>
      <c r="H34" s="103" t="s">
        <v>2066</v>
      </c>
      <c r="I34" s="37"/>
      <c r="J34" s="71" t="s">
        <v>2038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ht="35.25" customHeight="1">
      <c r="A35" s="41">
        <v>33</v>
      </c>
      <c r="B35" s="102" t="s">
        <v>24</v>
      </c>
      <c r="C35" s="71" t="s">
        <v>2128</v>
      </c>
      <c r="D35" s="71" t="s">
        <v>2129</v>
      </c>
      <c r="E35" s="75" t="s">
        <v>2130</v>
      </c>
      <c r="F35" s="70" t="s">
        <v>2131</v>
      </c>
      <c r="G35" s="75" t="s">
        <v>2132</v>
      </c>
      <c r="H35" s="103" t="s">
        <v>2122</v>
      </c>
      <c r="I35" s="71" t="s">
        <v>2083</v>
      </c>
      <c r="J35" s="71" t="s">
        <v>2133</v>
      </c>
      <c r="K35" s="75"/>
      <c r="L35" s="75"/>
      <c r="M35" s="75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ht="33" customHeight="1">
      <c r="A36" s="41">
        <v>34</v>
      </c>
      <c r="B36" s="102" t="s">
        <v>24</v>
      </c>
      <c r="C36" s="71" t="s">
        <v>2128</v>
      </c>
      <c r="D36" s="71" t="s">
        <v>2134</v>
      </c>
      <c r="E36" s="75" t="s">
        <v>2135</v>
      </c>
      <c r="F36" s="116">
        <v>45576</v>
      </c>
      <c r="G36" s="75" t="s">
        <v>2136</v>
      </c>
      <c r="H36" s="103" t="s">
        <v>2137</v>
      </c>
      <c r="I36" s="71" t="s">
        <v>2083</v>
      </c>
      <c r="J36" s="71" t="s">
        <v>2118</v>
      </c>
      <c r="K36" s="75"/>
      <c r="L36" s="75"/>
      <c r="M36" s="75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spans="1:28" ht="23.25" customHeight="1">
      <c r="A37" s="41">
        <v>35</v>
      </c>
      <c r="B37" s="131" t="s">
        <v>21</v>
      </c>
      <c r="C37" s="103" t="s">
        <v>2138</v>
      </c>
      <c r="D37" s="108" t="s">
        <v>2139</v>
      </c>
      <c r="E37" s="75">
        <v>1500000</v>
      </c>
      <c r="F37" s="132">
        <v>45586</v>
      </c>
      <c r="G37" s="103" t="s">
        <v>2140</v>
      </c>
      <c r="H37" s="108" t="s">
        <v>2141</v>
      </c>
      <c r="I37" s="71" t="s">
        <v>2083</v>
      </c>
      <c r="J37" s="37" t="s">
        <v>2142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24.75" customHeight="1">
      <c r="A38" s="41">
        <v>36</v>
      </c>
      <c r="B38" s="105" t="s">
        <v>21</v>
      </c>
      <c r="C38" s="103" t="s">
        <v>2138</v>
      </c>
      <c r="D38" s="108" t="s">
        <v>2143</v>
      </c>
      <c r="E38" s="75">
        <v>1500000</v>
      </c>
      <c r="F38" s="103" t="s">
        <v>2144</v>
      </c>
      <c r="G38" s="103" t="s">
        <v>2145</v>
      </c>
      <c r="H38" s="133" t="s">
        <v>2146</v>
      </c>
      <c r="I38" s="71" t="s">
        <v>2083</v>
      </c>
      <c r="J38" s="37" t="s">
        <v>2142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1:28" ht="25.5" customHeight="1">
      <c r="A39" s="41">
        <v>37</v>
      </c>
      <c r="B39" s="134" t="s">
        <v>17</v>
      </c>
      <c r="C39" s="135" t="s">
        <v>2147</v>
      </c>
      <c r="D39" s="135" t="s">
        <v>2148</v>
      </c>
      <c r="E39" s="136" t="s">
        <v>2027</v>
      </c>
      <c r="F39" s="112" t="s">
        <v>2149</v>
      </c>
      <c r="G39" s="136" t="s">
        <v>100</v>
      </c>
      <c r="H39" s="135" t="s">
        <v>2066</v>
      </c>
      <c r="I39" s="135"/>
      <c r="J39" s="112" t="s">
        <v>2031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ht="39.6">
      <c r="A40" s="41">
        <v>38</v>
      </c>
      <c r="B40" s="134" t="s">
        <v>17</v>
      </c>
      <c r="C40" s="135" t="s">
        <v>2150</v>
      </c>
      <c r="D40" s="135" t="s">
        <v>2151</v>
      </c>
      <c r="E40" s="136" t="s">
        <v>2027</v>
      </c>
      <c r="F40" s="113" t="s">
        <v>2091</v>
      </c>
      <c r="G40" s="113" t="s">
        <v>2152</v>
      </c>
      <c r="H40" s="135" t="s">
        <v>2066</v>
      </c>
      <c r="I40" s="112" t="s">
        <v>2083</v>
      </c>
      <c r="J40" s="112" t="s">
        <v>2031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ht="15.75" customHeight="1">
      <c r="A41" s="41">
        <v>39</v>
      </c>
      <c r="B41" s="92" t="s">
        <v>25</v>
      </c>
      <c r="C41" s="37" t="s">
        <v>2153</v>
      </c>
      <c r="D41" s="37" t="s">
        <v>2154</v>
      </c>
      <c r="E41" s="41" t="s">
        <v>2155</v>
      </c>
      <c r="F41" s="41" t="s">
        <v>2156</v>
      </c>
      <c r="G41" s="21" t="s">
        <v>2157</v>
      </c>
      <c r="H41" s="37" t="s">
        <v>2158</v>
      </c>
      <c r="I41" s="37" t="s">
        <v>2159</v>
      </c>
      <c r="J41" s="37" t="s">
        <v>2038</v>
      </c>
      <c r="K41" s="41" t="s">
        <v>2160</v>
      </c>
      <c r="L41" s="41">
        <v>5000</v>
      </c>
      <c r="M41" s="41"/>
      <c r="N41" s="137" t="s">
        <v>2161</v>
      </c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spans="1:28" ht="30" customHeight="1">
      <c r="A42" s="41">
        <v>41</v>
      </c>
      <c r="B42" s="92" t="s">
        <v>24</v>
      </c>
      <c r="C42" s="138" t="s">
        <v>719</v>
      </c>
      <c r="D42" s="37" t="s">
        <v>2162</v>
      </c>
      <c r="E42" s="41" t="s">
        <v>2163</v>
      </c>
      <c r="F42" s="138" t="s">
        <v>2164</v>
      </c>
      <c r="G42" s="41" t="s">
        <v>2165</v>
      </c>
      <c r="H42" s="139" t="s">
        <v>2166</v>
      </c>
      <c r="I42" s="37" t="s">
        <v>2083</v>
      </c>
      <c r="J42" s="37" t="s">
        <v>2167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38.25" customHeight="1">
      <c r="A43" s="41">
        <v>42</v>
      </c>
      <c r="B43" s="92" t="s">
        <v>17</v>
      </c>
      <c r="C43" s="37" t="s">
        <v>2168</v>
      </c>
      <c r="D43" s="37" t="s">
        <v>2169</v>
      </c>
      <c r="E43" s="41" t="s">
        <v>2170</v>
      </c>
      <c r="F43" s="41" t="s">
        <v>2171</v>
      </c>
      <c r="G43" s="41" t="s">
        <v>2172</v>
      </c>
      <c r="H43" s="37" t="s">
        <v>2166</v>
      </c>
      <c r="I43" s="37" t="s">
        <v>2083</v>
      </c>
      <c r="J43" s="37" t="s">
        <v>2038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ht="42" customHeight="1">
      <c r="A44" s="41">
        <v>43</v>
      </c>
      <c r="B44" s="102" t="s">
        <v>15</v>
      </c>
      <c r="C44" s="71" t="s">
        <v>149</v>
      </c>
      <c r="D44" s="140" t="s">
        <v>2173</v>
      </c>
      <c r="E44" s="75" t="s">
        <v>2174</v>
      </c>
      <c r="F44" s="116">
        <v>45637</v>
      </c>
      <c r="G44" s="75" t="s">
        <v>100</v>
      </c>
      <c r="H44" s="133" t="s">
        <v>2175</v>
      </c>
      <c r="I44" s="71" t="s">
        <v>2176</v>
      </c>
      <c r="J44" s="71" t="s">
        <v>2177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spans="1:28" ht="15.75" customHeight="1">
      <c r="A45" s="41">
        <v>44</v>
      </c>
      <c r="B45" s="102" t="s">
        <v>15</v>
      </c>
      <c r="C45" s="71" t="s">
        <v>1459</v>
      </c>
      <c r="D45" s="71" t="s">
        <v>2178</v>
      </c>
      <c r="E45" s="75" t="s">
        <v>2179</v>
      </c>
      <c r="F45" s="141">
        <v>45361</v>
      </c>
      <c r="G45" s="75" t="s">
        <v>100</v>
      </c>
      <c r="H45" s="103" t="s">
        <v>2180</v>
      </c>
      <c r="I45" s="71" t="s">
        <v>2180</v>
      </c>
      <c r="J45" s="71" t="s">
        <v>2038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spans="1:28" ht="15.75" customHeight="1">
      <c r="A46" s="41">
        <v>45</v>
      </c>
      <c r="B46" s="102" t="s">
        <v>15</v>
      </c>
      <c r="C46" s="71" t="s">
        <v>1459</v>
      </c>
      <c r="D46" s="71" t="s">
        <v>2181</v>
      </c>
      <c r="E46" s="75" t="s">
        <v>2182</v>
      </c>
      <c r="F46" s="142">
        <v>45637</v>
      </c>
      <c r="G46" s="75">
        <v>502024004611</v>
      </c>
      <c r="H46" s="103" t="s">
        <v>2183</v>
      </c>
      <c r="I46" s="71" t="s">
        <v>2036</v>
      </c>
      <c r="J46" s="71" t="s">
        <v>2031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spans="1:28" ht="15.75" customHeight="1">
      <c r="A47" s="41">
        <v>46</v>
      </c>
      <c r="B47" s="102" t="s">
        <v>15</v>
      </c>
      <c r="C47" s="71" t="s">
        <v>1459</v>
      </c>
      <c r="D47" s="71" t="s">
        <v>2184</v>
      </c>
      <c r="E47" s="75" t="s">
        <v>2185</v>
      </c>
      <c r="F47" s="142">
        <v>45637</v>
      </c>
      <c r="G47" s="75">
        <v>502024004554</v>
      </c>
      <c r="H47" s="103" t="s">
        <v>2183</v>
      </c>
      <c r="I47" s="71" t="s">
        <v>2036</v>
      </c>
      <c r="J47" s="71" t="s">
        <v>2031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spans="1:28" ht="43.5" customHeight="1">
      <c r="A48" s="41">
        <v>47</v>
      </c>
      <c r="B48" s="102" t="s">
        <v>15</v>
      </c>
      <c r="C48" s="71" t="s">
        <v>149</v>
      </c>
      <c r="D48" s="71" t="s">
        <v>2186</v>
      </c>
      <c r="E48" s="75" t="s">
        <v>2187</v>
      </c>
      <c r="F48" s="71" t="s">
        <v>2188</v>
      </c>
      <c r="G48" s="143" t="s">
        <v>2189</v>
      </c>
      <c r="H48" s="103" t="s">
        <v>2190</v>
      </c>
      <c r="I48" s="71" t="s">
        <v>2029</v>
      </c>
      <c r="J48" s="71" t="s">
        <v>2031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ht="24.75" customHeight="1">
      <c r="A49" s="144">
        <v>48</v>
      </c>
      <c r="B49" s="145" t="s">
        <v>15</v>
      </c>
      <c r="C49" s="121" t="s">
        <v>2191</v>
      </c>
      <c r="D49" s="121" t="s">
        <v>2192</v>
      </c>
      <c r="E49" s="144" t="s">
        <v>2071</v>
      </c>
      <c r="F49" s="146">
        <v>45667</v>
      </c>
      <c r="G49" s="147">
        <v>1730781607</v>
      </c>
      <c r="H49" s="121" t="s">
        <v>2193</v>
      </c>
      <c r="I49" s="121" t="s">
        <v>2194</v>
      </c>
      <c r="J49" s="121" t="s">
        <v>2195</v>
      </c>
      <c r="K49" s="144" t="s">
        <v>2071</v>
      </c>
      <c r="L49" s="144" t="s">
        <v>2071</v>
      </c>
      <c r="M49" s="121" t="s">
        <v>2196</v>
      </c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 spans="1:28" ht="28.5" customHeight="1">
      <c r="A50" s="119">
        <v>49</v>
      </c>
      <c r="B50" s="120" t="s">
        <v>162</v>
      </c>
      <c r="C50" s="124" t="s">
        <v>2197</v>
      </c>
      <c r="D50" s="124" t="s">
        <v>2198</v>
      </c>
      <c r="E50" s="119" t="s">
        <v>2199</v>
      </c>
      <c r="F50" s="148">
        <v>45326</v>
      </c>
      <c r="G50" s="147">
        <v>1715850918</v>
      </c>
      <c r="H50" s="124" t="s">
        <v>2193</v>
      </c>
      <c r="I50" s="121" t="s">
        <v>2194</v>
      </c>
      <c r="J50" s="125" t="s">
        <v>2200</v>
      </c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</row>
    <row r="51" spans="1:28" ht="21.75" customHeight="1">
      <c r="A51" s="41">
        <v>50</v>
      </c>
      <c r="B51" s="92" t="s">
        <v>24</v>
      </c>
      <c r="C51" s="37" t="s">
        <v>430</v>
      </c>
      <c r="D51" s="37" t="s">
        <v>2201</v>
      </c>
      <c r="E51" s="149">
        <v>6862124</v>
      </c>
      <c r="F51" s="41" t="s">
        <v>2202</v>
      </c>
      <c r="G51" s="41" t="s">
        <v>2203</v>
      </c>
      <c r="H51" s="37" t="s">
        <v>2204</v>
      </c>
      <c r="I51" s="121" t="s">
        <v>2194</v>
      </c>
      <c r="J51" s="71" t="s">
        <v>2133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ht="28.5" customHeight="1">
      <c r="A52" s="41">
        <v>51</v>
      </c>
      <c r="B52" s="102" t="s">
        <v>21</v>
      </c>
      <c r="C52" s="103" t="s">
        <v>2138</v>
      </c>
      <c r="D52" s="108" t="s">
        <v>2205</v>
      </c>
      <c r="E52" s="75">
        <v>1000000</v>
      </c>
      <c r="F52" s="103" t="s">
        <v>2206</v>
      </c>
      <c r="G52" s="150" t="s">
        <v>2207</v>
      </c>
      <c r="H52" s="103" t="s">
        <v>2208</v>
      </c>
      <c r="I52" s="103" t="s">
        <v>2194</v>
      </c>
      <c r="J52" s="37" t="s">
        <v>2142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:28" ht="24.75" customHeight="1">
      <c r="A53" s="41">
        <v>52</v>
      </c>
      <c r="B53" s="102" t="s">
        <v>21</v>
      </c>
      <c r="C53" s="103" t="s">
        <v>2138</v>
      </c>
      <c r="D53" s="108" t="s">
        <v>2209</v>
      </c>
      <c r="E53" s="75">
        <v>1400000</v>
      </c>
      <c r="F53" s="103" t="s">
        <v>2210</v>
      </c>
      <c r="G53" s="151" t="s">
        <v>2211</v>
      </c>
      <c r="H53" s="103" t="s">
        <v>2208</v>
      </c>
      <c r="I53" s="103" t="s">
        <v>2194</v>
      </c>
      <c r="J53" s="71" t="s">
        <v>2038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ht="15.75" customHeight="1">
      <c r="A54" s="41">
        <v>53</v>
      </c>
      <c r="B54" s="102" t="s">
        <v>15</v>
      </c>
      <c r="C54" s="71" t="s">
        <v>444</v>
      </c>
      <c r="D54" s="71" t="s">
        <v>2212</v>
      </c>
      <c r="E54" s="75" t="s">
        <v>2213</v>
      </c>
      <c r="F54" s="141">
        <v>45455</v>
      </c>
      <c r="G54" s="75" t="s">
        <v>100</v>
      </c>
      <c r="H54" s="103" t="s">
        <v>2214</v>
      </c>
      <c r="I54" s="71" t="s">
        <v>2215</v>
      </c>
      <c r="J54" s="71" t="s">
        <v>2038</v>
      </c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</row>
    <row r="55" spans="1:28" ht="27.75" customHeight="1">
      <c r="A55" s="41">
        <v>54</v>
      </c>
      <c r="B55" s="102" t="s">
        <v>18</v>
      </c>
      <c r="C55" s="71" t="s">
        <v>2216</v>
      </c>
      <c r="D55" s="71" t="s">
        <v>2217</v>
      </c>
      <c r="E55" s="75" t="s">
        <v>2218</v>
      </c>
      <c r="F55" s="71" t="s">
        <v>2219</v>
      </c>
      <c r="G55" s="75" t="s">
        <v>100</v>
      </c>
      <c r="H55" s="103" t="s">
        <v>2220</v>
      </c>
      <c r="I55" s="71" t="s">
        <v>2194</v>
      </c>
      <c r="J55" s="71" t="s">
        <v>2038</v>
      </c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</row>
    <row r="56" spans="1:28" ht="39.75" customHeight="1">
      <c r="A56" s="41">
        <v>55</v>
      </c>
      <c r="B56" s="102" t="s">
        <v>15</v>
      </c>
      <c r="C56" s="71" t="s">
        <v>2221</v>
      </c>
      <c r="D56" s="71" t="s">
        <v>2222</v>
      </c>
      <c r="E56" s="75" t="s">
        <v>2223</v>
      </c>
      <c r="F56" s="71" t="s">
        <v>2224</v>
      </c>
      <c r="G56" s="75" t="s">
        <v>2225</v>
      </c>
      <c r="H56" s="103" t="s">
        <v>2226</v>
      </c>
      <c r="I56" s="71" t="s">
        <v>2036</v>
      </c>
      <c r="J56" s="71" t="s">
        <v>2038</v>
      </c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 spans="1:28" ht="15.75" customHeight="1">
      <c r="A57" s="41">
        <v>56</v>
      </c>
      <c r="B57" s="102" t="s">
        <v>15</v>
      </c>
      <c r="C57" s="71" t="s">
        <v>1459</v>
      </c>
      <c r="D57" s="71" t="s">
        <v>2227</v>
      </c>
      <c r="E57" s="71" t="s">
        <v>2228</v>
      </c>
      <c r="F57" s="71" t="s">
        <v>2229</v>
      </c>
      <c r="G57" s="71" t="s">
        <v>2230</v>
      </c>
      <c r="H57" s="103" t="s">
        <v>2204</v>
      </c>
      <c r="I57" s="71" t="s">
        <v>2194</v>
      </c>
      <c r="J57" s="71" t="s">
        <v>2038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 spans="1:28" ht="15.75" customHeight="1">
      <c r="A58" s="41">
        <v>57</v>
      </c>
      <c r="B58" s="102" t="s">
        <v>15</v>
      </c>
      <c r="C58" s="71" t="s">
        <v>1459</v>
      </c>
      <c r="D58" s="71" t="s">
        <v>2231</v>
      </c>
      <c r="E58" s="71" t="s">
        <v>2232</v>
      </c>
      <c r="F58" s="141">
        <v>45809</v>
      </c>
      <c r="G58" s="71" t="s">
        <v>2233</v>
      </c>
      <c r="H58" s="103" t="s">
        <v>2234</v>
      </c>
      <c r="I58" s="71" t="s">
        <v>2194</v>
      </c>
      <c r="J58" s="71" t="s">
        <v>2038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 spans="1:28" ht="15.75" customHeight="1">
      <c r="A59" s="41">
        <v>58</v>
      </c>
      <c r="B59" s="102" t="s">
        <v>15</v>
      </c>
      <c r="C59" s="71" t="s">
        <v>2235</v>
      </c>
      <c r="D59" s="71" t="s">
        <v>2236</v>
      </c>
      <c r="E59" s="75" t="s">
        <v>2237</v>
      </c>
      <c r="F59" s="75" t="s">
        <v>2238</v>
      </c>
      <c r="G59" s="75" t="s">
        <v>2239</v>
      </c>
      <c r="H59" s="71" t="s">
        <v>2208</v>
      </c>
      <c r="I59" s="71" t="s">
        <v>2036</v>
      </c>
      <c r="J59" s="71" t="s">
        <v>2038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 spans="1:28" ht="15.75" customHeight="1">
      <c r="A60" s="41">
        <v>59</v>
      </c>
      <c r="B60" s="102" t="s">
        <v>15</v>
      </c>
      <c r="C60" s="71" t="s">
        <v>2240</v>
      </c>
      <c r="D60" s="71" t="s">
        <v>2241</v>
      </c>
      <c r="E60" s="75" t="s">
        <v>2071</v>
      </c>
      <c r="F60" s="75" t="s">
        <v>2242</v>
      </c>
      <c r="G60" s="75" t="s">
        <v>100</v>
      </c>
      <c r="H60" s="103" t="s">
        <v>2057</v>
      </c>
      <c r="I60" s="71" t="s">
        <v>2058</v>
      </c>
      <c r="J60" s="71" t="s">
        <v>2031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 spans="1:28" ht="15.75" customHeight="1">
      <c r="A61" s="41">
        <v>60</v>
      </c>
      <c r="B61" s="102" t="s">
        <v>15</v>
      </c>
      <c r="C61" s="71" t="s">
        <v>2243</v>
      </c>
      <c r="D61" s="71" t="s">
        <v>2244</v>
      </c>
      <c r="E61" s="75" t="s">
        <v>2071</v>
      </c>
      <c r="F61" s="75" t="s">
        <v>2242</v>
      </c>
      <c r="G61" s="75" t="s">
        <v>100</v>
      </c>
      <c r="H61" s="103" t="s">
        <v>2057</v>
      </c>
      <c r="I61" s="71" t="s">
        <v>2058</v>
      </c>
      <c r="J61" s="71" t="s">
        <v>2038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 spans="1:28" ht="30" customHeight="1">
      <c r="A62" s="41">
        <v>61</v>
      </c>
      <c r="B62" s="92" t="s">
        <v>17</v>
      </c>
      <c r="C62" s="37" t="s">
        <v>271</v>
      </c>
      <c r="D62" s="37" t="s">
        <v>2245</v>
      </c>
      <c r="E62" s="41" t="s">
        <v>2246</v>
      </c>
      <c r="F62" s="41" t="s">
        <v>2247</v>
      </c>
      <c r="G62" s="41" t="s">
        <v>2248</v>
      </c>
      <c r="H62" s="37" t="s">
        <v>2249</v>
      </c>
      <c r="I62" s="37" t="s">
        <v>2194</v>
      </c>
      <c r="J62" s="37" t="s">
        <v>2038</v>
      </c>
      <c r="K62" s="41"/>
      <c r="L62" s="41"/>
      <c r="M62" s="41"/>
      <c r="N62" s="41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</row>
    <row r="63" spans="1:28" ht="15.75" customHeight="1">
      <c r="A63" s="41">
        <v>62</v>
      </c>
      <c r="B63" s="92" t="s">
        <v>20</v>
      </c>
      <c r="C63" s="37" t="s">
        <v>2250</v>
      </c>
      <c r="D63" s="37" t="s">
        <v>2251</v>
      </c>
      <c r="E63" s="41">
        <v>2500000</v>
      </c>
      <c r="F63" s="153">
        <v>45577</v>
      </c>
      <c r="G63" s="154" t="s">
        <v>2252</v>
      </c>
      <c r="H63" s="103" t="s">
        <v>2253</v>
      </c>
      <c r="I63" s="37" t="s">
        <v>2036</v>
      </c>
      <c r="J63" s="37" t="s">
        <v>2038</v>
      </c>
      <c r="K63" s="41"/>
      <c r="L63" s="41"/>
      <c r="M63" s="41"/>
      <c r="N63" s="41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</row>
    <row r="64" spans="1:28" ht="15.75" customHeight="1">
      <c r="A64" s="41">
        <v>63</v>
      </c>
      <c r="B64" s="92" t="s">
        <v>2254</v>
      </c>
      <c r="C64" s="37" t="s">
        <v>707</v>
      </c>
      <c r="D64" s="107" t="s">
        <v>2255</v>
      </c>
      <c r="E64" s="41">
        <v>2500000</v>
      </c>
      <c r="F64" s="155">
        <v>45689</v>
      </c>
      <c r="G64" s="41"/>
      <c r="H64" s="156" t="s">
        <v>2256</v>
      </c>
      <c r="I64" s="37" t="s">
        <v>2257</v>
      </c>
      <c r="J64" s="37"/>
      <c r="K64" s="41"/>
      <c r="L64" s="41"/>
      <c r="M64" s="41"/>
      <c r="N64" s="41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</row>
    <row r="65" spans="1:28" ht="15.75" customHeight="1">
      <c r="A65" s="41">
        <v>64</v>
      </c>
      <c r="B65" s="92" t="s">
        <v>2254</v>
      </c>
      <c r="C65" s="37" t="s">
        <v>2258</v>
      </c>
      <c r="D65" s="157" t="s">
        <v>2259</v>
      </c>
      <c r="E65" s="41">
        <v>2500000</v>
      </c>
      <c r="F65" s="155">
        <v>45689</v>
      </c>
      <c r="G65" s="41"/>
      <c r="H65" s="37" t="s">
        <v>2260</v>
      </c>
      <c r="I65" s="37" t="s">
        <v>2261</v>
      </c>
      <c r="J65" s="37"/>
      <c r="K65" s="41"/>
      <c r="L65" s="41"/>
      <c r="M65" s="41"/>
      <c r="N65" s="41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</row>
    <row r="66" spans="1:28" ht="15.75" customHeight="1">
      <c r="A66" s="41">
        <v>65</v>
      </c>
      <c r="B66" s="92" t="s">
        <v>18</v>
      </c>
      <c r="C66" s="37" t="s">
        <v>154</v>
      </c>
      <c r="D66" s="37" t="s">
        <v>2262</v>
      </c>
      <c r="E66" s="41">
        <v>3080000</v>
      </c>
      <c r="F66" s="158">
        <v>45680</v>
      </c>
      <c r="G66" s="41" t="s">
        <v>2263</v>
      </c>
      <c r="H66" s="103" t="s">
        <v>2226</v>
      </c>
      <c r="I66" s="37" t="s">
        <v>2036</v>
      </c>
      <c r="J66" s="37" t="s">
        <v>2038</v>
      </c>
      <c r="K66" s="41"/>
      <c r="L66" s="41"/>
      <c r="M66" s="41"/>
      <c r="N66" s="41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</row>
    <row r="67" spans="1:28" ht="15.75" customHeight="1">
      <c r="A67" s="41">
        <v>66</v>
      </c>
      <c r="B67" s="92" t="s">
        <v>18</v>
      </c>
      <c r="C67" s="37" t="s">
        <v>2264</v>
      </c>
      <c r="D67" s="37" t="s">
        <v>2265</v>
      </c>
      <c r="E67" s="41" t="s">
        <v>2266</v>
      </c>
      <c r="F67" s="155">
        <v>45687</v>
      </c>
      <c r="G67" s="41" t="s">
        <v>2267</v>
      </c>
      <c r="H67" s="103" t="s">
        <v>2226</v>
      </c>
      <c r="I67" s="37" t="s">
        <v>2036</v>
      </c>
      <c r="J67" s="37" t="s">
        <v>2038</v>
      </c>
      <c r="K67" s="41"/>
      <c r="L67" s="41"/>
      <c r="M67" s="41"/>
      <c r="N67" s="41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</row>
    <row r="68" spans="1:28" ht="15.75" customHeight="1">
      <c r="A68" s="41">
        <v>67</v>
      </c>
      <c r="B68" s="92" t="s">
        <v>25</v>
      </c>
      <c r="C68" s="37" t="s">
        <v>2268</v>
      </c>
      <c r="D68" s="37" t="s">
        <v>2269</v>
      </c>
      <c r="E68" s="159">
        <v>500000</v>
      </c>
      <c r="F68" s="155">
        <v>45687</v>
      </c>
      <c r="G68" s="41" t="s">
        <v>2270</v>
      </c>
      <c r="H68" s="103" t="s">
        <v>2226</v>
      </c>
      <c r="I68" s="37" t="s">
        <v>2036</v>
      </c>
      <c r="J68" s="37" t="s">
        <v>2038</v>
      </c>
      <c r="K68" s="41"/>
      <c r="L68" s="41"/>
      <c r="M68" s="41"/>
      <c r="N68" s="41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</row>
    <row r="69" spans="1:28" ht="51" customHeight="1">
      <c r="A69" s="41">
        <v>68</v>
      </c>
      <c r="B69" s="92" t="s">
        <v>17</v>
      </c>
      <c r="C69" s="37" t="s">
        <v>271</v>
      </c>
      <c r="D69" s="37" t="s">
        <v>2271</v>
      </c>
      <c r="E69" s="41" t="s">
        <v>2246</v>
      </c>
      <c r="F69" s="155">
        <v>45686</v>
      </c>
      <c r="G69" s="41"/>
      <c r="H69" s="37" t="s">
        <v>2272</v>
      </c>
      <c r="I69" s="37" t="s">
        <v>2194</v>
      </c>
      <c r="J69" s="37" t="s">
        <v>2273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ht="26.4">
      <c r="A70" s="41">
        <v>69</v>
      </c>
      <c r="B70" s="92" t="s">
        <v>17</v>
      </c>
      <c r="C70" s="37" t="s">
        <v>503</v>
      </c>
      <c r="D70" s="37" t="s">
        <v>2274</v>
      </c>
      <c r="E70" s="41" t="s">
        <v>2275</v>
      </c>
      <c r="F70" s="41" t="s">
        <v>2276</v>
      </c>
      <c r="G70" s="41" t="s">
        <v>2277</v>
      </c>
      <c r="H70" s="37" t="s">
        <v>2249</v>
      </c>
      <c r="I70" s="37" t="s">
        <v>2194</v>
      </c>
      <c r="J70" s="37" t="s">
        <v>2038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ht="52.8">
      <c r="A71" s="41">
        <v>70</v>
      </c>
      <c r="B71" s="103" t="s">
        <v>16</v>
      </c>
      <c r="C71" s="103" t="s">
        <v>2278</v>
      </c>
      <c r="D71" s="103" t="s">
        <v>2279</v>
      </c>
      <c r="E71" s="109" t="s">
        <v>2280</v>
      </c>
      <c r="F71" s="103" t="s">
        <v>2281</v>
      </c>
      <c r="G71" s="103" t="s">
        <v>2282</v>
      </c>
      <c r="H71" s="103" t="s">
        <v>2208</v>
      </c>
      <c r="I71" s="37" t="s">
        <v>2194</v>
      </c>
      <c r="J71" s="37" t="s">
        <v>2142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ht="39.6">
      <c r="A72" s="41">
        <v>72</v>
      </c>
      <c r="B72" s="103" t="s">
        <v>16</v>
      </c>
      <c r="C72" s="103" t="s">
        <v>2283</v>
      </c>
      <c r="D72" s="103" t="s">
        <v>2284</v>
      </c>
      <c r="E72" s="103" t="s">
        <v>2285</v>
      </c>
      <c r="F72" s="103" t="s">
        <v>2286</v>
      </c>
      <c r="G72" s="103" t="s">
        <v>2287</v>
      </c>
      <c r="H72" s="103" t="s">
        <v>2208</v>
      </c>
      <c r="I72" s="37" t="s">
        <v>2194</v>
      </c>
      <c r="J72" s="37" t="s">
        <v>2142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ht="66">
      <c r="A73" s="41">
        <v>73</v>
      </c>
      <c r="B73" s="103" t="s">
        <v>16</v>
      </c>
      <c r="C73" s="103" t="s">
        <v>2288</v>
      </c>
      <c r="D73" s="103" t="s">
        <v>2289</v>
      </c>
      <c r="E73" s="130" t="s">
        <v>2290</v>
      </c>
      <c r="F73" s="103" t="s">
        <v>2286</v>
      </c>
      <c r="G73" s="103" t="s">
        <v>2291</v>
      </c>
      <c r="H73" s="103" t="s">
        <v>2208</v>
      </c>
      <c r="I73" s="37" t="s">
        <v>2194</v>
      </c>
      <c r="J73" s="37" t="s">
        <v>2142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ht="52.8">
      <c r="A74" s="41">
        <v>74</v>
      </c>
      <c r="B74" s="103" t="s">
        <v>16</v>
      </c>
      <c r="C74" s="103" t="s">
        <v>2292</v>
      </c>
      <c r="D74" s="160" t="s">
        <v>2293</v>
      </c>
      <c r="E74" s="103" t="s">
        <v>2294</v>
      </c>
      <c r="F74" s="104" t="s">
        <v>2276</v>
      </c>
      <c r="G74" s="161" t="s">
        <v>2295</v>
      </c>
      <c r="H74" s="103" t="s">
        <v>2249</v>
      </c>
      <c r="I74" s="37" t="s">
        <v>2194</v>
      </c>
      <c r="J74" s="37" t="s">
        <v>2142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ht="39" customHeight="1">
      <c r="A75" s="41">
        <v>75</v>
      </c>
      <c r="B75" s="103" t="s">
        <v>21</v>
      </c>
      <c r="C75" s="103" t="s">
        <v>2138</v>
      </c>
      <c r="D75" s="160" t="s">
        <v>2296</v>
      </c>
      <c r="E75" s="21">
        <v>1000000</v>
      </c>
      <c r="F75" s="21" t="s">
        <v>2297</v>
      </c>
      <c r="G75" s="103" t="s">
        <v>2298</v>
      </c>
      <c r="H75" s="103" t="s">
        <v>2299</v>
      </c>
      <c r="I75" s="37" t="s">
        <v>2194</v>
      </c>
      <c r="J75" s="37" t="s">
        <v>2142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ht="43.5" customHeight="1">
      <c r="A76" s="41">
        <v>76</v>
      </c>
      <c r="B76" s="92" t="s">
        <v>17</v>
      </c>
      <c r="C76" s="37" t="s">
        <v>2300</v>
      </c>
      <c r="D76" s="37" t="s">
        <v>2301</v>
      </c>
      <c r="E76" s="162" t="s">
        <v>2302</v>
      </c>
      <c r="F76" s="41" t="s">
        <v>2303</v>
      </c>
      <c r="G76" s="163" t="s">
        <v>2304</v>
      </c>
      <c r="H76" s="103" t="s">
        <v>2208</v>
      </c>
      <c r="I76" s="37" t="s">
        <v>2194</v>
      </c>
      <c r="J76" s="37" t="s">
        <v>2038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ht="38.25" customHeight="1">
      <c r="A77" s="41">
        <v>77</v>
      </c>
      <c r="B77" s="92" t="s">
        <v>24</v>
      </c>
      <c r="C77" s="37" t="s">
        <v>2305</v>
      </c>
      <c r="D77" s="37" t="s">
        <v>2306</v>
      </c>
      <c r="E77" s="41">
        <v>1000000</v>
      </c>
      <c r="F77" s="41" t="s">
        <v>2307</v>
      </c>
      <c r="G77" s="41" t="s">
        <v>2308</v>
      </c>
      <c r="H77" s="103" t="s">
        <v>2036</v>
      </c>
      <c r="I77" s="71" t="s">
        <v>2083</v>
      </c>
      <c r="J77" s="71" t="s">
        <v>2309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ht="37.5" customHeight="1">
      <c r="A78" s="41">
        <v>78</v>
      </c>
      <c r="B78" s="102" t="s">
        <v>24</v>
      </c>
      <c r="C78" s="71" t="s">
        <v>2310</v>
      </c>
      <c r="D78" s="164" t="s">
        <v>2311</v>
      </c>
      <c r="E78" s="75">
        <v>2285000</v>
      </c>
      <c r="F78" s="71" t="s">
        <v>2312</v>
      </c>
      <c r="G78" s="75" t="s">
        <v>2313</v>
      </c>
      <c r="H78" s="103" t="s">
        <v>2036</v>
      </c>
      <c r="I78" s="71" t="s">
        <v>2083</v>
      </c>
      <c r="J78" s="71" t="s">
        <v>2309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ht="50.25" customHeight="1">
      <c r="A79" s="41">
        <v>79</v>
      </c>
      <c r="B79" s="102" t="s">
        <v>24</v>
      </c>
      <c r="C79" s="71" t="s">
        <v>2314</v>
      </c>
      <c r="D79" s="71" t="s">
        <v>2315</v>
      </c>
      <c r="E79" s="75">
        <v>3649000</v>
      </c>
      <c r="F79" s="71" t="s">
        <v>2312</v>
      </c>
      <c r="G79" s="75" t="s">
        <v>2316</v>
      </c>
      <c r="H79" s="103" t="s">
        <v>2036</v>
      </c>
      <c r="I79" s="71" t="s">
        <v>2083</v>
      </c>
      <c r="J79" s="71" t="s">
        <v>2309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ht="27.75" customHeight="1">
      <c r="A80" s="41">
        <v>80</v>
      </c>
      <c r="B80" s="102" t="s">
        <v>24</v>
      </c>
      <c r="C80" s="71" t="s">
        <v>2317</v>
      </c>
      <c r="D80" s="71" t="s">
        <v>2318</v>
      </c>
      <c r="E80" s="75">
        <v>1500000</v>
      </c>
      <c r="F80" s="71" t="s">
        <v>2307</v>
      </c>
      <c r="G80" s="75" t="s">
        <v>2319</v>
      </c>
      <c r="H80" s="103" t="s">
        <v>2036</v>
      </c>
      <c r="I80" s="71" t="s">
        <v>2083</v>
      </c>
      <c r="J80" s="71" t="s">
        <v>2309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28" ht="54" customHeight="1">
      <c r="A81" s="41">
        <v>81</v>
      </c>
      <c r="B81" s="102" t="s">
        <v>24</v>
      </c>
      <c r="C81" s="71" t="s">
        <v>2320</v>
      </c>
      <c r="D81" s="71" t="s">
        <v>2321</v>
      </c>
      <c r="E81" s="75" t="s">
        <v>2322</v>
      </c>
      <c r="F81" s="71" t="s">
        <v>2312</v>
      </c>
      <c r="G81" s="75" t="s">
        <v>2323</v>
      </c>
      <c r="H81" s="103" t="s">
        <v>2036</v>
      </c>
      <c r="I81" s="71" t="s">
        <v>2083</v>
      </c>
      <c r="J81" s="71" t="s">
        <v>2309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28" ht="15.75" customHeight="1">
      <c r="A82" s="41">
        <v>82</v>
      </c>
      <c r="B82" s="92" t="s">
        <v>26</v>
      </c>
      <c r="C82" s="37" t="s">
        <v>2324</v>
      </c>
      <c r="D82" s="164" t="s">
        <v>2325</v>
      </c>
      <c r="E82" s="41" t="s">
        <v>2326</v>
      </c>
      <c r="F82" s="71" t="s">
        <v>2312</v>
      </c>
      <c r="G82" s="165" t="s">
        <v>2327</v>
      </c>
      <c r="H82" s="103" t="s">
        <v>2036</v>
      </c>
      <c r="I82" s="71" t="s">
        <v>2083</v>
      </c>
      <c r="J82" s="71" t="s">
        <v>2038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spans="1:28" ht="40.5" customHeight="1">
      <c r="A83" s="41">
        <v>83</v>
      </c>
      <c r="B83" s="92" t="s">
        <v>2254</v>
      </c>
      <c r="C83" s="37" t="s">
        <v>2328</v>
      </c>
      <c r="D83" s="166" t="s">
        <v>2329</v>
      </c>
      <c r="E83" s="41" t="s">
        <v>2330</v>
      </c>
      <c r="F83" s="41" t="s">
        <v>2331</v>
      </c>
      <c r="G83" s="75" t="s">
        <v>2332</v>
      </c>
      <c r="H83" s="37" t="s">
        <v>2036</v>
      </c>
      <c r="I83" s="37" t="s">
        <v>2083</v>
      </c>
      <c r="J83" s="37" t="s">
        <v>2038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28" ht="43.5" customHeight="1">
      <c r="A84" s="41">
        <v>84</v>
      </c>
      <c r="B84" s="92" t="s">
        <v>2254</v>
      </c>
      <c r="C84" s="37" t="s">
        <v>2333</v>
      </c>
      <c r="D84" s="37" t="s">
        <v>2334</v>
      </c>
      <c r="E84" s="41" t="s">
        <v>2330</v>
      </c>
      <c r="F84" s="41" t="s">
        <v>2331</v>
      </c>
      <c r="G84" s="107" t="s">
        <v>2335</v>
      </c>
      <c r="H84" s="37" t="s">
        <v>2036</v>
      </c>
      <c r="I84" s="37" t="s">
        <v>2083</v>
      </c>
      <c r="J84" s="37" t="s">
        <v>2038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spans="1:28" ht="55.5" customHeight="1">
      <c r="A85" s="41">
        <v>85</v>
      </c>
      <c r="B85" s="92" t="s">
        <v>2254</v>
      </c>
      <c r="C85" s="37" t="s">
        <v>2336</v>
      </c>
      <c r="D85" s="37" t="s">
        <v>2337</v>
      </c>
      <c r="E85" s="41" t="s">
        <v>2330</v>
      </c>
      <c r="F85" s="41" t="s">
        <v>2331</v>
      </c>
      <c r="G85" s="107" t="s">
        <v>2338</v>
      </c>
      <c r="H85" s="37" t="s">
        <v>2036</v>
      </c>
      <c r="I85" s="37" t="s">
        <v>2083</v>
      </c>
      <c r="J85" s="37" t="s">
        <v>2038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ht="25.5" customHeight="1">
      <c r="A86" s="75">
        <v>86</v>
      </c>
      <c r="B86" s="102" t="s">
        <v>15</v>
      </c>
      <c r="C86" s="71" t="s">
        <v>2339</v>
      </c>
      <c r="D86" s="71" t="s">
        <v>2340</v>
      </c>
      <c r="E86" s="75" t="s">
        <v>2341</v>
      </c>
      <c r="F86" s="75" t="s">
        <v>2342</v>
      </c>
      <c r="G86" s="75" t="s">
        <v>2343</v>
      </c>
      <c r="H86" s="71" t="s">
        <v>2208</v>
      </c>
      <c r="I86" s="71" t="s">
        <v>2036</v>
      </c>
      <c r="J86" s="71" t="s">
        <v>2038</v>
      </c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 spans="1:28" ht="33" customHeight="1">
      <c r="A87" s="75">
        <v>87</v>
      </c>
      <c r="B87" s="102" t="s">
        <v>15</v>
      </c>
      <c r="C87" s="71" t="s">
        <v>2344</v>
      </c>
      <c r="D87" s="71" t="s">
        <v>2345</v>
      </c>
      <c r="E87" s="75" t="s">
        <v>2346</v>
      </c>
      <c r="F87" s="75" t="s">
        <v>2347</v>
      </c>
      <c r="G87" s="75" t="s">
        <v>2348</v>
      </c>
      <c r="H87" s="71" t="s">
        <v>2208</v>
      </c>
      <c r="I87" s="71" t="s">
        <v>2036</v>
      </c>
      <c r="J87" s="71" t="s">
        <v>2038</v>
      </c>
      <c r="K87" s="75"/>
      <c r="L87" s="75"/>
      <c r="M87" s="75"/>
      <c r="N87" s="75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7.25" customHeight="1">
      <c r="A88" s="41">
        <v>88</v>
      </c>
      <c r="B88" s="92" t="s">
        <v>18</v>
      </c>
      <c r="C88" s="37" t="s">
        <v>2349</v>
      </c>
      <c r="D88" s="37" t="s">
        <v>2350</v>
      </c>
      <c r="E88" s="41" t="s">
        <v>2351</v>
      </c>
      <c r="F88" s="167">
        <v>45660</v>
      </c>
      <c r="G88" s="41" t="s">
        <v>2352</v>
      </c>
      <c r="H88" s="37" t="s">
        <v>2249</v>
      </c>
      <c r="I88" s="37" t="s">
        <v>2249</v>
      </c>
      <c r="J88" s="37" t="s">
        <v>2038</v>
      </c>
      <c r="K88" s="41"/>
      <c r="L88" s="41"/>
      <c r="M88" s="41"/>
      <c r="N88" s="41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</row>
    <row r="89" spans="1:28" ht="42" customHeight="1">
      <c r="A89" s="41">
        <v>89</v>
      </c>
      <c r="B89" s="92" t="s">
        <v>18</v>
      </c>
      <c r="C89" s="104" t="s">
        <v>2353</v>
      </c>
      <c r="D89" s="37" t="s">
        <v>2354</v>
      </c>
      <c r="E89" s="168">
        <v>3200000</v>
      </c>
      <c r="F89" s="167">
        <v>45660</v>
      </c>
      <c r="G89" s="41" t="s">
        <v>2352</v>
      </c>
      <c r="H89" s="37" t="s">
        <v>2249</v>
      </c>
      <c r="I89" s="37" t="s">
        <v>2249</v>
      </c>
      <c r="J89" s="37" t="s">
        <v>2038</v>
      </c>
      <c r="K89" s="41"/>
      <c r="L89" s="41"/>
      <c r="M89" s="41"/>
      <c r="N89" s="41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</row>
    <row r="90" spans="1:28" ht="42" customHeight="1">
      <c r="A90" s="41">
        <v>90</v>
      </c>
      <c r="B90" s="92" t="s">
        <v>162</v>
      </c>
      <c r="C90" s="37" t="s">
        <v>2355</v>
      </c>
      <c r="D90" s="169" t="s">
        <v>2356</v>
      </c>
      <c r="E90" s="41">
        <v>3495000</v>
      </c>
      <c r="F90" s="167">
        <v>45660</v>
      </c>
      <c r="G90" s="41" t="s">
        <v>2352</v>
      </c>
      <c r="H90" s="37" t="s">
        <v>2249</v>
      </c>
      <c r="I90" s="37" t="s">
        <v>2249</v>
      </c>
      <c r="J90" s="37" t="s">
        <v>2038</v>
      </c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</row>
    <row r="91" spans="1:28" ht="32.25" customHeight="1">
      <c r="A91" s="41">
        <v>91</v>
      </c>
      <c r="B91" s="92" t="s">
        <v>162</v>
      </c>
      <c r="C91" s="37" t="s">
        <v>2357</v>
      </c>
      <c r="D91" s="37" t="s">
        <v>2358</v>
      </c>
      <c r="E91" s="41">
        <v>2664000</v>
      </c>
      <c r="F91" s="167">
        <v>45660</v>
      </c>
      <c r="G91" s="41" t="s">
        <v>2352</v>
      </c>
      <c r="H91" s="37" t="s">
        <v>2249</v>
      </c>
      <c r="I91" s="37" t="s">
        <v>2249</v>
      </c>
      <c r="J91" s="37" t="s">
        <v>2038</v>
      </c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</row>
    <row r="92" spans="1:28" ht="15.75" customHeight="1">
      <c r="A92" s="41">
        <v>92</v>
      </c>
      <c r="B92" s="92" t="s">
        <v>162</v>
      </c>
      <c r="C92" s="37" t="s">
        <v>2359</v>
      </c>
      <c r="D92" s="170" t="s">
        <v>2325</v>
      </c>
      <c r="E92" s="41">
        <v>2776000</v>
      </c>
      <c r="F92" s="167">
        <v>45660</v>
      </c>
      <c r="G92" s="41" t="s">
        <v>2352</v>
      </c>
      <c r="H92" s="37" t="s">
        <v>2249</v>
      </c>
      <c r="I92" s="37" t="s">
        <v>2249</v>
      </c>
      <c r="J92" s="37" t="s">
        <v>2038</v>
      </c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</row>
    <row r="93" spans="1:28" ht="27.75" customHeight="1">
      <c r="A93" s="41">
        <v>93</v>
      </c>
      <c r="B93" s="92" t="s">
        <v>162</v>
      </c>
      <c r="C93" s="37" t="s">
        <v>2360</v>
      </c>
      <c r="D93" s="171" t="s">
        <v>2361</v>
      </c>
      <c r="E93" s="41">
        <v>299000</v>
      </c>
      <c r="F93" s="167">
        <v>45660</v>
      </c>
      <c r="G93" s="41" t="s">
        <v>2352</v>
      </c>
      <c r="H93" s="37" t="s">
        <v>2249</v>
      </c>
      <c r="I93" s="37" t="s">
        <v>2249</v>
      </c>
      <c r="J93" s="37" t="s">
        <v>2038</v>
      </c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</row>
    <row r="94" spans="1:28" ht="15.75" customHeight="1">
      <c r="A94" s="41">
        <v>94</v>
      </c>
      <c r="B94" s="92" t="s">
        <v>20</v>
      </c>
      <c r="C94" s="37" t="s">
        <v>2362</v>
      </c>
      <c r="D94" s="71" t="s">
        <v>2363</v>
      </c>
      <c r="E94" s="41" t="s">
        <v>2364</v>
      </c>
      <c r="F94" s="167">
        <v>45933</v>
      </c>
      <c r="G94" s="172">
        <v>343</v>
      </c>
      <c r="H94" s="37" t="s">
        <v>2365</v>
      </c>
      <c r="I94" s="37" t="s">
        <v>2365</v>
      </c>
      <c r="J94" s="37" t="s">
        <v>2038</v>
      </c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</row>
    <row r="95" spans="1:28" ht="15.75" customHeight="1">
      <c r="A95" s="41">
        <v>95</v>
      </c>
      <c r="B95" s="92" t="s">
        <v>2254</v>
      </c>
      <c r="C95" s="173" t="s">
        <v>2366</v>
      </c>
      <c r="D95" s="37" t="s">
        <v>2367</v>
      </c>
      <c r="E95" s="41">
        <v>2700000</v>
      </c>
      <c r="F95" s="167">
        <v>45780</v>
      </c>
      <c r="G95" s="41" t="s">
        <v>2352</v>
      </c>
      <c r="H95" s="37" t="s">
        <v>2261</v>
      </c>
      <c r="I95" s="37" t="s">
        <v>2261</v>
      </c>
      <c r="J95" s="37" t="s">
        <v>2038</v>
      </c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</row>
    <row r="96" spans="1:28" ht="15.75" customHeight="1">
      <c r="A96" s="41"/>
      <c r="B96" s="92"/>
      <c r="C96" s="37"/>
      <c r="D96" s="37"/>
      <c r="E96" s="41"/>
      <c r="F96" s="41"/>
      <c r="G96" s="41"/>
      <c r="H96" s="37"/>
      <c r="I96" s="37"/>
      <c r="J96" s="37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</row>
    <row r="97" spans="1:28" ht="15.75" customHeight="1">
      <c r="A97" s="75">
        <v>97</v>
      </c>
      <c r="B97" s="102" t="s">
        <v>15</v>
      </c>
      <c r="C97" s="71" t="s">
        <v>1530</v>
      </c>
      <c r="D97" s="71" t="s">
        <v>2368</v>
      </c>
      <c r="E97" s="75" t="s">
        <v>2369</v>
      </c>
      <c r="F97" s="75" t="s">
        <v>2370</v>
      </c>
      <c r="G97" s="75" t="s">
        <v>2371</v>
      </c>
      <c r="H97" s="71" t="s">
        <v>2372</v>
      </c>
      <c r="I97" s="71" t="s">
        <v>2372</v>
      </c>
      <c r="J97" s="75" t="s">
        <v>2038</v>
      </c>
      <c r="K97" s="75"/>
      <c r="L97" s="75"/>
      <c r="M97" s="75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5.75" customHeight="1">
      <c r="A98" s="75">
        <v>98</v>
      </c>
      <c r="B98" s="102" t="s">
        <v>15</v>
      </c>
      <c r="C98" s="71" t="s">
        <v>444</v>
      </c>
      <c r="D98" s="71" t="s">
        <v>2373</v>
      </c>
      <c r="E98" s="174" t="s">
        <v>2374</v>
      </c>
      <c r="F98" s="175">
        <v>45660</v>
      </c>
      <c r="G98" s="75" t="s">
        <v>2371</v>
      </c>
      <c r="H98" s="71" t="s">
        <v>2372</v>
      </c>
      <c r="I98" s="71" t="s">
        <v>2372</v>
      </c>
      <c r="J98" s="75" t="s">
        <v>2038</v>
      </c>
      <c r="K98" s="75"/>
      <c r="L98" s="75"/>
      <c r="M98" s="75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36" customHeight="1">
      <c r="A99" s="75">
        <v>99</v>
      </c>
      <c r="B99" s="102" t="s">
        <v>15</v>
      </c>
      <c r="C99" s="71" t="s">
        <v>2375</v>
      </c>
      <c r="D99" s="71" t="s">
        <v>2376</v>
      </c>
      <c r="E99" s="75" t="s">
        <v>2377</v>
      </c>
      <c r="F99" s="75" t="s">
        <v>2378</v>
      </c>
      <c r="G99" s="75" t="s">
        <v>2371</v>
      </c>
      <c r="H99" s="71" t="s">
        <v>2372</v>
      </c>
      <c r="I99" s="71" t="s">
        <v>2372</v>
      </c>
      <c r="J99" s="75" t="s">
        <v>2038</v>
      </c>
      <c r="K99" s="75"/>
      <c r="L99" s="75"/>
      <c r="M99" s="75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5.75" customHeight="1">
      <c r="A100" s="75">
        <v>100</v>
      </c>
      <c r="B100" s="102" t="s">
        <v>15</v>
      </c>
      <c r="C100" s="71" t="s">
        <v>2379</v>
      </c>
      <c r="D100" s="107" t="s">
        <v>2380</v>
      </c>
      <c r="E100" s="75" t="s">
        <v>2381</v>
      </c>
      <c r="F100" s="75" t="s">
        <v>2382</v>
      </c>
      <c r="G100" s="75" t="s">
        <v>2371</v>
      </c>
      <c r="H100" s="71" t="s">
        <v>2372</v>
      </c>
      <c r="I100" s="71" t="s">
        <v>2372</v>
      </c>
      <c r="J100" s="75" t="s">
        <v>2038</v>
      </c>
      <c r="K100" s="75"/>
      <c r="L100" s="75"/>
      <c r="M100" s="75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5.75" customHeight="1">
      <c r="A101" s="75">
        <v>101</v>
      </c>
      <c r="B101" s="102" t="s">
        <v>15</v>
      </c>
      <c r="C101" s="75" t="s">
        <v>2383</v>
      </c>
      <c r="D101" s="176" t="s">
        <v>2384</v>
      </c>
      <c r="E101" s="75" t="s">
        <v>2385</v>
      </c>
      <c r="F101" s="75" t="s">
        <v>2370</v>
      </c>
      <c r="G101" s="75" t="s">
        <v>2371</v>
      </c>
      <c r="H101" s="71" t="s">
        <v>2372</v>
      </c>
      <c r="I101" s="71" t="s">
        <v>2372</v>
      </c>
      <c r="J101" s="75" t="s">
        <v>2038</v>
      </c>
      <c r="K101" s="75"/>
      <c r="L101" s="75"/>
      <c r="M101" s="75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5.75" customHeight="1">
      <c r="A102" s="41">
        <v>102</v>
      </c>
      <c r="B102" s="102" t="s">
        <v>15</v>
      </c>
      <c r="C102" s="71" t="s">
        <v>2386</v>
      </c>
      <c r="D102" s="177" t="s">
        <v>2387</v>
      </c>
      <c r="E102" s="159" t="s">
        <v>2388</v>
      </c>
      <c r="F102" s="75" t="s">
        <v>2382</v>
      </c>
      <c r="G102" s="75" t="s">
        <v>2371</v>
      </c>
      <c r="H102" s="71" t="s">
        <v>2372</v>
      </c>
      <c r="I102" s="71" t="s">
        <v>2372</v>
      </c>
      <c r="J102" s="75" t="s">
        <v>2038</v>
      </c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</row>
    <row r="103" spans="1:28" ht="30.75" customHeight="1">
      <c r="A103" s="21">
        <v>103</v>
      </c>
      <c r="B103" s="178" t="s">
        <v>1289</v>
      </c>
      <c r="C103" s="179" t="s">
        <v>2389</v>
      </c>
      <c r="D103" s="180" t="s">
        <v>2390</v>
      </c>
      <c r="E103" s="180" t="s">
        <v>2391</v>
      </c>
      <c r="F103" s="181">
        <v>45687</v>
      </c>
      <c r="G103" s="182" t="s">
        <v>2371</v>
      </c>
      <c r="H103" s="183" t="s">
        <v>2249</v>
      </c>
      <c r="I103" s="183" t="s">
        <v>2249</v>
      </c>
      <c r="J103" s="183" t="s">
        <v>2038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152"/>
    </row>
    <row r="104" spans="1:28" ht="46.5" customHeight="1">
      <c r="A104" s="75">
        <v>104</v>
      </c>
      <c r="B104" s="102" t="s">
        <v>24</v>
      </c>
      <c r="C104" s="176" t="s">
        <v>2320</v>
      </c>
      <c r="D104" s="40" t="s">
        <v>2392</v>
      </c>
      <c r="E104" s="21" t="s">
        <v>2393</v>
      </c>
      <c r="F104" s="184" t="s">
        <v>2394</v>
      </c>
      <c r="G104" s="75" t="s">
        <v>100</v>
      </c>
      <c r="H104" s="176" t="s">
        <v>2249</v>
      </c>
      <c r="I104" s="71" t="s">
        <v>2395</v>
      </c>
      <c r="J104" s="75" t="s">
        <v>2038</v>
      </c>
      <c r="K104" s="75"/>
      <c r="L104" s="75"/>
      <c r="M104" s="75"/>
      <c r="N104" s="75"/>
      <c r="O104" s="75"/>
      <c r="P104" s="75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152"/>
    </row>
    <row r="105" spans="1:28" ht="27" customHeight="1">
      <c r="A105" s="41">
        <v>105</v>
      </c>
      <c r="B105" s="71" t="s">
        <v>17</v>
      </c>
      <c r="C105" s="71" t="s">
        <v>503</v>
      </c>
      <c r="D105" s="71" t="s">
        <v>2396</v>
      </c>
      <c r="E105" s="71">
        <v>7829726.7999999998</v>
      </c>
      <c r="F105" s="71" t="s">
        <v>2397</v>
      </c>
      <c r="G105" s="71" t="s">
        <v>2398</v>
      </c>
      <c r="H105" s="71" t="s">
        <v>2204</v>
      </c>
      <c r="I105" s="71" t="s">
        <v>2194</v>
      </c>
      <c r="J105" s="71" t="s">
        <v>2038</v>
      </c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</row>
    <row r="106" spans="1:28" ht="29.25" customHeight="1">
      <c r="A106" s="21">
        <v>106</v>
      </c>
      <c r="B106" s="92" t="s">
        <v>17</v>
      </c>
      <c r="C106" s="37" t="s">
        <v>2399</v>
      </c>
      <c r="D106" s="37" t="s">
        <v>2400</v>
      </c>
      <c r="E106" s="71">
        <v>4052070</v>
      </c>
      <c r="F106" s="71" t="s">
        <v>2401</v>
      </c>
      <c r="G106" s="185" t="s">
        <v>2402</v>
      </c>
      <c r="H106" s="71" t="s">
        <v>2204</v>
      </c>
      <c r="I106" s="71" t="s">
        <v>2194</v>
      </c>
      <c r="J106" s="71" t="s">
        <v>2038</v>
      </c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</row>
    <row r="107" spans="1:28" ht="39" customHeight="1">
      <c r="A107" s="41">
        <v>107</v>
      </c>
      <c r="B107" s="103" t="s">
        <v>16</v>
      </c>
      <c r="C107" s="103" t="s">
        <v>2292</v>
      </c>
      <c r="D107" s="91" t="s">
        <v>2403</v>
      </c>
      <c r="E107" s="168" t="s">
        <v>2404</v>
      </c>
      <c r="F107" s="104" t="s">
        <v>2405</v>
      </c>
      <c r="G107" s="186" t="s">
        <v>2406</v>
      </c>
      <c r="H107" s="103" t="s">
        <v>2407</v>
      </c>
      <c r="I107" s="71" t="s">
        <v>2194</v>
      </c>
      <c r="J107" s="71" t="s">
        <v>2038</v>
      </c>
      <c r="K107" s="21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</row>
    <row r="108" spans="1:28" ht="37.5" customHeight="1">
      <c r="A108" s="21">
        <v>108</v>
      </c>
      <c r="B108" s="103" t="s">
        <v>16</v>
      </c>
      <c r="C108" s="103" t="s">
        <v>2408</v>
      </c>
      <c r="D108" s="164" t="s">
        <v>2409</v>
      </c>
      <c r="E108" s="103" t="s">
        <v>2410</v>
      </c>
      <c r="F108" s="110">
        <v>45720</v>
      </c>
      <c r="G108" s="186" t="s">
        <v>2411</v>
      </c>
      <c r="H108" s="103" t="s">
        <v>2407</v>
      </c>
      <c r="I108" s="71" t="s">
        <v>2194</v>
      </c>
      <c r="J108" s="71" t="s">
        <v>2038</v>
      </c>
      <c r="K108" s="21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</row>
    <row r="109" spans="1:28" ht="33.75" customHeight="1">
      <c r="A109" s="41">
        <v>109</v>
      </c>
      <c r="B109" s="103" t="s">
        <v>16</v>
      </c>
      <c r="C109" s="103" t="s">
        <v>2412</v>
      </c>
      <c r="D109" s="107" t="s">
        <v>2413</v>
      </c>
      <c r="E109" s="168" t="s">
        <v>2414</v>
      </c>
      <c r="F109" s="187">
        <v>45751</v>
      </c>
      <c r="G109" s="103" t="s">
        <v>2415</v>
      </c>
      <c r="H109" s="103" t="s">
        <v>2407</v>
      </c>
      <c r="I109" s="71" t="s">
        <v>2194</v>
      </c>
      <c r="J109" s="71" t="s">
        <v>2038</v>
      </c>
      <c r="K109" s="21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</row>
    <row r="110" spans="1:28" ht="31.5" customHeight="1">
      <c r="A110" s="21">
        <v>110</v>
      </c>
      <c r="B110" s="103" t="s">
        <v>16</v>
      </c>
      <c r="C110" s="103" t="s">
        <v>2416</v>
      </c>
      <c r="D110" s="103" t="s">
        <v>2417</v>
      </c>
      <c r="E110" s="103" t="s">
        <v>2418</v>
      </c>
      <c r="F110" s="103" t="s">
        <v>2419</v>
      </c>
      <c r="G110" s="103" t="s">
        <v>2420</v>
      </c>
      <c r="H110" s="103" t="s">
        <v>2208</v>
      </c>
      <c r="I110" s="71" t="s">
        <v>2194</v>
      </c>
      <c r="J110" s="71" t="s">
        <v>2038</v>
      </c>
      <c r="K110" s="21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</row>
    <row r="111" spans="1:28" ht="30" customHeight="1">
      <c r="A111" s="41">
        <v>111</v>
      </c>
      <c r="B111" s="103" t="s">
        <v>16</v>
      </c>
      <c r="C111" s="103" t="s">
        <v>2412</v>
      </c>
      <c r="D111" s="188" t="s">
        <v>2421</v>
      </c>
      <c r="E111" s="130" t="s">
        <v>2422</v>
      </c>
      <c r="F111" s="103" t="s">
        <v>2423</v>
      </c>
      <c r="G111" s="189">
        <v>9282619400928</v>
      </c>
      <c r="H111" s="190" t="s">
        <v>2424</v>
      </c>
      <c r="I111" s="91" t="s">
        <v>2425</v>
      </c>
      <c r="J111" s="71" t="s">
        <v>2038</v>
      </c>
      <c r="K111" s="21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</row>
    <row r="112" spans="1:28" ht="27" customHeight="1">
      <c r="A112" s="21">
        <v>112</v>
      </c>
      <c r="B112" s="103" t="s">
        <v>16</v>
      </c>
      <c r="C112" s="103" t="s">
        <v>2426</v>
      </c>
      <c r="D112" s="108" t="s">
        <v>2427</v>
      </c>
      <c r="E112" s="130" t="s">
        <v>2428</v>
      </c>
      <c r="F112" s="103" t="s">
        <v>2429</v>
      </c>
      <c r="G112" s="189">
        <v>75132610807513</v>
      </c>
      <c r="H112" s="190" t="s">
        <v>2424</v>
      </c>
      <c r="I112" s="91" t="s">
        <v>2425</v>
      </c>
      <c r="J112" s="71" t="s">
        <v>2038</v>
      </c>
      <c r="K112" s="21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</row>
    <row r="113" spans="1:28" ht="30" customHeight="1">
      <c r="A113" s="41">
        <v>113</v>
      </c>
      <c r="B113" s="103" t="s">
        <v>21</v>
      </c>
      <c r="C113" s="103" t="s">
        <v>2138</v>
      </c>
      <c r="D113" s="108" t="s">
        <v>2430</v>
      </c>
      <c r="E113" s="75">
        <v>1100000</v>
      </c>
      <c r="F113" s="75" t="s">
        <v>2431</v>
      </c>
      <c r="G113" s="103">
        <v>44332610664433</v>
      </c>
      <c r="H113" s="108" t="s">
        <v>2432</v>
      </c>
      <c r="I113" s="71" t="s">
        <v>2425</v>
      </c>
      <c r="J113" s="71" t="s">
        <v>2038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pans="1:28" ht="34.5" customHeight="1">
      <c r="A114" s="41">
        <v>114</v>
      </c>
      <c r="B114" s="103" t="s">
        <v>17</v>
      </c>
      <c r="C114" s="37" t="s">
        <v>1493</v>
      </c>
      <c r="D114" s="71" t="s">
        <v>2433</v>
      </c>
      <c r="E114" s="41">
        <v>3389507</v>
      </c>
      <c r="F114" s="41" t="s">
        <v>2434</v>
      </c>
      <c r="G114" s="41" t="s">
        <v>2435</v>
      </c>
      <c r="H114" s="71" t="s">
        <v>2204</v>
      </c>
      <c r="I114" s="71" t="s">
        <v>2194</v>
      </c>
      <c r="J114" s="37" t="s">
        <v>2038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pans="1:28" ht="26.25" customHeight="1">
      <c r="A115" s="75">
        <v>115</v>
      </c>
      <c r="B115" s="75" t="s">
        <v>15</v>
      </c>
      <c r="C115" s="71" t="s">
        <v>2436</v>
      </c>
      <c r="D115" s="91" t="s">
        <v>2437</v>
      </c>
      <c r="E115" s="75" t="s">
        <v>2438</v>
      </c>
      <c r="F115" s="75" t="s">
        <v>2439</v>
      </c>
      <c r="G115" s="75" t="s">
        <v>2440</v>
      </c>
      <c r="H115" s="191" t="s">
        <v>2441</v>
      </c>
      <c r="I115" s="71" t="s">
        <v>2036</v>
      </c>
      <c r="J115" s="104" t="s">
        <v>2038</v>
      </c>
      <c r="K115" s="75"/>
      <c r="L115" s="75"/>
      <c r="M115" s="75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33.75" customHeight="1">
      <c r="A116" s="41">
        <v>116</v>
      </c>
      <c r="B116" s="103" t="s">
        <v>17</v>
      </c>
      <c r="C116" s="37" t="s">
        <v>1493</v>
      </c>
      <c r="D116" s="192" t="s">
        <v>2442</v>
      </c>
      <c r="E116" s="193" t="s">
        <v>2443</v>
      </c>
      <c r="F116" s="75" t="s">
        <v>2444</v>
      </c>
      <c r="G116" s="41" t="s">
        <v>2445</v>
      </c>
      <c r="H116" s="103" t="s">
        <v>2261</v>
      </c>
      <c r="I116" s="71" t="s">
        <v>2194</v>
      </c>
      <c r="J116" s="104" t="s">
        <v>2038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pans="1:28" ht="15.75" customHeight="1">
      <c r="A117" s="126">
        <v>117</v>
      </c>
      <c r="B117" s="112" t="s">
        <v>17</v>
      </c>
      <c r="C117" s="112" t="s">
        <v>2446</v>
      </c>
      <c r="D117" s="112" t="s">
        <v>2447</v>
      </c>
      <c r="E117" s="112" t="s">
        <v>2448</v>
      </c>
      <c r="F117" s="112" t="s">
        <v>2449</v>
      </c>
      <c r="G117" s="112" t="s">
        <v>2450</v>
      </c>
      <c r="H117" s="112" t="s">
        <v>2158</v>
      </c>
      <c r="I117" s="112" t="s">
        <v>2159</v>
      </c>
      <c r="J117" s="112" t="s">
        <v>2451</v>
      </c>
      <c r="K117" s="112" t="s">
        <v>2452</v>
      </c>
      <c r="L117" s="144"/>
      <c r="M117" s="144"/>
      <c r="N117" s="194" t="s">
        <v>2453</v>
      </c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</row>
    <row r="118" spans="1:28" ht="24" customHeight="1">
      <c r="A118" s="41">
        <v>118</v>
      </c>
      <c r="B118" s="103" t="s">
        <v>17</v>
      </c>
      <c r="C118" s="71" t="s">
        <v>2446</v>
      </c>
      <c r="D118" s="71" t="s">
        <v>2454</v>
      </c>
      <c r="E118" s="71" t="s">
        <v>2455</v>
      </c>
      <c r="F118" s="71" t="s">
        <v>2456</v>
      </c>
      <c r="G118" s="71" t="s">
        <v>2457</v>
      </c>
      <c r="H118" s="71" t="s">
        <v>2458</v>
      </c>
      <c r="I118" s="71" t="s">
        <v>2083</v>
      </c>
      <c r="J118" s="71" t="s">
        <v>2459</v>
      </c>
      <c r="K118" s="75"/>
      <c r="L118" s="75"/>
      <c r="M118" s="195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pans="1:28" ht="28.5" customHeight="1">
      <c r="A119" s="21">
        <v>119</v>
      </c>
      <c r="B119" s="75" t="s">
        <v>17</v>
      </c>
      <c r="C119" s="103" t="s">
        <v>2460</v>
      </c>
      <c r="D119" s="108" t="s">
        <v>2461</v>
      </c>
      <c r="E119" s="75" t="s">
        <v>2462</v>
      </c>
      <c r="F119" s="75" t="s">
        <v>2463</v>
      </c>
      <c r="G119" s="103" t="s">
        <v>2464</v>
      </c>
      <c r="H119" s="108" t="s">
        <v>2465</v>
      </c>
      <c r="I119" s="71" t="s">
        <v>2083</v>
      </c>
      <c r="J119" s="71" t="s">
        <v>2459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pans="1:28" ht="27.75" customHeight="1">
      <c r="A120" s="41">
        <v>120</v>
      </c>
      <c r="B120" s="103" t="s">
        <v>17</v>
      </c>
      <c r="C120" s="37" t="s">
        <v>2446</v>
      </c>
      <c r="D120" s="71" t="s">
        <v>2466</v>
      </c>
      <c r="E120" s="41" t="s">
        <v>2467</v>
      </c>
      <c r="F120" s="41" t="s">
        <v>2463</v>
      </c>
      <c r="G120" s="41" t="s">
        <v>2468</v>
      </c>
      <c r="H120" s="71" t="s">
        <v>2469</v>
      </c>
      <c r="I120" s="71" t="s">
        <v>2083</v>
      </c>
      <c r="J120" s="37" t="s">
        <v>2459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pans="1:28" ht="15.75" customHeight="1">
      <c r="A121" s="41">
        <v>121</v>
      </c>
      <c r="B121" s="92" t="s">
        <v>23</v>
      </c>
      <c r="C121" s="37" t="s">
        <v>2470</v>
      </c>
      <c r="D121" s="22" t="s">
        <v>2471</v>
      </c>
      <c r="E121" s="41" t="s">
        <v>2472</v>
      </c>
      <c r="F121" s="41" t="s">
        <v>2473</v>
      </c>
      <c r="G121" s="58" t="s">
        <v>2474</v>
      </c>
      <c r="H121" s="37" t="s">
        <v>2475</v>
      </c>
      <c r="I121" s="37" t="s">
        <v>2194</v>
      </c>
      <c r="J121" s="51" t="s">
        <v>2476</v>
      </c>
      <c r="K121" s="41" t="s">
        <v>2472</v>
      </c>
      <c r="L121" s="41"/>
      <c r="M121" s="41" t="s">
        <v>2477</v>
      </c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spans="1:28" ht="30" customHeight="1">
      <c r="A122" s="41">
        <v>122</v>
      </c>
      <c r="B122" s="196" t="s">
        <v>21</v>
      </c>
      <c r="C122" s="28" t="s">
        <v>898</v>
      </c>
      <c r="D122" s="197" t="s">
        <v>2478</v>
      </c>
      <c r="E122" s="41">
        <v>1100000</v>
      </c>
      <c r="F122" s="198">
        <v>45842</v>
      </c>
      <c r="G122" s="196">
        <v>59272614055927</v>
      </c>
      <c r="H122" s="199" t="s">
        <v>2432</v>
      </c>
      <c r="I122" s="37" t="s">
        <v>2425</v>
      </c>
      <c r="J122" s="37" t="s">
        <v>2459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pans="1:28" ht="15.75" customHeight="1">
      <c r="A123" s="41">
        <v>123</v>
      </c>
      <c r="B123" s="92" t="s">
        <v>20</v>
      </c>
      <c r="C123" s="27" t="s">
        <v>1372</v>
      </c>
      <c r="D123" s="43" t="s">
        <v>2479</v>
      </c>
      <c r="E123" s="200" t="s">
        <v>2480</v>
      </c>
      <c r="F123" s="77" t="s">
        <v>2481</v>
      </c>
      <c r="G123" s="77" t="s">
        <v>2482</v>
      </c>
      <c r="H123" s="37" t="s">
        <v>2483</v>
      </c>
      <c r="I123" s="37" t="s">
        <v>2425</v>
      </c>
      <c r="J123" s="37" t="s">
        <v>2459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pans="1:28" ht="15.75" customHeight="1">
      <c r="A124" s="41">
        <v>124</v>
      </c>
      <c r="B124" s="92" t="s">
        <v>20</v>
      </c>
      <c r="C124" s="27" t="s">
        <v>1372</v>
      </c>
      <c r="D124" s="43" t="s">
        <v>2484</v>
      </c>
      <c r="E124" s="200" t="s">
        <v>2485</v>
      </c>
      <c r="F124" s="77" t="s">
        <v>2486</v>
      </c>
      <c r="G124" s="77">
        <v>384</v>
      </c>
      <c r="H124" s="37" t="s">
        <v>2487</v>
      </c>
      <c r="I124" s="37"/>
      <c r="J124" s="37" t="s">
        <v>2459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pans="1:28" ht="15.75" customHeight="1">
      <c r="A125" s="41">
        <v>125</v>
      </c>
      <c r="B125" s="92" t="s">
        <v>18</v>
      </c>
      <c r="C125" s="37" t="s">
        <v>154</v>
      </c>
      <c r="D125" s="27" t="s">
        <v>2488</v>
      </c>
      <c r="E125" s="77" t="s">
        <v>2489</v>
      </c>
      <c r="F125" s="77" t="s">
        <v>2490</v>
      </c>
      <c r="G125" s="77" t="s">
        <v>2352</v>
      </c>
      <c r="H125" s="36" t="s">
        <v>2180</v>
      </c>
      <c r="I125" s="43" t="s">
        <v>2180</v>
      </c>
      <c r="J125" s="37" t="s">
        <v>2459</v>
      </c>
      <c r="K125" s="27"/>
      <c r="L125" s="27"/>
      <c r="M125" s="27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pans="1:28" ht="15.75" customHeight="1">
      <c r="A126" s="41">
        <v>126</v>
      </c>
      <c r="B126" s="92" t="s">
        <v>18</v>
      </c>
      <c r="C126" s="37" t="s">
        <v>154</v>
      </c>
      <c r="D126" s="37" t="s">
        <v>2491</v>
      </c>
      <c r="E126" s="41" t="s">
        <v>2492</v>
      </c>
      <c r="F126" s="41" t="s">
        <v>2493</v>
      </c>
      <c r="G126" s="41" t="s">
        <v>2494</v>
      </c>
      <c r="H126" s="37" t="s">
        <v>2495</v>
      </c>
      <c r="I126" s="37" t="s">
        <v>2036</v>
      </c>
      <c r="J126" s="37" t="s">
        <v>2459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pans="1:28" ht="34.5" customHeight="1">
      <c r="A127" s="41">
        <v>127</v>
      </c>
      <c r="B127" s="92" t="s">
        <v>17</v>
      </c>
      <c r="C127" s="37" t="s">
        <v>2496</v>
      </c>
      <c r="D127" s="37" t="s">
        <v>2497</v>
      </c>
      <c r="E127" s="41" t="s">
        <v>2498</v>
      </c>
      <c r="F127" s="41" t="s">
        <v>1723</v>
      </c>
      <c r="G127" s="41" t="s">
        <v>100</v>
      </c>
      <c r="H127" s="37" t="s">
        <v>2499</v>
      </c>
      <c r="I127" s="37"/>
      <c r="J127" s="37" t="s">
        <v>2459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1:28" ht="44.25" customHeight="1">
      <c r="A128" s="41">
        <v>128</v>
      </c>
      <c r="B128" s="92" t="s">
        <v>17</v>
      </c>
      <c r="C128" s="43" t="s">
        <v>2500</v>
      </c>
      <c r="D128" s="37" t="s">
        <v>2501</v>
      </c>
      <c r="E128" s="41" t="s">
        <v>2502</v>
      </c>
      <c r="F128" s="41" t="s">
        <v>1943</v>
      </c>
      <c r="G128" s="77" t="s">
        <v>100</v>
      </c>
      <c r="H128" s="25" t="s">
        <v>2503</v>
      </c>
      <c r="I128" s="27" t="s">
        <v>2499</v>
      </c>
      <c r="J128" s="37" t="s">
        <v>2459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pans="1:28" ht="42" customHeight="1">
      <c r="A129" s="41">
        <v>129</v>
      </c>
      <c r="B129" s="201" t="s">
        <v>16</v>
      </c>
      <c r="C129" s="28" t="s">
        <v>2504</v>
      </c>
      <c r="D129" s="28" t="s">
        <v>2505</v>
      </c>
      <c r="E129" s="196" t="s">
        <v>2506</v>
      </c>
      <c r="F129" s="196" t="s">
        <v>2507</v>
      </c>
      <c r="G129" s="196" t="s">
        <v>2508</v>
      </c>
      <c r="H129" s="36" t="s">
        <v>2509</v>
      </c>
      <c r="I129" s="43" t="s">
        <v>2510</v>
      </c>
      <c r="J129" s="37" t="s">
        <v>2459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spans="1:28" ht="30.75" customHeight="1">
      <c r="A130" s="41">
        <v>130</v>
      </c>
      <c r="B130" s="92" t="s">
        <v>17</v>
      </c>
      <c r="C130" s="37" t="s">
        <v>392</v>
      </c>
      <c r="D130" s="37" t="s">
        <v>2511</v>
      </c>
      <c r="E130" s="41">
        <v>1020000</v>
      </c>
      <c r="F130" s="41" t="s">
        <v>2512</v>
      </c>
      <c r="G130" s="41" t="s">
        <v>2513</v>
      </c>
      <c r="H130" s="37" t="s">
        <v>2036</v>
      </c>
      <c r="I130" s="37" t="s">
        <v>2510</v>
      </c>
      <c r="J130" s="37" t="s">
        <v>2038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spans="1:28" ht="23.25" customHeight="1">
      <c r="A131" s="41">
        <v>131</v>
      </c>
      <c r="B131" s="92" t="s">
        <v>17</v>
      </c>
      <c r="C131" s="37" t="s">
        <v>392</v>
      </c>
      <c r="D131" s="37" t="s">
        <v>2514</v>
      </c>
      <c r="E131" s="159">
        <v>190000</v>
      </c>
      <c r="F131" s="41" t="s">
        <v>1723</v>
      </c>
      <c r="G131" s="41"/>
      <c r="H131" s="37" t="s">
        <v>2499</v>
      </c>
      <c r="I131" s="37"/>
      <c r="J131" s="37" t="s">
        <v>2038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1:28" ht="42" customHeight="1">
      <c r="A132" s="41">
        <v>132</v>
      </c>
      <c r="B132" s="92" t="s">
        <v>24</v>
      </c>
      <c r="C132" s="43" t="s">
        <v>2515</v>
      </c>
      <c r="D132" s="202" t="s">
        <v>2501</v>
      </c>
      <c r="E132" s="23">
        <v>3500000</v>
      </c>
      <c r="F132" s="203">
        <v>45967</v>
      </c>
      <c r="G132" s="77" t="s">
        <v>100</v>
      </c>
      <c r="H132" s="25" t="s">
        <v>2503</v>
      </c>
      <c r="I132" s="27" t="s">
        <v>2499</v>
      </c>
      <c r="J132" s="27" t="s">
        <v>2038</v>
      </c>
      <c r="K132" s="27"/>
      <c r="L132" s="27"/>
      <c r="M132" s="27"/>
      <c r="N132" s="204"/>
      <c r="O132" s="27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spans="1:28" ht="40.5" customHeight="1">
      <c r="A133" s="41">
        <v>133</v>
      </c>
      <c r="B133" s="92" t="s">
        <v>17</v>
      </c>
      <c r="C133" s="37" t="s">
        <v>671</v>
      </c>
      <c r="D133" s="202" t="s">
        <v>2516</v>
      </c>
      <c r="E133" s="41" t="s">
        <v>2517</v>
      </c>
      <c r="F133" s="205">
        <v>45997</v>
      </c>
      <c r="G133" s="77" t="s">
        <v>100</v>
      </c>
      <c r="H133" s="37" t="s">
        <v>2499</v>
      </c>
      <c r="I133" s="27" t="s">
        <v>2499</v>
      </c>
      <c r="J133" s="27" t="s">
        <v>2038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spans="1:28" ht="43.5" customHeight="1">
      <c r="A134" s="41">
        <v>134</v>
      </c>
      <c r="B134" s="92" t="s">
        <v>17</v>
      </c>
      <c r="C134" s="37" t="s">
        <v>671</v>
      </c>
      <c r="D134" s="202" t="s">
        <v>2518</v>
      </c>
      <c r="E134" s="41" t="s">
        <v>2519</v>
      </c>
      <c r="F134" s="82" t="s">
        <v>1725</v>
      </c>
      <c r="G134" s="77" t="s">
        <v>100</v>
      </c>
      <c r="H134" s="37" t="s">
        <v>2499</v>
      </c>
      <c r="I134" s="27" t="s">
        <v>2499</v>
      </c>
      <c r="J134" s="27" t="s">
        <v>2038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spans="1:28" ht="15.75" customHeight="1">
      <c r="A135" s="41">
        <v>135</v>
      </c>
      <c r="B135" s="206" t="s">
        <v>17</v>
      </c>
      <c r="C135" s="51" t="s">
        <v>951</v>
      </c>
      <c r="D135" s="207" t="s">
        <v>2520</v>
      </c>
      <c r="E135" s="208" t="s">
        <v>2521</v>
      </c>
      <c r="F135" s="209">
        <v>45997</v>
      </c>
      <c r="G135" s="210" t="s">
        <v>100</v>
      </c>
      <c r="H135" s="37" t="s">
        <v>2499</v>
      </c>
      <c r="I135" s="27" t="s">
        <v>2499</v>
      </c>
      <c r="J135" s="27" t="s">
        <v>2038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ht="15.75" customHeight="1">
      <c r="A136" s="41">
        <v>136</v>
      </c>
      <c r="B136" s="206" t="s">
        <v>17</v>
      </c>
      <c r="C136" s="51" t="s">
        <v>951</v>
      </c>
      <c r="D136" s="207" t="s">
        <v>2522</v>
      </c>
      <c r="E136" s="208" t="s">
        <v>2523</v>
      </c>
      <c r="F136" s="209">
        <v>45997</v>
      </c>
      <c r="G136" s="210" t="s">
        <v>100</v>
      </c>
      <c r="H136" s="37" t="s">
        <v>2499</v>
      </c>
      <c r="I136" s="27" t="s">
        <v>2499</v>
      </c>
      <c r="J136" s="27" t="s">
        <v>2038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5.75" customHeight="1">
      <c r="A137" s="41">
        <v>137</v>
      </c>
      <c r="B137" s="206" t="s">
        <v>17</v>
      </c>
      <c r="C137" s="51" t="s">
        <v>2524</v>
      </c>
      <c r="D137" s="207" t="s">
        <v>2525</v>
      </c>
      <c r="E137" s="211">
        <v>1325000</v>
      </c>
      <c r="F137" s="211" t="s">
        <v>2526</v>
      </c>
      <c r="G137" s="210" t="s">
        <v>100</v>
      </c>
      <c r="H137" s="37" t="s">
        <v>2499</v>
      </c>
      <c r="I137" s="27" t="s">
        <v>2499</v>
      </c>
      <c r="J137" s="27" t="s">
        <v>2038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spans="1:28" ht="15.75" customHeight="1">
      <c r="A138" s="41">
        <v>138</v>
      </c>
      <c r="B138" s="103" t="s">
        <v>17</v>
      </c>
      <c r="C138" s="51" t="s">
        <v>2446</v>
      </c>
      <c r="D138" s="51" t="s">
        <v>2527</v>
      </c>
      <c r="E138" s="126" t="s">
        <v>2528</v>
      </c>
      <c r="F138" s="126" t="s">
        <v>2529</v>
      </c>
      <c r="G138" s="126" t="s">
        <v>2530</v>
      </c>
      <c r="H138" s="37" t="s">
        <v>2036</v>
      </c>
      <c r="I138" s="37" t="s">
        <v>2194</v>
      </c>
      <c r="J138" s="27" t="s">
        <v>2038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spans="1:28" ht="42" customHeight="1">
      <c r="A139" s="41">
        <v>139</v>
      </c>
      <c r="B139" s="206" t="s">
        <v>18</v>
      </c>
      <c r="C139" s="51" t="s">
        <v>1273</v>
      </c>
      <c r="D139" s="51" t="s">
        <v>2531</v>
      </c>
      <c r="E139" s="104" t="s">
        <v>2532</v>
      </c>
      <c r="F139" s="212">
        <v>45717</v>
      </c>
      <c r="G139" s="126" t="s">
        <v>100</v>
      </c>
      <c r="H139" s="37" t="s">
        <v>2533</v>
      </c>
      <c r="I139" s="37" t="s">
        <v>2533</v>
      </c>
      <c r="J139" s="37" t="s">
        <v>2038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spans="1:28" ht="39" customHeight="1">
      <c r="A140" s="41">
        <v>140</v>
      </c>
      <c r="B140" s="92" t="s">
        <v>18</v>
      </c>
      <c r="C140" s="37" t="s">
        <v>154</v>
      </c>
      <c r="D140" s="37" t="s">
        <v>2534</v>
      </c>
      <c r="E140" s="41" t="s">
        <v>2535</v>
      </c>
      <c r="F140" s="213">
        <v>45809</v>
      </c>
      <c r="G140" s="41" t="s">
        <v>100</v>
      </c>
      <c r="H140" s="214" t="s">
        <v>2536</v>
      </c>
      <c r="I140" s="214" t="s">
        <v>2536</v>
      </c>
      <c r="J140" s="37" t="s">
        <v>2038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spans="1:28" ht="15.75" customHeight="1">
      <c r="A141" s="41">
        <v>141</v>
      </c>
      <c r="B141" s="92" t="s">
        <v>18</v>
      </c>
      <c r="C141" s="37" t="s">
        <v>154</v>
      </c>
      <c r="D141" s="37" t="s">
        <v>2537</v>
      </c>
      <c r="E141" s="41" t="s">
        <v>2538</v>
      </c>
      <c r="F141" s="215">
        <v>45809</v>
      </c>
      <c r="G141" s="41" t="s">
        <v>100</v>
      </c>
      <c r="H141" s="37" t="s">
        <v>2499</v>
      </c>
      <c r="I141" s="37" t="s">
        <v>2499</v>
      </c>
      <c r="J141" s="37" t="s">
        <v>2038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spans="1:28" ht="27" customHeight="1">
      <c r="A142" s="41">
        <v>142</v>
      </c>
      <c r="B142" s="92" t="s">
        <v>18</v>
      </c>
      <c r="C142" s="37" t="s">
        <v>2539</v>
      </c>
      <c r="D142" s="37" t="s">
        <v>2540</v>
      </c>
      <c r="E142" s="41">
        <v>2011200</v>
      </c>
      <c r="F142" s="215">
        <v>45809</v>
      </c>
      <c r="G142" s="41" t="s">
        <v>100</v>
      </c>
      <c r="H142" s="214" t="s">
        <v>2536</v>
      </c>
      <c r="I142" s="214" t="s">
        <v>2536</v>
      </c>
      <c r="J142" s="37" t="s">
        <v>2038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spans="1:28" ht="28.5" customHeight="1">
      <c r="A143" s="41">
        <v>143</v>
      </c>
      <c r="B143" s="75" t="s">
        <v>1289</v>
      </c>
      <c r="C143" s="71" t="s">
        <v>2389</v>
      </c>
      <c r="D143" s="35" t="s">
        <v>2541</v>
      </c>
      <c r="E143" s="35" t="s">
        <v>2542</v>
      </c>
      <c r="F143" s="76" t="s">
        <v>1746</v>
      </c>
      <c r="G143" s="34" t="s">
        <v>2543</v>
      </c>
      <c r="H143" s="35" t="s">
        <v>2544</v>
      </c>
      <c r="I143" s="37" t="s">
        <v>2545</v>
      </c>
      <c r="J143" s="37" t="s">
        <v>2038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spans="1:28" ht="29.25" customHeight="1">
      <c r="A144" s="41">
        <v>144</v>
      </c>
      <c r="B144" s="75" t="s">
        <v>1289</v>
      </c>
      <c r="C144" s="71" t="s">
        <v>2389</v>
      </c>
      <c r="D144" s="35" t="s">
        <v>2546</v>
      </c>
      <c r="E144" s="35" t="s">
        <v>2547</v>
      </c>
      <c r="F144" s="76" t="s">
        <v>1746</v>
      </c>
      <c r="G144" s="34" t="s">
        <v>2548</v>
      </c>
      <c r="H144" s="35" t="s">
        <v>2549</v>
      </c>
      <c r="I144" s="37" t="s">
        <v>2036</v>
      </c>
      <c r="J144" s="37" t="s">
        <v>2038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spans="1:28" ht="30.75" customHeight="1">
      <c r="A145" s="41">
        <v>145</v>
      </c>
      <c r="B145" s="28" t="s">
        <v>16</v>
      </c>
      <c r="C145" s="28" t="s">
        <v>357</v>
      </c>
      <c r="D145" s="216" t="s">
        <v>2550</v>
      </c>
      <c r="E145" s="74" t="s">
        <v>2551</v>
      </c>
      <c r="F145" s="196" t="s">
        <v>1728</v>
      </c>
      <c r="G145" s="58" t="s">
        <v>2552</v>
      </c>
      <c r="H145" s="74" t="s">
        <v>2166</v>
      </c>
      <c r="I145" s="37" t="s">
        <v>2194</v>
      </c>
      <c r="J145" s="37" t="s">
        <v>2038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spans="1:28" ht="27.75" customHeight="1">
      <c r="A146" s="41">
        <v>146</v>
      </c>
      <c r="B146" s="28" t="s">
        <v>16</v>
      </c>
      <c r="C146" s="28" t="s">
        <v>426</v>
      </c>
      <c r="D146" s="28" t="s">
        <v>2553</v>
      </c>
      <c r="E146" s="217">
        <v>1000000</v>
      </c>
      <c r="F146" s="210" t="s">
        <v>2554</v>
      </c>
      <c r="G146" s="210" t="s">
        <v>2555</v>
      </c>
      <c r="H146" s="74" t="s">
        <v>2166</v>
      </c>
      <c r="I146" s="37" t="s">
        <v>2194</v>
      </c>
      <c r="J146" s="37" t="s">
        <v>2038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spans="1:28" ht="34.5" customHeight="1">
      <c r="A147" s="41">
        <v>147</v>
      </c>
      <c r="B147" s="28" t="s">
        <v>16</v>
      </c>
      <c r="C147" s="28" t="s">
        <v>360</v>
      </c>
      <c r="D147" s="28" t="s">
        <v>2556</v>
      </c>
      <c r="E147" s="217">
        <v>1452635</v>
      </c>
      <c r="F147" s="218">
        <v>45995</v>
      </c>
      <c r="G147" s="58"/>
      <c r="H147" s="74" t="s">
        <v>2557</v>
      </c>
      <c r="I147" s="22" t="s">
        <v>2425</v>
      </c>
      <c r="J147" s="37" t="s">
        <v>2038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pans="1:28" ht="15.75" customHeight="1">
      <c r="A148" s="41">
        <v>148</v>
      </c>
      <c r="B148" s="103" t="s">
        <v>17</v>
      </c>
      <c r="C148" s="37" t="s">
        <v>1493</v>
      </c>
      <c r="D148" s="37" t="s">
        <v>2558</v>
      </c>
      <c r="E148" s="41" t="s">
        <v>2559</v>
      </c>
      <c r="F148" s="41" t="s">
        <v>2560</v>
      </c>
      <c r="G148" s="41" t="s">
        <v>100</v>
      </c>
      <c r="H148" s="37" t="s">
        <v>2499</v>
      </c>
      <c r="I148" s="27" t="s">
        <v>2499</v>
      </c>
      <c r="J148" s="37" t="s">
        <v>2038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pans="1:28" ht="15.75" customHeight="1">
      <c r="A149" s="41">
        <v>149</v>
      </c>
      <c r="B149" s="92" t="s">
        <v>17</v>
      </c>
      <c r="C149" s="37" t="s">
        <v>2561</v>
      </c>
      <c r="D149" s="37" t="s">
        <v>2562</v>
      </c>
      <c r="E149" s="41" t="s">
        <v>2563</v>
      </c>
      <c r="F149" s="219">
        <v>45832</v>
      </c>
      <c r="G149" s="41" t="s">
        <v>100</v>
      </c>
      <c r="H149" s="37" t="s">
        <v>2499</v>
      </c>
      <c r="I149" s="27" t="s">
        <v>2499</v>
      </c>
      <c r="J149" s="37" t="s">
        <v>2038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spans="1:28" ht="15.75" customHeight="1">
      <c r="A150" s="41">
        <v>150</v>
      </c>
      <c r="B150" s="92" t="s">
        <v>17</v>
      </c>
      <c r="C150" s="37" t="s">
        <v>2561</v>
      </c>
      <c r="D150" s="37" t="s">
        <v>2564</v>
      </c>
      <c r="E150" s="41" t="s">
        <v>2565</v>
      </c>
      <c r="F150" s="219">
        <v>45837</v>
      </c>
      <c r="G150" s="41" t="s">
        <v>100</v>
      </c>
      <c r="H150" s="37" t="s">
        <v>2499</v>
      </c>
      <c r="I150" s="27" t="s">
        <v>2499</v>
      </c>
      <c r="J150" s="37" t="s">
        <v>2038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ht="15.75" customHeight="1">
      <c r="A151" s="41">
        <v>151</v>
      </c>
      <c r="B151" s="92" t="s">
        <v>17</v>
      </c>
      <c r="C151" s="37" t="s">
        <v>2561</v>
      </c>
      <c r="D151" s="37" t="s">
        <v>2566</v>
      </c>
      <c r="E151" s="41" t="s">
        <v>2567</v>
      </c>
      <c r="F151" s="219">
        <v>45837</v>
      </c>
      <c r="G151" s="41" t="s">
        <v>100</v>
      </c>
      <c r="H151" s="37" t="s">
        <v>2499</v>
      </c>
      <c r="I151" s="27" t="s">
        <v>2499</v>
      </c>
      <c r="J151" s="37" t="s">
        <v>2038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pans="1:28" ht="15.75" customHeight="1">
      <c r="A152" s="41">
        <v>152</v>
      </c>
      <c r="B152" s="92" t="s">
        <v>17</v>
      </c>
      <c r="C152" s="37" t="s">
        <v>2561</v>
      </c>
      <c r="D152" s="37" t="s">
        <v>2568</v>
      </c>
      <c r="E152" s="41" t="s">
        <v>2569</v>
      </c>
      <c r="F152" s="219">
        <v>45838</v>
      </c>
      <c r="G152" s="41" t="s">
        <v>100</v>
      </c>
      <c r="H152" s="37" t="s">
        <v>2499</v>
      </c>
      <c r="I152" s="27" t="s">
        <v>2499</v>
      </c>
      <c r="J152" s="37" t="s">
        <v>2038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pans="1:28" ht="15.75" customHeight="1">
      <c r="A153" s="41"/>
      <c r="B153" s="92" t="s">
        <v>17</v>
      </c>
      <c r="C153" s="37" t="s">
        <v>623</v>
      </c>
      <c r="D153" s="207" t="s">
        <v>2570</v>
      </c>
      <c r="E153" s="207" t="s">
        <v>2571</v>
      </c>
      <c r="F153" s="207" t="s">
        <v>2444</v>
      </c>
      <c r="G153" s="126" t="s">
        <v>100</v>
      </c>
      <c r="H153" s="37" t="s">
        <v>2499</v>
      </c>
      <c r="I153" s="37" t="s">
        <v>2499</v>
      </c>
      <c r="J153" s="37" t="s">
        <v>2038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spans="1:28" ht="15.75" customHeight="1">
      <c r="A154" s="41">
        <v>153</v>
      </c>
      <c r="B154" s="92" t="s">
        <v>17</v>
      </c>
      <c r="C154" s="37" t="s">
        <v>623</v>
      </c>
      <c r="D154" s="207" t="s">
        <v>2572</v>
      </c>
      <c r="E154" s="126" t="s">
        <v>2573</v>
      </c>
      <c r="F154" s="207" t="s">
        <v>1931</v>
      </c>
      <c r="G154" s="126" t="s">
        <v>100</v>
      </c>
      <c r="H154" s="37" t="s">
        <v>2499</v>
      </c>
      <c r="I154" s="37" t="s">
        <v>2499</v>
      </c>
      <c r="J154" s="37" t="s">
        <v>2038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spans="1:28" ht="38.25" customHeight="1">
      <c r="A155" s="41">
        <v>154</v>
      </c>
      <c r="B155" s="31" t="s">
        <v>162</v>
      </c>
      <c r="C155" s="43" t="s">
        <v>2574</v>
      </c>
      <c r="D155" s="28" t="s">
        <v>2575</v>
      </c>
      <c r="E155" s="25" t="s">
        <v>2576</v>
      </c>
      <c r="F155" s="25" t="s">
        <v>2577</v>
      </c>
      <c r="G155" s="210" t="s">
        <v>100</v>
      </c>
      <c r="H155" s="43" t="s">
        <v>2166</v>
      </c>
      <c r="I155" s="43" t="s">
        <v>2166</v>
      </c>
      <c r="J155" s="27" t="s">
        <v>2038</v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1:28" ht="29.25" customHeight="1">
      <c r="A156" s="41">
        <v>155</v>
      </c>
      <c r="B156" s="220" t="s">
        <v>162</v>
      </c>
      <c r="C156" s="27" t="s">
        <v>2578</v>
      </c>
      <c r="D156" s="43" t="s">
        <v>2579</v>
      </c>
      <c r="E156" s="27" t="s">
        <v>2580</v>
      </c>
      <c r="F156" s="27" t="s">
        <v>2577</v>
      </c>
      <c r="G156" s="77" t="s">
        <v>100</v>
      </c>
      <c r="H156" s="43" t="s">
        <v>2166</v>
      </c>
      <c r="I156" s="43" t="s">
        <v>2166</v>
      </c>
      <c r="J156" s="27" t="s">
        <v>2038</v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pans="1:28" ht="36.75" customHeight="1">
      <c r="A157" s="41">
        <v>156</v>
      </c>
      <c r="B157" s="220" t="s">
        <v>162</v>
      </c>
      <c r="C157" s="43" t="s">
        <v>2581</v>
      </c>
      <c r="D157" s="43" t="s">
        <v>2582</v>
      </c>
      <c r="E157" s="27" t="s">
        <v>2583</v>
      </c>
      <c r="F157" s="221">
        <v>45831</v>
      </c>
      <c r="G157" s="77" t="s">
        <v>1279</v>
      </c>
      <c r="H157" s="43" t="s">
        <v>2166</v>
      </c>
      <c r="I157" s="43" t="s">
        <v>2166</v>
      </c>
      <c r="J157" s="27" t="s">
        <v>2038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pans="1:28" ht="33" customHeight="1">
      <c r="A158" s="41">
        <v>157</v>
      </c>
      <c r="B158" s="220" t="s">
        <v>596</v>
      </c>
      <c r="C158" s="43" t="s">
        <v>2584</v>
      </c>
      <c r="D158" s="43" t="s">
        <v>2585</v>
      </c>
      <c r="E158" s="27" t="s">
        <v>2586</v>
      </c>
      <c r="F158" s="221">
        <v>45835</v>
      </c>
      <c r="G158" s="77" t="s">
        <v>100</v>
      </c>
      <c r="H158" s="43" t="s">
        <v>2166</v>
      </c>
      <c r="I158" s="43" t="s">
        <v>2166</v>
      </c>
      <c r="J158" s="27" t="s">
        <v>2038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pans="1:28" ht="57.75" customHeight="1">
      <c r="A159" s="41">
        <v>158</v>
      </c>
      <c r="B159" s="92" t="s">
        <v>24</v>
      </c>
      <c r="C159" s="222" t="s">
        <v>2587</v>
      </c>
      <c r="D159" s="43" t="s">
        <v>2588</v>
      </c>
      <c r="E159" s="27" t="s">
        <v>2589</v>
      </c>
      <c r="F159" s="223" t="s">
        <v>2590</v>
      </c>
      <c r="G159" s="77" t="s">
        <v>2591</v>
      </c>
      <c r="H159" s="25" t="s">
        <v>2592</v>
      </c>
      <c r="I159" s="27" t="s">
        <v>2058</v>
      </c>
      <c r="J159" s="27" t="s">
        <v>2038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ht="45.75" customHeight="1">
      <c r="A160" s="41">
        <v>159</v>
      </c>
      <c r="B160" s="24" t="s">
        <v>24</v>
      </c>
      <c r="C160" s="43" t="s">
        <v>430</v>
      </c>
      <c r="D160" s="43" t="s">
        <v>2593</v>
      </c>
      <c r="E160" s="27">
        <v>20060000</v>
      </c>
      <c r="F160" s="224">
        <v>45797</v>
      </c>
      <c r="G160" s="77" t="s">
        <v>2594</v>
      </c>
      <c r="H160" s="25" t="s">
        <v>2122</v>
      </c>
      <c r="I160" s="27" t="s">
        <v>2595</v>
      </c>
      <c r="J160" s="27" t="s">
        <v>2038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ht="63.75" customHeight="1">
      <c r="A161" s="41">
        <v>160</v>
      </c>
      <c r="B161" s="24" t="s">
        <v>24</v>
      </c>
      <c r="C161" s="43" t="s">
        <v>2314</v>
      </c>
      <c r="D161" s="225" t="s">
        <v>2596</v>
      </c>
      <c r="E161" s="27" t="s">
        <v>2597</v>
      </c>
      <c r="F161" s="62" t="s">
        <v>2598</v>
      </c>
      <c r="G161" s="77" t="s">
        <v>100</v>
      </c>
      <c r="H161" s="25" t="s">
        <v>2249</v>
      </c>
      <c r="I161" s="27" t="s">
        <v>2599</v>
      </c>
      <c r="J161" s="27" t="s">
        <v>2038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pans="1:28" ht="64.5" customHeight="1">
      <c r="A162" s="41">
        <v>161</v>
      </c>
      <c r="B162" s="220" t="s">
        <v>162</v>
      </c>
      <c r="C162" s="43" t="s">
        <v>2600</v>
      </c>
      <c r="D162" s="43" t="s">
        <v>2601</v>
      </c>
      <c r="E162" s="27" t="s">
        <v>2246</v>
      </c>
      <c r="F162" s="226">
        <v>45994</v>
      </c>
      <c r="G162" s="77" t="s">
        <v>100</v>
      </c>
      <c r="H162" s="43" t="s">
        <v>2602</v>
      </c>
      <c r="I162" s="43" t="s">
        <v>2036</v>
      </c>
      <c r="J162" s="27" t="s">
        <v>2038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ht="15.75" customHeight="1">
      <c r="A163" s="41">
        <v>162</v>
      </c>
      <c r="B163" s="220" t="s">
        <v>162</v>
      </c>
      <c r="C163" s="43" t="s">
        <v>2600</v>
      </c>
      <c r="D163" s="43" t="s">
        <v>2603</v>
      </c>
      <c r="E163" s="27" t="s">
        <v>2604</v>
      </c>
      <c r="F163" s="27" t="s">
        <v>1517</v>
      </c>
      <c r="G163" s="77" t="s">
        <v>2327</v>
      </c>
      <c r="H163" s="43" t="s">
        <v>2605</v>
      </c>
      <c r="I163" s="43" t="s">
        <v>2606</v>
      </c>
      <c r="J163" s="27" t="s">
        <v>2038</v>
      </c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</row>
    <row r="164" spans="1:28" ht="15.75" customHeight="1">
      <c r="A164" s="41">
        <v>163</v>
      </c>
      <c r="B164" s="220" t="s">
        <v>162</v>
      </c>
      <c r="C164" s="43" t="s">
        <v>2600</v>
      </c>
      <c r="D164" s="43" t="s">
        <v>2607</v>
      </c>
      <c r="E164" s="27" t="s">
        <v>2608</v>
      </c>
      <c r="F164" s="226">
        <v>45660</v>
      </c>
      <c r="G164" s="77" t="s">
        <v>100</v>
      </c>
      <c r="H164" s="43" t="s">
        <v>2372</v>
      </c>
      <c r="I164" s="43" t="s">
        <v>2606</v>
      </c>
      <c r="J164" s="27" t="s">
        <v>2038</v>
      </c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</row>
    <row r="165" spans="1:28" ht="15.75" customHeight="1">
      <c r="A165" s="41">
        <v>164</v>
      </c>
      <c r="B165" s="220" t="s">
        <v>162</v>
      </c>
      <c r="C165" s="43" t="s">
        <v>2600</v>
      </c>
      <c r="D165" s="43" t="s">
        <v>2358</v>
      </c>
      <c r="E165" s="27" t="s">
        <v>2609</v>
      </c>
      <c r="F165" s="226">
        <v>45660</v>
      </c>
      <c r="G165" s="77" t="s">
        <v>100</v>
      </c>
      <c r="H165" s="43" t="s">
        <v>2372</v>
      </c>
      <c r="I165" s="43" t="s">
        <v>2606</v>
      </c>
      <c r="J165" s="27" t="s">
        <v>2038</v>
      </c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</row>
    <row r="166" spans="1:28" ht="15.75" customHeight="1">
      <c r="A166" s="41">
        <v>165</v>
      </c>
      <c r="B166" s="23" t="s">
        <v>15</v>
      </c>
      <c r="C166" s="43" t="s">
        <v>444</v>
      </c>
      <c r="D166" s="43" t="s">
        <v>2610</v>
      </c>
      <c r="E166" s="27" t="s">
        <v>2611</v>
      </c>
      <c r="F166" s="27" t="s">
        <v>2612</v>
      </c>
      <c r="G166" s="77" t="s">
        <v>2613</v>
      </c>
      <c r="H166" s="27" t="s">
        <v>2605</v>
      </c>
      <c r="I166" s="27" t="s">
        <v>2036</v>
      </c>
      <c r="J166" s="27" t="s">
        <v>2476</v>
      </c>
      <c r="K166" s="27" t="s">
        <v>2614</v>
      </c>
      <c r="L166" s="27" t="s">
        <v>2614</v>
      </c>
      <c r="M166" s="27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ht="15.75" customHeight="1">
      <c r="A167" s="41">
        <v>166</v>
      </c>
      <c r="B167" s="23" t="s">
        <v>15</v>
      </c>
      <c r="C167" s="43" t="s">
        <v>330</v>
      </c>
      <c r="D167" s="43" t="s">
        <v>2615</v>
      </c>
      <c r="E167" s="27" t="s">
        <v>2616</v>
      </c>
      <c r="F167" s="27" t="s">
        <v>2617</v>
      </c>
      <c r="G167" s="77" t="s">
        <v>2618</v>
      </c>
      <c r="H167" s="27" t="s">
        <v>2619</v>
      </c>
      <c r="I167" s="27" t="s">
        <v>2166</v>
      </c>
      <c r="J167" s="27" t="s">
        <v>2031</v>
      </c>
      <c r="K167" s="27"/>
      <c r="L167" s="27"/>
      <c r="M167" s="27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ht="15.75" customHeight="1">
      <c r="A168" s="41">
        <v>167</v>
      </c>
      <c r="B168" s="23" t="s">
        <v>15</v>
      </c>
      <c r="C168" s="43" t="s">
        <v>2620</v>
      </c>
      <c r="D168" s="43" t="s">
        <v>2621</v>
      </c>
      <c r="E168" s="27" t="s">
        <v>2622</v>
      </c>
      <c r="F168" s="27" t="s">
        <v>2623</v>
      </c>
      <c r="G168" s="77" t="s">
        <v>2624</v>
      </c>
      <c r="H168" s="27" t="s">
        <v>2625</v>
      </c>
      <c r="I168" s="27"/>
      <c r="J168" s="27"/>
      <c r="K168" s="27"/>
      <c r="L168" s="27"/>
      <c r="M168" s="27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ht="15.75" customHeight="1">
      <c r="A169" s="41">
        <v>168</v>
      </c>
      <c r="B169" s="23" t="s">
        <v>15</v>
      </c>
      <c r="C169" s="43" t="s">
        <v>2626</v>
      </c>
      <c r="D169" s="43" t="s">
        <v>2627</v>
      </c>
      <c r="E169" s="27" t="s">
        <v>2628</v>
      </c>
      <c r="F169" s="227">
        <v>45963</v>
      </c>
      <c r="G169" s="77" t="s">
        <v>2629</v>
      </c>
      <c r="H169" s="27" t="s">
        <v>2630</v>
      </c>
      <c r="I169" s="27" t="s">
        <v>2036</v>
      </c>
      <c r="J169" s="27" t="s">
        <v>2031</v>
      </c>
      <c r="K169" s="27"/>
      <c r="L169" s="27"/>
      <c r="M169" s="27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ht="15.75" customHeight="1">
      <c r="A170" s="41">
        <v>169</v>
      </c>
      <c r="B170" s="23" t="s">
        <v>15</v>
      </c>
      <c r="C170" s="43" t="s">
        <v>2626</v>
      </c>
      <c r="D170" s="43" t="s">
        <v>2631</v>
      </c>
      <c r="E170" s="27" t="s">
        <v>2632</v>
      </c>
      <c r="F170" s="27" t="s">
        <v>2633</v>
      </c>
      <c r="G170" s="77" t="s">
        <v>2634</v>
      </c>
      <c r="H170" s="27" t="s">
        <v>2635</v>
      </c>
      <c r="I170" s="27"/>
      <c r="J170" s="27"/>
      <c r="K170" s="27"/>
      <c r="L170" s="27"/>
      <c r="M170" s="27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ht="15.75" customHeight="1">
      <c r="A171" s="41">
        <v>170</v>
      </c>
      <c r="B171" s="23" t="s">
        <v>15</v>
      </c>
      <c r="C171" s="43" t="s">
        <v>1923</v>
      </c>
      <c r="D171" s="57" t="s">
        <v>2636</v>
      </c>
      <c r="E171" s="27" t="s">
        <v>2637</v>
      </c>
      <c r="F171" s="27" t="s">
        <v>2638</v>
      </c>
      <c r="G171" s="77" t="s">
        <v>2639</v>
      </c>
      <c r="H171" s="27" t="s">
        <v>2605</v>
      </c>
      <c r="I171" s="27" t="s">
        <v>2605</v>
      </c>
      <c r="J171" s="27" t="s">
        <v>2038</v>
      </c>
      <c r="K171" s="27"/>
      <c r="L171" s="27"/>
      <c r="M171" s="27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ht="15.75" customHeight="1">
      <c r="A172" s="41">
        <v>171</v>
      </c>
      <c r="B172" s="23" t="s">
        <v>15</v>
      </c>
      <c r="C172" s="43" t="s">
        <v>1923</v>
      </c>
      <c r="D172" s="43" t="s">
        <v>2640</v>
      </c>
      <c r="E172" s="27" t="s">
        <v>2641</v>
      </c>
      <c r="F172" s="27" t="s">
        <v>2642</v>
      </c>
      <c r="G172" s="77" t="s">
        <v>2371</v>
      </c>
      <c r="H172" s="27" t="s">
        <v>2372</v>
      </c>
      <c r="I172" s="27" t="s">
        <v>2372</v>
      </c>
      <c r="J172" s="27" t="s">
        <v>2038</v>
      </c>
      <c r="K172" s="27"/>
      <c r="L172" s="27"/>
      <c r="M172" s="27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ht="15.75" customHeight="1">
      <c r="A173" s="41">
        <v>172</v>
      </c>
      <c r="B173" s="23" t="s">
        <v>15</v>
      </c>
      <c r="C173" s="43" t="s">
        <v>1932</v>
      </c>
      <c r="D173" s="43" t="s">
        <v>2643</v>
      </c>
      <c r="E173" s="27" t="s">
        <v>2644</v>
      </c>
      <c r="F173" s="27" t="s">
        <v>2645</v>
      </c>
      <c r="G173" s="77" t="s">
        <v>2371</v>
      </c>
      <c r="H173" s="43" t="s">
        <v>2646</v>
      </c>
      <c r="I173" s="27" t="s">
        <v>2647</v>
      </c>
      <c r="J173" s="27" t="s">
        <v>2031</v>
      </c>
      <c r="K173" s="27"/>
      <c r="L173" s="27"/>
      <c r="M173" s="27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ht="15.75" customHeight="1">
      <c r="A174" s="41">
        <v>173</v>
      </c>
      <c r="B174" s="23" t="s">
        <v>15</v>
      </c>
      <c r="C174" s="43" t="s">
        <v>1932</v>
      </c>
      <c r="D174" s="43" t="s">
        <v>2648</v>
      </c>
      <c r="E174" s="27" t="s">
        <v>2649</v>
      </c>
      <c r="F174" s="27" t="s">
        <v>2650</v>
      </c>
      <c r="G174" s="77" t="s">
        <v>2651</v>
      </c>
      <c r="H174" s="27" t="s">
        <v>2652</v>
      </c>
      <c r="I174" s="27" t="s">
        <v>2653</v>
      </c>
      <c r="J174" s="27" t="s">
        <v>2038</v>
      </c>
      <c r="K174" s="27"/>
      <c r="L174" s="27"/>
      <c r="M174" s="27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ht="15.75" customHeight="1">
      <c r="A175" s="41">
        <v>174</v>
      </c>
      <c r="B175" s="23" t="s">
        <v>15</v>
      </c>
      <c r="C175" s="43" t="s">
        <v>1932</v>
      </c>
      <c r="D175" s="43" t="s">
        <v>2654</v>
      </c>
      <c r="E175" s="27" t="s">
        <v>2655</v>
      </c>
      <c r="F175" s="27" t="s">
        <v>2656</v>
      </c>
      <c r="G175" s="77" t="s">
        <v>2657</v>
      </c>
      <c r="H175" s="27" t="s">
        <v>2036</v>
      </c>
      <c r="I175" s="27" t="s">
        <v>2653</v>
      </c>
      <c r="J175" s="27" t="s">
        <v>2038</v>
      </c>
      <c r="K175" s="27"/>
      <c r="L175" s="27"/>
      <c r="M175" s="27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ht="15.75" customHeight="1">
      <c r="A176" s="41">
        <v>175</v>
      </c>
      <c r="B176" s="28" t="s">
        <v>16</v>
      </c>
      <c r="C176" s="28" t="s">
        <v>2658</v>
      </c>
      <c r="D176" s="202" t="s">
        <v>2659</v>
      </c>
      <c r="E176" s="228" t="s">
        <v>2660</v>
      </c>
      <c r="F176" s="210" t="s">
        <v>2661</v>
      </c>
      <c r="G176" s="210" t="s">
        <v>2662</v>
      </c>
      <c r="H176" s="229" t="s">
        <v>2663</v>
      </c>
      <c r="I176" s="27" t="s">
        <v>2653</v>
      </c>
      <c r="J176" s="27" t="s">
        <v>2038</v>
      </c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</row>
    <row r="177" spans="1:28" ht="15.75" customHeight="1">
      <c r="A177" s="41">
        <v>176</v>
      </c>
      <c r="B177" s="28" t="s">
        <v>16</v>
      </c>
      <c r="C177" s="28" t="s">
        <v>1855</v>
      </c>
      <c r="D177" s="230" t="s">
        <v>2664</v>
      </c>
      <c r="E177" s="228" t="s">
        <v>2665</v>
      </c>
      <c r="F177" s="210" t="s">
        <v>1908</v>
      </c>
      <c r="G177" s="210" t="s">
        <v>2666</v>
      </c>
      <c r="H177" s="229" t="s">
        <v>2667</v>
      </c>
      <c r="I177" s="27" t="s">
        <v>2653</v>
      </c>
      <c r="J177" s="27" t="s">
        <v>2038</v>
      </c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</row>
    <row r="178" spans="1:28" ht="15.75" customHeight="1">
      <c r="A178" s="41">
        <v>177</v>
      </c>
      <c r="B178" s="28" t="s">
        <v>16</v>
      </c>
      <c r="C178" s="28" t="s">
        <v>2668</v>
      </c>
      <c r="D178" s="231" t="s">
        <v>2284</v>
      </c>
      <c r="E178" s="228">
        <v>2100000</v>
      </c>
      <c r="F178" s="196" t="s">
        <v>2286</v>
      </c>
      <c r="G178" s="210" t="s">
        <v>2287</v>
      </c>
      <c r="H178" s="28" t="s">
        <v>2208</v>
      </c>
      <c r="I178" s="27" t="s">
        <v>2653</v>
      </c>
      <c r="J178" s="27" t="s">
        <v>2038</v>
      </c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</row>
    <row r="179" spans="1:28" ht="15.75" customHeight="1">
      <c r="A179" s="41">
        <v>178</v>
      </c>
      <c r="B179" s="28" t="s">
        <v>16</v>
      </c>
      <c r="C179" s="28" t="s">
        <v>2669</v>
      </c>
      <c r="D179" s="28" t="s">
        <v>2670</v>
      </c>
      <c r="E179" s="228" t="s">
        <v>2671</v>
      </c>
      <c r="F179" s="196" t="s">
        <v>2672</v>
      </c>
      <c r="G179" s="196">
        <v>29962644692996</v>
      </c>
      <c r="H179" s="28" t="s">
        <v>2557</v>
      </c>
      <c r="I179" s="27" t="s">
        <v>2647</v>
      </c>
      <c r="J179" s="27" t="s">
        <v>2038</v>
      </c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</row>
    <row r="180" spans="1:28" ht="15.75" customHeight="1">
      <c r="A180" s="23">
        <v>179</v>
      </c>
      <c r="B180" s="23" t="s">
        <v>15</v>
      </c>
      <c r="C180" s="43" t="s">
        <v>2673</v>
      </c>
      <c r="D180" s="43" t="s">
        <v>2674</v>
      </c>
      <c r="E180" s="27" t="s">
        <v>2675</v>
      </c>
      <c r="F180" s="27" t="s">
        <v>1746</v>
      </c>
      <c r="G180" s="27">
        <v>542025002994</v>
      </c>
      <c r="H180" s="27" t="s">
        <v>2676</v>
      </c>
      <c r="I180" s="27" t="s">
        <v>2653</v>
      </c>
      <c r="J180" s="27" t="s">
        <v>2038</v>
      </c>
      <c r="K180" s="27"/>
      <c r="L180" s="27"/>
      <c r="M180" s="27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ht="15.75" customHeight="1">
      <c r="A181" s="41">
        <v>180</v>
      </c>
      <c r="B181" s="28" t="s">
        <v>16</v>
      </c>
      <c r="C181" s="28" t="s">
        <v>2677</v>
      </c>
      <c r="D181" s="28" t="s">
        <v>2678</v>
      </c>
      <c r="E181" s="232" t="s">
        <v>100</v>
      </c>
      <c r="F181" s="28" t="s">
        <v>2679</v>
      </c>
      <c r="G181" s="48" t="s">
        <v>100</v>
      </c>
      <c r="H181" s="28" t="s">
        <v>2680</v>
      </c>
      <c r="I181" s="25" t="s">
        <v>2510</v>
      </c>
      <c r="J181" s="25" t="s">
        <v>2006</v>
      </c>
      <c r="K181" s="233">
        <v>15000</v>
      </c>
      <c r="L181" s="233">
        <v>15000</v>
      </c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</row>
    <row r="182" spans="1:28" ht="15.75" customHeight="1">
      <c r="A182" s="41">
        <v>181</v>
      </c>
      <c r="B182" s="28" t="s">
        <v>16</v>
      </c>
      <c r="C182" s="28" t="s">
        <v>2681</v>
      </c>
      <c r="D182" s="28" t="s">
        <v>2682</v>
      </c>
      <c r="E182" s="232" t="s">
        <v>100</v>
      </c>
      <c r="F182" s="28" t="s">
        <v>2683</v>
      </c>
      <c r="G182" s="48" t="s">
        <v>100</v>
      </c>
      <c r="H182" s="28" t="s">
        <v>2680</v>
      </c>
      <c r="I182" s="25" t="s">
        <v>2510</v>
      </c>
      <c r="J182" s="25" t="s">
        <v>2006</v>
      </c>
      <c r="K182" s="233">
        <v>15000</v>
      </c>
      <c r="L182" s="233">
        <v>15000</v>
      </c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</row>
    <row r="183" spans="1:28" ht="15.75" customHeight="1">
      <c r="A183" s="23">
        <v>182</v>
      </c>
      <c r="B183" s="28" t="s">
        <v>16</v>
      </c>
      <c r="C183" s="28" t="s">
        <v>2684</v>
      </c>
      <c r="D183" s="28" t="s">
        <v>2685</v>
      </c>
      <c r="E183" s="232" t="s">
        <v>100</v>
      </c>
      <c r="F183" s="28" t="s">
        <v>2679</v>
      </c>
      <c r="G183" s="48" t="s">
        <v>100</v>
      </c>
      <c r="H183" s="28" t="s">
        <v>2680</v>
      </c>
      <c r="I183" s="25" t="s">
        <v>2510</v>
      </c>
      <c r="J183" s="25" t="s">
        <v>2006</v>
      </c>
      <c r="K183" s="233">
        <v>15000</v>
      </c>
      <c r="L183" s="233">
        <v>15000</v>
      </c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</row>
    <row r="184" spans="1:28" ht="15.75" customHeight="1">
      <c r="A184" s="41">
        <v>183</v>
      </c>
      <c r="B184" s="28" t="s">
        <v>16</v>
      </c>
      <c r="C184" s="28" t="s">
        <v>2686</v>
      </c>
      <c r="D184" s="28" t="s">
        <v>2687</v>
      </c>
      <c r="E184" s="232" t="s">
        <v>100</v>
      </c>
      <c r="F184" s="28" t="s">
        <v>2679</v>
      </c>
      <c r="G184" s="48" t="s">
        <v>100</v>
      </c>
      <c r="H184" s="28" t="s">
        <v>2680</v>
      </c>
      <c r="I184" s="25" t="s">
        <v>2510</v>
      </c>
      <c r="J184" s="25" t="s">
        <v>2006</v>
      </c>
      <c r="K184" s="233">
        <v>15000</v>
      </c>
      <c r="L184" s="233">
        <v>15000</v>
      </c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</row>
    <row r="185" spans="1:28" ht="15.75" customHeight="1">
      <c r="A185" s="152"/>
      <c r="B185" s="234"/>
      <c r="C185" s="32"/>
      <c r="D185" s="32"/>
      <c r="E185" s="152"/>
      <c r="F185" s="152"/>
      <c r="G185" s="152"/>
      <c r="H185" s="32"/>
      <c r="I185" s="32"/>
      <c r="J185" s="3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</row>
    <row r="186" spans="1:28" ht="15.75" customHeight="1">
      <c r="A186" s="152"/>
      <c r="B186" s="234"/>
      <c r="C186" s="32"/>
      <c r="D186" s="32"/>
      <c r="E186" s="152"/>
      <c r="F186" s="152"/>
      <c r="G186" s="152"/>
      <c r="H186" s="32"/>
      <c r="I186" s="32"/>
      <c r="J186" s="3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</row>
    <row r="187" spans="1:28" ht="15.75" customHeight="1">
      <c r="A187" s="152"/>
      <c r="B187" s="234"/>
      <c r="C187" s="32"/>
      <c r="D187" s="32"/>
      <c r="E187" s="152"/>
      <c r="F187" s="152"/>
      <c r="G187" s="152"/>
      <c r="H187" s="32"/>
      <c r="I187" s="32"/>
      <c r="J187" s="3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</row>
    <row r="188" spans="1:28" ht="15.75" customHeight="1">
      <c r="A188" s="152"/>
      <c r="B188" s="234"/>
      <c r="C188" s="32"/>
      <c r="D188" s="32"/>
      <c r="E188" s="152"/>
      <c r="F188" s="152"/>
      <c r="G188" s="152"/>
      <c r="H188" s="32"/>
      <c r="I188" s="32"/>
      <c r="J188" s="3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</row>
    <row r="189" spans="1:28" ht="15.75" customHeight="1">
      <c r="A189" s="152"/>
      <c r="B189" s="234"/>
      <c r="C189" s="32"/>
      <c r="D189" s="32"/>
      <c r="E189" s="152"/>
      <c r="F189" s="152"/>
      <c r="G189" s="152"/>
      <c r="H189" s="32"/>
      <c r="I189" s="32"/>
      <c r="J189" s="3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</row>
    <row r="190" spans="1:28" ht="15.75" customHeight="1">
      <c r="A190" s="152"/>
      <c r="B190" s="234"/>
      <c r="C190" s="32"/>
      <c r="D190" s="32"/>
      <c r="E190" s="152"/>
      <c r="F190" s="152"/>
      <c r="G190" s="152"/>
      <c r="H190" s="32"/>
      <c r="I190" s="32"/>
      <c r="J190" s="3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</row>
    <row r="191" spans="1:28" ht="15.75" customHeight="1">
      <c r="A191" s="152"/>
      <c r="B191" s="234"/>
      <c r="C191" s="32"/>
      <c r="D191" s="32"/>
      <c r="E191" s="152"/>
      <c r="F191" s="152"/>
      <c r="G191" s="152"/>
      <c r="H191" s="32"/>
      <c r="I191" s="32"/>
      <c r="J191" s="3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</row>
    <row r="192" spans="1:28" ht="15.75" customHeight="1">
      <c r="A192" s="152"/>
      <c r="B192" s="234"/>
      <c r="C192" s="32"/>
      <c r="D192" s="32"/>
      <c r="E192" s="152"/>
      <c r="F192" s="152"/>
      <c r="G192" s="152"/>
      <c r="H192" s="32"/>
      <c r="I192" s="32"/>
      <c r="J192" s="3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</row>
    <row r="193" spans="1:28" ht="15.75" customHeight="1">
      <c r="A193" s="152"/>
      <c r="B193" s="234"/>
      <c r="C193" s="32"/>
      <c r="D193" s="32"/>
      <c r="E193" s="152"/>
      <c r="F193" s="152"/>
      <c r="G193" s="152"/>
      <c r="H193" s="32"/>
      <c r="I193" s="32"/>
      <c r="J193" s="3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</row>
    <row r="194" spans="1:28" ht="15.75" customHeight="1">
      <c r="A194" s="152"/>
      <c r="B194" s="234"/>
      <c r="C194" s="32"/>
      <c r="D194" s="32"/>
      <c r="E194" s="152"/>
      <c r="F194" s="152"/>
      <c r="G194" s="152"/>
      <c r="H194" s="32"/>
      <c r="I194" s="32"/>
      <c r="J194" s="3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</row>
    <row r="195" spans="1:28" ht="15.75" customHeight="1">
      <c r="A195" s="152"/>
      <c r="B195" s="234"/>
      <c r="C195" s="32"/>
      <c r="D195" s="32"/>
      <c r="E195" s="152"/>
      <c r="F195" s="152"/>
      <c r="G195" s="152"/>
      <c r="H195" s="32"/>
      <c r="I195" s="32"/>
      <c r="J195" s="3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</row>
    <row r="196" spans="1:28" ht="15.75" customHeight="1">
      <c r="A196" s="152"/>
      <c r="B196" s="234"/>
      <c r="C196" s="32"/>
      <c r="D196" s="32"/>
      <c r="E196" s="152"/>
      <c r="F196" s="152"/>
      <c r="G196" s="152"/>
      <c r="H196" s="32"/>
      <c r="I196" s="32"/>
      <c r="J196" s="3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</row>
    <row r="197" spans="1:28" ht="15.75" customHeight="1">
      <c r="A197" s="152"/>
      <c r="B197" s="234"/>
      <c r="C197" s="32"/>
      <c r="D197" s="32"/>
      <c r="E197" s="152"/>
      <c r="F197" s="152"/>
      <c r="G197" s="152"/>
      <c r="H197" s="32"/>
      <c r="I197" s="32"/>
      <c r="J197" s="3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</row>
    <row r="198" spans="1:28" ht="15.75" customHeight="1">
      <c r="A198" s="152"/>
      <c r="B198" s="234"/>
      <c r="C198" s="32"/>
      <c r="D198" s="32"/>
      <c r="E198" s="152"/>
      <c r="F198" s="152"/>
      <c r="G198" s="152"/>
      <c r="H198" s="32"/>
      <c r="I198" s="32"/>
      <c r="J198" s="3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</row>
    <row r="199" spans="1:28" ht="15.75" customHeight="1">
      <c r="A199" s="152"/>
      <c r="B199" s="234"/>
      <c r="C199" s="32"/>
      <c r="D199" s="32"/>
      <c r="E199" s="152"/>
      <c r="F199" s="152"/>
      <c r="G199" s="152"/>
      <c r="H199" s="32"/>
      <c r="I199" s="32"/>
      <c r="J199" s="3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</row>
    <row r="200" spans="1:28" ht="15.75" customHeight="1">
      <c r="A200" s="152"/>
      <c r="B200" s="234"/>
      <c r="C200" s="32"/>
      <c r="D200" s="32"/>
      <c r="E200" s="152"/>
      <c r="F200" s="152"/>
      <c r="G200" s="152"/>
      <c r="H200" s="32"/>
      <c r="I200" s="32"/>
      <c r="J200" s="3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</row>
    <row r="201" spans="1:28" ht="15.75" customHeight="1">
      <c r="A201" s="152"/>
      <c r="B201" s="234"/>
      <c r="C201" s="32"/>
      <c r="D201" s="32"/>
      <c r="E201" s="152"/>
      <c r="F201" s="152"/>
      <c r="G201" s="152"/>
      <c r="H201" s="32"/>
      <c r="I201" s="32"/>
      <c r="J201" s="3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</row>
    <row r="202" spans="1:28" ht="15.75" customHeight="1">
      <c r="A202" s="152"/>
      <c r="B202" s="234"/>
      <c r="C202" s="32"/>
      <c r="D202" s="32"/>
      <c r="E202" s="152"/>
      <c r="F202" s="152"/>
      <c r="G202" s="152"/>
      <c r="H202" s="32"/>
      <c r="I202" s="32"/>
      <c r="J202" s="3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</row>
    <row r="203" spans="1:28" ht="15.75" customHeight="1">
      <c r="A203" s="152"/>
      <c r="B203" s="234"/>
      <c r="C203" s="32"/>
      <c r="D203" s="32"/>
      <c r="E203" s="152"/>
      <c r="F203" s="152"/>
      <c r="G203" s="152"/>
      <c r="H203" s="32"/>
      <c r="I203" s="32"/>
      <c r="J203" s="3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</row>
    <row r="204" spans="1:28" ht="15.75" customHeight="1">
      <c r="A204" s="152"/>
      <c r="B204" s="234"/>
      <c r="C204" s="32"/>
      <c r="D204" s="32"/>
      <c r="E204" s="152"/>
      <c r="F204" s="152"/>
      <c r="G204" s="152"/>
      <c r="H204" s="32"/>
      <c r="I204" s="32"/>
      <c r="J204" s="3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</row>
    <row r="205" spans="1:28" ht="15.75" customHeight="1">
      <c r="A205" s="152"/>
      <c r="B205" s="234"/>
      <c r="C205" s="32"/>
      <c r="D205" s="32"/>
      <c r="E205" s="152"/>
      <c r="F205" s="152"/>
      <c r="G205" s="152"/>
      <c r="H205" s="32"/>
      <c r="I205" s="32"/>
      <c r="J205" s="3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</row>
    <row r="206" spans="1:28" ht="15.75" customHeight="1">
      <c r="A206" s="152"/>
      <c r="B206" s="234"/>
      <c r="C206" s="32"/>
      <c r="D206" s="32"/>
      <c r="E206" s="152"/>
      <c r="F206" s="152"/>
      <c r="G206" s="152"/>
      <c r="H206" s="32"/>
      <c r="I206" s="32"/>
      <c r="J206" s="3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</row>
    <row r="207" spans="1:28" ht="15.75" customHeight="1">
      <c r="A207" s="152"/>
      <c r="B207" s="234"/>
      <c r="C207" s="32"/>
      <c r="D207" s="32"/>
      <c r="E207" s="152"/>
      <c r="F207" s="152"/>
      <c r="G207" s="152"/>
      <c r="H207" s="32"/>
      <c r="I207" s="32"/>
      <c r="J207" s="3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</row>
    <row r="208" spans="1:28" ht="15.75" customHeight="1">
      <c r="A208" s="152"/>
      <c r="B208" s="234"/>
      <c r="C208" s="32"/>
      <c r="D208" s="32"/>
      <c r="E208" s="152"/>
      <c r="F208" s="152"/>
      <c r="G208" s="152"/>
      <c r="H208" s="32"/>
      <c r="I208" s="32"/>
      <c r="J208" s="3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</row>
    <row r="209" spans="1:28" ht="15.75" customHeight="1">
      <c r="A209" s="152"/>
      <c r="B209" s="234"/>
      <c r="C209" s="32"/>
      <c r="D209" s="32"/>
      <c r="E209" s="152"/>
      <c r="F209" s="152"/>
      <c r="G209" s="152"/>
      <c r="H209" s="32"/>
      <c r="I209" s="32"/>
      <c r="J209" s="3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</row>
    <row r="210" spans="1:28" ht="15.75" customHeight="1">
      <c r="A210" s="152"/>
      <c r="B210" s="234"/>
      <c r="C210" s="32"/>
      <c r="D210" s="32"/>
      <c r="E210" s="152"/>
      <c r="F210" s="152"/>
      <c r="G210" s="152"/>
      <c r="H210" s="32"/>
      <c r="I210" s="32"/>
      <c r="J210" s="3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</row>
    <row r="211" spans="1:28" ht="15.75" customHeight="1">
      <c r="A211" s="152"/>
      <c r="B211" s="234"/>
      <c r="C211" s="32"/>
      <c r="D211" s="32"/>
      <c r="E211" s="152"/>
      <c r="F211" s="152"/>
      <c r="G211" s="152"/>
      <c r="H211" s="32"/>
      <c r="I211" s="32"/>
      <c r="J211" s="3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</row>
    <row r="212" spans="1:28" ht="15.75" customHeight="1">
      <c r="A212" s="152"/>
      <c r="B212" s="234"/>
      <c r="C212" s="32"/>
      <c r="D212" s="32"/>
      <c r="E212" s="152"/>
      <c r="F212" s="152"/>
      <c r="G212" s="152"/>
      <c r="H212" s="32"/>
      <c r="I212" s="32"/>
      <c r="J212" s="3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</row>
    <row r="213" spans="1:28" ht="15.75" customHeight="1">
      <c r="A213" s="152"/>
      <c r="B213" s="234"/>
      <c r="C213" s="32"/>
      <c r="D213" s="32"/>
      <c r="E213" s="152"/>
      <c r="F213" s="152"/>
      <c r="G213" s="152"/>
      <c r="H213" s="32"/>
      <c r="I213" s="32"/>
      <c r="J213" s="3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</row>
    <row r="214" spans="1:28" ht="15.75" customHeight="1">
      <c r="A214" s="152"/>
      <c r="B214" s="234"/>
      <c r="C214" s="32"/>
      <c r="D214" s="32"/>
      <c r="E214" s="152"/>
      <c r="F214" s="152"/>
      <c r="G214" s="152"/>
      <c r="H214" s="32"/>
      <c r="I214" s="32"/>
      <c r="J214" s="3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</row>
    <row r="215" spans="1:28" ht="15.75" customHeight="1">
      <c r="A215" s="152"/>
      <c r="B215" s="234"/>
      <c r="C215" s="32"/>
      <c r="D215" s="32"/>
      <c r="E215" s="152"/>
      <c r="F215" s="152"/>
      <c r="G215" s="152"/>
      <c r="H215" s="32"/>
      <c r="I215" s="32"/>
      <c r="J215" s="3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</row>
    <row r="216" spans="1:28" ht="15.75" customHeight="1">
      <c r="A216" s="152"/>
      <c r="B216" s="234"/>
      <c r="C216" s="32"/>
      <c r="D216" s="32"/>
      <c r="E216" s="152"/>
      <c r="F216" s="152"/>
      <c r="G216" s="152"/>
      <c r="H216" s="32"/>
      <c r="I216" s="32"/>
      <c r="J216" s="3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</row>
    <row r="217" spans="1:28" ht="15.75" customHeight="1">
      <c r="A217" s="152"/>
      <c r="B217" s="234"/>
      <c r="C217" s="32"/>
      <c r="D217" s="32"/>
      <c r="E217" s="152"/>
      <c r="F217" s="152"/>
      <c r="G217" s="152"/>
      <c r="H217" s="32"/>
      <c r="I217" s="32"/>
      <c r="J217" s="3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</row>
    <row r="218" spans="1:28" ht="15.75" customHeight="1">
      <c r="A218" s="152"/>
      <c r="B218" s="234"/>
      <c r="C218" s="32"/>
      <c r="D218" s="32"/>
      <c r="E218" s="152"/>
      <c r="F218" s="152"/>
      <c r="G218" s="152"/>
      <c r="H218" s="32"/>
      <c r="I218" s="32"/>
      <c r="J218" s="3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</row>
    <row r="219" spans="1:28" ht="15.75" customHeight="1">
      <c r="A219" s="152"/>
      <c r="B219" s="234"/>
      <c r="C219" s="32"/>
      <c r="D219" s="32"/>
      <c r="E219" s="152"/>
      <c r="F219" s="152"/>
      <c r="G219" s="152"/>
      <c r="H219" s="32"/>
      <c r="I219" s="32"/>
      <c r="J219" s="3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</row>
    <row r="220" spans="1:28" ht="15.75" customHeight="1">
      <c r="A220" s="152"/>
      <c r="B220" s="234"/>
      <c r="C220" s="32"/>
      <c r="D220" s="32"/>
      <c r="E220" s="152"/>
      <c r="F220" s="152"/>
      <c r="G220" s="152"/>
      <c r="H220" s="32"/>
      <c r="I220" s="32"/>
      <c r="J220" s="3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</row>
    <row r="221" spans="1:28" ht="15.75" customHeight="1">
      <c r="A221" s="152"/>
      <c r="B221" s="234"/>
      <c r="C221" s="32"/>
      <c r="D221" s="32"/>
      <c r="E221" s="152"/>
      <c r="F221" s="152"/>
      <c r="G221" s="152"/>
      <c r="H221" s="32"/>
      <c r="I221" s="32"/>
      <c r="J221" s="3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</row>
    <row r="222" spans="1:28" ht="15.75" customHeight="1">
      <c r="A222" s="152"/>
      <c r="B222" s="234"/>
      <c r="C222" s="32"/>
      <c r="D222" s="32"/>
      <c r="E222" s="152"/>
      <c r="F222" s="152"/>
      <c r="G222" s="152"/>
      <c r="H222" s="32"/>
      <c r="I222" s="32"/>
      <c r="J222" s="3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</row>
    <row r="223" spans="1:28" ht="15.75" customHeight="1">
      <c r="A223" s="152"/>
      <c r="B223" s="234"/>
      <c r="C223" s="32"/>
      <c r="D223" s="32"/>
      <c r="E223" s="152"/>
      <c r="F223" s="152"/>
      <c r="G223" s="152"/>
      <c r="H223" s="32"/>
      <c r="I223" s="32"/>
      <c r="J223" s="3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</row>
    <row r="224" spans="1:28" ht="15.75" customHeight="1">
      <c r="A224" s="152"/>
      <c r="B224" s="234"/>
      <c r="C224" s="32"/>
      <c r="D224" s="32"/>
      <c r="E224" s="152"/>
      <c r="F224" s="152"/>
      <c r="G224" s="152"/>
      <c r="H224" s="32"/>
      <c r="I224" s="32"/>
      <c r="J224" s="3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</row>
    <row r="225" spans="1:28" ht="15.75" customHeight="1">
      <c r="A225" s="152"/>
      <c r="B225" s="234"/>
      <c r="C225" s="32"/>
      <c r="D225" s="32"/>
      <c r="E225" s="152"/>
      <c r="F225" s="152"/>
      <c r="G225" s="152"/>
      <c r="H225" s="32"/>
      <c r="I225" s="32"/>
      <c r="J225" s="3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</row>
    <row r="226" spans="1:28" ht="15.75" customHeight="1">
      <c r="A226" s="152"/>
      <c r="B226" s="234"/>
      <c r="C226" s="32"/>
      <c r="D226" s="32"/>
      <c r="E226" s="152"/>
      <c r="F226" s="152"/>
      <c r="G226" s="152"/>
      <c r="H226" s="32"/>
      <c r="I226" s="32"/>
      <c r="J226" s="3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</row>
    <row r="227" spans="1:28" ht="15.75" customHeight="1">
      <c r="A227" s="152"/>
      <c r="B227" s="234"/>
      <c r="C227" s="32"/>
      <c r="D227" s="32"/>
      <c r="E227" s="152"/>
      <c r="F227" s="152"/>
      <c r="G227" s="152"/>
      <c r="H227" s="32"/>
      <c r="I227" s="32"/>
      <c r="J227" s="3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</row>
    <row r="228" spans="1:28" ht="15.75" customHeight="1">
      <c r="A228" s="152"/>
      <c r="B228" s="234"/>
      <c r="C228" s="32"/>
      <c r="D228" s="32"/>
      <c r="E228" s="152"/>
      <c r="F228" s="152"/>
      <c r="G228" s="152"/>
      <c r="H228" s="32"/>
      <c r="I228" s="32"/>
      <c r="J228" s="3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</row>
    <row r="229" spans="1:28" ht="15.75" customHeight="1">
      <c r="A229" s="152"/>
      <c r="B229" s="234"/>
      <c r="C229" s="32"/>
      <c r="D229" s="32"/>
      <c r="E229" s="152"/>
      <c r="F229" s="152"/>
      <c r="G229" s="152"/>
      <c r="H229" s="32"/>
      <c r="I229" s="32"/>
      <c r="J229" s="3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</row>
    <row r="230" spans="1:28" ht="15.75" customHeight="1">
      <c r="A230" s="152"/>
      <c r="B230" s="234"/>
      <c r="C230" s="32"/>
      <c r="D230" s="32"/>
      <c r="E230" s="152"/>
      <c r="F230" s="152"/>
      <c r="G230" s="152"/>
      <c r="H230" s="32"/>
      <c r="I230" s="32"/>
      <c r="J230" s="3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</row>
    <row r="231" spans="1:28" ht="15.75" customHeight="1">
      <c r="A231" s="152"/>
      <c r="B231" s="234"/>
      <c r="C231" s="32"/>
      <c r="D231" s="32"/>
      <c r="E231" s="152"/>
      <c r="F231" s="152"/>
      <c r="G231" s="152"/>
      <c r="H231" s="32"/>
      <c r="I231" s="32"/>
      <c r="J231" s="3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</row>
    <row r="232" spans="1:28" ht="15.75" customHeight="1">
      <c r="A232" s="152"/>
      <c r="B232" s="234"/>
      <c r="C232" s="32"/>
      <c r="D232" s="32"/>
      <c r="E232" s="152"/>
      <c r="F232" s="152"/>
      <c r="G232" s="152"/>
      <c r="H232" s="32"/>
      <c r="I232" s="32"/>
      <c r="J232" s="3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</row>
    <row r="233" spans="1:28" ht="15.75" customHeight="1">
      <c r="A233" s="152"/>
      <c r="B233" s="234"/>
      <c r="C233" s="32"/>
      <c r="D233" s="32"/>
      <c r="E233" s="152"/>
      <c r="F233" s="152"/>
      <c r="G233" s="152"/>
      <c r="H233" s="32"/>
      <c r="I233" s="32"/>
      <c r="J233" s="3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</row>
    <row r="234" spans="1:28" ht="15.75" customHeight="1">
      <c r="A234" s="152"/>
      <c r="B234" s="234"/>
      <c r="C234" s="32"/>
      <c r="D234" s="32"/>
      <c r="E234" s="152"/>
      <c r="F234" s="152"/>
      <c r="G234" s="152"/>
      <c r="H234" s="32"/>
      <c r="I234" s="32"/>
      <c r="J234" s="3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</row>
    <row r="235" spans="1:28" ht="15.75" customHeight="1">
      <c r="A235" s="152"/>
      <c r="B235" s="234"/>
      <c r="C235" s="32"/>
      <c r="D235" s="32"/>
      <c r="E235" s="152"/>
      <c r="F235" s="152"/>
      <c r="G235" s="152"/>
      <c r="H235" s="32"/>
      <c r="I235" s="32"/>
      <c r="J235" s="3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</row>
    <row r="236" spans="1:28" ht="15.75" customHeight="1">
      <c r="A236" s="152"/>
      <c r="B236" s="234"/>
      <c r="C236" s="32"/>
      <c r="D236" s="32"/>
      <c r="E236" s="152"/>
      <c r="F236" s="152"/>
      <c r="G236" s="152"/>
      <c r="H236" s="32"/>
      <c r="I236" s="32"/>
      <c r="J236" s="3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</row>
    <row r="237" spans="1:28" ht="15.75" customHeight="1">
      <c r="A237" s="152"/>
      <c r="B237" s="234"/>
      <c r="C237" s="32"/>
      <c r="D237" s="32"/>
      <c r="E237" s="152"/>
      <c r="F237" s="152"/>
      <c r="G237" s="152"/>
      <c r="H237" s="32"/>
      <c r="I237" s="32"/>
      <c r="J237" s="3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</row>
    <row r="238" spans="1:28" ht="15.75" customHeight="1">
      <c r="A238" s="152"/>
      <c r="B238" s="234"/>
      <c r="C238" s="32"/>
      <c r="D238" s="32"/>
      <c r="E238" s="152"/>
      <c r="F238" s="152"/>
      <c r="G238" s="152"/>
      <c r="H238" s="32"/>
      <c r="I238" s="32"/>
      <c r="J238" s="3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</row>
    <row r="239" spans="1:28" ht="15.75" customHeight="1">
      <c r="A239" s="152"/>
      <c r="B239" s="234"/>
      <c r="C239" s="32"/>
      <c r="D239" s="32"/>
      <c r="E239" s="152"/>
      <c r="F239" s="152"/>
      <c r="G239" s="152"/>
      <c r="H239" s="32"/>
      <c r="I239" s="32"/>
      <c r="J239" s="3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</row>
    <row r="240" spans="1:28" ht="15.75" customHeight="1">
      <c r="A240" s="152"/>
      <c r="B240" s="234"/>
      <c r="C240" s="32"/>
      <c r="D240" s="32"/>
      <c r="E240" s="152"/>
      <c r="F240" s="152"/>
      <c r="G240" s="152"/>
      <c r="H240" s="32"/>
      <c r="I240" s="32"/>
      <c r="J240" s="3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</row>
    <row r="241" spans="1:28" ht="15.75" customHeight="1">
      <c r="A241" s="152"/>
      <c r="B241" s="234"/>
      <c r="C241" s="32"/>
      <c r="D241" s="32"/>
      <c r="E241" s="152"/>
      <c r="F241" s="152"/>
      <c r="G241" s="152"/>
      <c r="H241" s="32"/>
      <c r="I241" s="32"/>
      <c r="J241" s="3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</row>
    <row r="242" spans="1:28" ht="15.75" customHeight="1">
      <c r="A242" s="152"/>
      <c r="B242" s="234"/>
      <c r="C242" s="32"/>
      <c r="D242" s="32"/>
      <c r="E242" s="152"/>
      <c r="F242" s="152"/>
      <c r="G242" s="152"/>
      <c r="H242" s="32"/>
      <c r="I242" s="32"/>
      <c r="J242" s="3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</row>
    <row r="243" spans="1:28" ht="15.75" customHeight="1">
      <c r="A243" s="152"/>
      <c r="B243" s="234"/>
      <c r="C243" s="32"/>
      <c r="D243" s="32"/>
      <c r="E243" s="152"/>
      <c r="F243" s="152"/>
      <c r="G243" s="152"/>
      <c r="H243" s="32"/>
      <c r="I243" s="32"/>
      <c r="J243" s="3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</row>
    <row r="244" spans="1:28" ht="15.75" customHeight="1">
      <c r="A244" s="152"/>
      <c r="B244" s="234"/>
      <c r="C244" s="32"/>
      <c r="D244" s="32"/>
      <c r="E244" s="152"/>
      <c r="F244" s="152"/>
      <c r="G244" s="152"/>
      <c r="H244" s="32"/>
      <c r="I244" s="32"/>
      <c r="J244" s="3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</row>
    <row r="245" spans="1:28" ht="15.75" customHeight="1">
      <c r="A245" s="152"/>
      <c r="B245" s="234"/>
      <c r="C245" s="32"/>
      <c r="D245" s="32"/>
      <c r="E245" s="152"/>
      <c r="F245" s="152"/>
      <c r="G245" s="152"/>
      <c r="H245" s="32"/>
      <c r="I245" s="32"/>
      <c r="J245" s="3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</row>
    <row r="246" spans="1:28" ht="15.75" customHeight="1">
      <c r="A246" s="152"/>
      <c r="B246" s="234"/>
      <c r="C246" s="32"/>
      <c r="D246" s="32"/>
      <c r="E246" s="152"/>
      <c r="F246" s="152"/>
      <c r="G246" s="152"/>
      <c r="H246" s="32"/>
      <c r="I246" s="32"/>
      <c r="J246" s="3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</row>
    <row r="247" spans="1:28" ht="15.75" customHeight="1">
      <c r="A247" s="152"/>
      <c r="B247" s="234"/>
      <c r="C247" s="32"/>
      <c r="D247" s="32"/>
      <c r="E247" s="152"/>
      <c r="F247" s="152"/>
      <c r="G247" s="152"/>
      <c r="H247" s="32"/>
      <c r="I247" s="32"/>
      <c r="J247" s="3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</row>
    <row r="248" spans="1:28" ht="15.75" customHeight="1">
      <c r="A248" s="152"/>
      <c r="B248" s="234"/>
      <c r="C248" s="32"/>
      <c r="D248" s="32"/>
      <c r="E248" s="152"/>
      <c r="F248" s="152"/>
      <c r="G248" s="152"/>
      <c r="H248" s="32"/>
      <c r="I248" s="32"/>
      <c r="J248" s="3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</row>
    <row r="249" spans="1:28" ht="15.75" customHeight="1">
      <c r="A249" s="152"/>
      <c r="B249" s="234"/>
      <c r="C249" s="32"/>
      <c r="D249" s="32"/>
      <c r="E249" s="152"/>
      <c r="F249" s="152"/>
      <c r="G249" s="152"/>
      <c r="H249" s="32"/>
      <c r="I249" s="32"/>
      <c r="J249" s="3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</row>
    <row r="250" spans="1:28" ht="15.75" customHeight="1">
      <c r="A250" s="152"/>
      <c r="B250" s="234"/>
      <c r="C250" s="32"/>
      <c r="D250" s="32"/>
      <c r="E250" s="152"/>
      <c r="F250" s="152"/>
      <c r="G250" s="152"/>
      <c r="H250" s="32"/>
      <c r="I250" s="32"/>
      <c r="J250" s="3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</row>
    <row r="251" spans="1:28" ht="15.75" customHeight="1">
      <c r="A251" s="152"/>
      <c r="B251" s="234"/>
      <c r="C251" s="32"/>
      <c r="D251" s="32"/>
      <c r="E251" s="152"/>
      <c r="F251" s="152"/>
      <c r="G251" s="152"/>
      <c r="H251" s="32"/>
      <c r="I251" s="32"/>
      <c r="J251" s="3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</row>
    <row r="252" spans="1:28" ht="15.75" customHeight="1">
      <c r="A252" s="152"/>
      <c r="B252" s="234"/>
      <c r="C252" s="32"/>
      <c r="D252" s="32"/>
      <c r="E252" s="152"/>
      <c r="F252" s="152"/>
      <c r="G252" s="152"/>
      <c r="H252" s="32"/>
      <c r="I252" s="32"/>
      <c r="J252" s="3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</row>
    <row r="253" spans="1:28" ht="15.75" customHeight="1">
      <c r="A253" s="152"/>
      <c r="B253" s="234"/>
      <c r="C253" s="32"/>
      <c r="D253" s="32"/>
      <c r="E253" s="152"/>
      <c r="F253" s="152"/>
      <c r="G253" s="152"/>
      <c r="H253" s="32"/>
      <c r="I253" s="32"/>
      <c r="J253" s="3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</row>
    <row r="254" spans="1:28" ht="15.75" customHeight="1">
      <c r="A254" s="152"/>
      <c r="B254" s="234"/>
      <c r="C254" s="32"/>
      <c r="D254" s="32"/>
      <c r="E254" s="152"/>
      <c r="F254" s="152"/>
      <c r="G254" s="152"/>
      <c r="H254" s="32"/>
      <c r="I254" s="32"/>
      <c r="J254" s="3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</row>
    <row r="255" spans="1:28" ht="15.75" customHeight="1">
      <c r="A255" s="152"/>
      <c r="B255" s="234"/>
      <c r="C255" s="32"/>
      <c r="D255" s="32"/>
      <c r="E255" s="152"/>
      <c r="F255" s="152"/>
      <c r="G255" s="152"/>
      <c r="H255" s="32"/>
      <c r="I255" s="32"/>
      <c r="J255" s="3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</row>
    <row r="256" spans="1:28" ht="15.75" customHeight="1">
      <c r="A256" s="152"/>
      <c r="B256" s="234"/>
      <c r="C256" s="32"/>
      <c r="D256" s="32"/>
      <c r="E256" s="152"/>
      <c r="F256" s="152"/>
      <c r="G256" s="152"/>
      <c r="H256" s="32"/>
      <c r="I256" s="32"/>
      <c r="J256" s="3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</row>
    <row r="257" spans="1:28" ht="15.75" customHeight="1">
      <c r="A257" s="152"/>
      <c r="B257" s="234"/>
      <c r="C257" s="32"/>
      <c r="D257" s="32"/>
      <c r="E257" s="152"/>
      <c r="F257" s="152"/>
      <c r="G257" s="152"/>
      <c r="H257" s="32"/>
      <c r="I257" s="32"/>
      <c r="J257" s="3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</row>
    <row r="258" spans="1:28" ht="15.75" customHeight="1">
      <c r="A258" s="152"/>
      <c r="B258" s="234"/>
      <c r="C258" s="32"/>
      <c r="D258" s="32"/>
      <c r="E258" s="152"/>
      <c r="F258" s="152"/>
      <c r="G258" s="152"/>
      <c r="H258" s="32"/>
      <c r="I258" s="32"/>
      <c r="J258" s="3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</row>
    <row r="259" spans="1:28" ht="15.75" customHeight="1">
      <c r="A259" s="152"/>
      <c r="B259" s="234"/>
      <c r="C259" s="32"/>
      <c r="D259" s="32"/>
      <c r="E259" s="152"/>
      <c r="F259" s="152"/>
      <c r="G259" s="152"/>
      <c r="H259" s="32"/>
      <c r="I259" s="32"/>
      <c r="J259" s="3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</row>
    <row r="260" spans="1:28" ht="15.75" customHeight="1">
      <c r="A260" s="152"/>
      <c r="B260" s="234"/>
      <c r="C260" s="32"/>
      <c r="D260" s="32"/>
      <c r="E260" s="152"/>
      <c r="F260" s="152"/>
      <c r="G260" s="152"/>
      <c r="H260" s="32"/>
      <c r="I260" s="32"/>
      <c r="J260" s="3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</row>
    <row r="261" spans="1:28" ht="15.75" customHeight="1">
      <c r="A261" s="152"/>
      <c r="B261" s="234"/>
      <c r="C261" s="32"/>
      <c r="D261" s="32"/>
      <c r="E261" s="152"/>
      <c r="F261" s="152"/>
      <c r="G261" s="152"/>
      <c r="H261" s="32"/>
      <c r="I261" s="32"/>
      <c r="J261" s="3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</row>
    <row r="262" spans="1:28" ht="15.75" customHeight="1">
      <c r="A262" s="152"/>
      <c r="B262" s="234"/>
      <c r="C262" s="32"/>
      <c r="D262" s="32"/>
      <c r="E262" s="152"/>
      <c r="F262" s="152"/>
      <c r="G262" s="152"/>
      <c r="H262" s="32"/>
      <c r="I262" s="32"/>
      <c r="J262" s="3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</row>
    <row r="263" spans="1:28" ht="15.75" customHeight="1">
      <c r="A263" s="152"/>
      <c r="B263" s="234"/>
      <c r="C263" s="32"/>
      <c r="D263" s="32"/>
      <c r="E263" s="152"/>
      <c r="F263" s="152"/>
      <c r="G263" s="152"/>
      <c r="H263" s="32"/>
      <c r="I263" s="32"/>
      <c r="J263" s="3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</row>
    <row r="264" spans="1:28" ht="15.75" customHeight="1">
      <c r="A264" s="152"/>
      <c r="B264" s="234"/>
      <c r="C264" s="32"/>
      <c r="D264" s="32"/>
      <c r="E264" s="152"/>
      <c r="F264" s="152"/>
      <c r="G264" s="152"/>
      <c r="H264" s="32"/>
      <c r="I264" s="32"/>
      <c r="J264" s="3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</row>
    <row r="265" spans="1:28" ht="15.75" customHeight="1">
      <c r="A265" s="152"/>
      <c r="B265" s="234"/>
      <c r="C265" s="32"/>
      <c r="D265" s="32"/>
      <c r="E265" s="152"/>
      <c r="F265" s="152"/>
      <c r="G265" s="152"/>
      <c r="H265" s="32"/>
      <c r="I265" s="32"/>
      <c r="J265" s="3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</row>
    <row r="266" spans="1:28" ht="15.75" customHeight="1">
      <c r="A266" s="152"/>
      <c r="B266" s="234"/>
      <c r="C266" s="32"/>
      <c r="D266" s="32"/>
      <c r="E266" s="152"/>
      <c r="F266" s="152"/>
      <c r="G266" s="152"/>
      <c r="H266" s="32"/>
      <c r="I266" s="32"/>
      <c r="J266" s="3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</row>
    <row r="267" spans="1:28" ht="15.75" customHeight="1">
      <c r="A267" s="152"/>
      <c r="B267" s="234"/>
      <c r="C267" s="32"/>
      <c r="D267" s="32"/>
      <c r="E267" s="152"/>
      <c r="F267" s="152"/>
      <c r="G267" s="152"/>
      <c r="H267" s="32"/>
      <c r="I267" s="32"/>
      <c r="J267" s="3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</row>
    <row r="268" spans="1:28" ht="15.75" customHeight="1">
      <c r="A268" s="152"/>
      <c r="B268" s="234"/>
      <c r="C268" s="32"/>
      <c r="D268" s="32"/>
      <c r="E268" s="152"/>
      <c r="F268" s="152"/>
      <c r="G268" s="152"/>
      <c r="H268" s="32"/>
      <c r="I268" s="32"/>
      <c r="J268" s="3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</row>
    <row r="269" spans="1:28" ht="15.75" customHeight="1">
      <c r="A269" s="152"/>
      <c r="B269" s="234"/>
      <c r="C269" s="32"/>
      <c r="D269" s="32"/>
      <c r="E269" s="152"/>
      <c r="F269" s="152"/>
      <c r="G269" s="152"/>
      <c r="H269" s="32"/>
      <c r="I269" s="32"/>
      <c r="J269" s="3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</row>
    <row r="270" spans="1:28" ht="15.75" customHeight="1">
      <c r="A270" s="152"/>
      <c r="B270" s="234"/>
      <c r="C270" s="32"/>
      <c r="D270" s="32"/>
      <c r="E270" s="152"/>
      <c r="F270" s="152"/>
      <c r="G270" s="152"/>
      <c r="H270" s="32"/>
      <c r="I270" s="32"/>
      <c r="J270" s="3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</row>
    <row r="271" spans="1:28" ht="15.75" customHeight="1">
      <c r="A271" s="152"/>
      <c r="B271" s="234"/>
      <c r="C271" s="32"/>
      <c r="D271" s="32"/>
      <c r="E271" s="152"/>
      <c r="F271" s="152"/>
      <c r="G271" s="152"/>
      <c r="H271" s="32"/>
      <c r="I271" s="32"/>
      <c r="J271" s="3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</row>
    <row r="272" spans="1:28" ht="15.75" customHeight="1">
      <c r="A272" s="152"/>
      <c r="B272" s="234"/>
      <c r="C272" s="32"/>
      <c r="D272" s="32"/>
      <c r="E272" s="152"/>
      <c r="F272" s="152"/>
      <c r="G272" s="152"/>
      <c r="H272" s="32"/>
      <c r="I272" s="32"/>
      <c r="J272" s="3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</row>
    <row r="273" spans="1:28" ht="15.75" customHeight="1">
      <c r="A273" s="152"/>
      <c r="B273" s="234"/>
      <c r="C273" s="32"/>
      <c r="D273" s="32"/>
      <c r="E273" s="152"/>
      <c r="F273" s="152"/>
      <c r="G273" s="152"/>
      <c r="H273" s="32"/>
      <c r="I273" s="32"/>
      <c r="J273" s="3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</row>
    <row r="274" spans="1:28" ht="15.75" customHeight="1">
      <c r="A274" s="152"/>
      <c r="B274" s="234"/>
      <c r="C274" s="32"/>
      <c r="D274" s="32"/>
      <c r="E274" s="152"/>
      <c r="F274" s="152"/>
      <c r="G274" s="152"/>
      <c r="H274" s="32"/>
      <c r="I274" s="32"/>
      <c r="J274" s="3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</row>
    <row r="275" spans="1:28" ht="15.75" customHeight="1">
      <c r="A275" s="152"/>
      <c r="B275" s="234"/>
      <c r="C275" s="32"/>
      <c r="D275" s="32"/>
      <c r="E275" s="152"/>
      <c r="F275" s="152"/>
      <c r="G275" s="152"/>
      <c r="H275" s="32"/>
      <c r="I275" s="32"/>
      <c r="J275" s="3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</row>
    <row r="276" spans="1:28" ht="15.75" customHeight="1">
      <c r="A276" s="152"/>
      <c r="B276" s="234"/>
      <c r="C276" s="32"/>
      <c r="D276" s="32"/>
      <c r="E276" s="152"/>
      <c r="F276" s="152"/>
      <c r="G276" s="152"/>
      <c r="H276" s="32"/>
      <c r="I276" s="32"/>
      <c r="J276" s="3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</row>
    <row r="277" spans="1:28" ht="15.75" customHeight="1">
      <c r="A277" s="152"/>
      <c r="B277" s="234"/>
      <c r="C277" s="32"/>
      <c r="D277" s="32"/>
      <c r="E277" s="152"/>
      <c r="F277" s="152"/>
      <c r="G277" s="152"/>
      <c r="H277" s="32"/>
      <c r="I277" s="32"/>
      <c r="J277" s="3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</row>
    <row r="278" spans="1:28" ht="15.75" customHeight="1">
      <c r="A278" s="152"/>
      <c r="B278" s="234"/>
      <c r="C278" s="32"/>
      <c r="D278" s="32"/>
      <c r="E278" s="152"/>
      <c r="F278" s="152"/>
      <c r="G278" s="152"/>
      <c r="H278" s="32"/>
      <c r="I278" s="32"/>
      <c r="J278" s="3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</row>
    <row r="279" spans="1:28" ht="15.75" customHeight="1">
      <c r="A279" s="152"/>
      <c r="B279" s="234"/>
      <c r="C279" s="32"/>
      <c r="D279" s="32"/>
      <c r="E279" s="152"/>
      <c r="F279" s="152"/>
      <c r="G279" s="152"/>
      <c r="H279" s="32"/>
      <c r="I279" s="32"/>
      <c r="J279" s="3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</row>
    <row r="280" spans="1:28" ht="15.75" customHeight="1">
      <c r="A280" s="152"/>
      <c r="B280" s="234"/>
      <c r="C280" s="32"/>
      <c r="D280" s="32"/>
      <c r="E280" s="152"/>
      <c r="F280" s="152"/>
      <c r="G280" s="152"/>
      <c r="H280" s="32"/>
      <c r="I280" s="32"/>
      <c r="J280" s="3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</row>
    <row r="281" spans="1:28" ht="15.75" customHeight="1">
      <c r="A281" s="152"/>
      <c r="B281" s="234"/>
      <c r="C281" s="32"/>
      <c r="D281" s="32"/>
      <c r="E281" s="152"/>
      <c r="F281" s="152"/>
      <c r="G281" s="152"/>
      <c r="H281" s="32"/>
      <c r="I281" s="32"/>
      <c r="J281" s="3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</row>
    <row r="282" spans="1:28" ht="15.75" customHeight="1">
      <c r="A282" s="152"/>
      <c r="B282" s="234"/>
      <c r="C282" s="32"/>
      <c r="D282" s="32"/>
      <c r="E282" s="152"/>
      <c r="F282" s="152"/>
      <c r="G282" s="152"/>
      <c r="H282" s="32"/>
      <c r="I282" s="32"/>
      <c r="J282" s="3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</row>
    <row r="283" spans="1:28" ht="15.75" customHeight="1">
      <c r="A283" s="152"/>
      <c r="B283" s="234"/>
      <c r="C283" s="32"/>
      <c r="D283" s="32"/>
      <c r="E283" s="152"/>
      <c r="F283" s="152"/>
      <c r="G283" s="152"/>
      <c r="H283" s="32"/>
      <c r="I283" s="32"/>
      <c r="J283" s="3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</row>
    <row r="284" spans="1:28" ht="15.75" customHeight="1">
      <c r="A284" s="152"/>
      <c r="B284" s="234"/>
      <c r="C284" s="32"/>
      <c r="D284" s="32"/>
      <c r="E284" s="152"/>
      <c r="F284" s="152"/>
      <c r="G284" s="152"/>
      <c r="H284" s="32"/>
      <c r="I284" s="32"/>
      <c r="J284" s="3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</row>
    <row r="285" spans="1:28" ht="15.75" customHeight="1">
      <c r="A285" s="152"/>
      <c r="B285" s="234"/>
      <c r="C285" s="32"/>
      <c r="D285" s="32"/>
      <c r="E285" s="152"/>
      <c r="F285" s="152"/>
      <c r="G285" s="152"/>
      <c r="H285" s="32"/>
      <c r="I285" s="32"/>
      <c r="J285" s="3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</row>
    <row r="286" spans="1:28" ht="15.75" customHeight="1">
      <c r="A286" s="152"/>
      <c r="B286" s="234"/>
      <c r="C286" s="32"/>
      <c r="D286" s="32"/>
      <c r="E286" s="152"/>
      <c r="F286" s="152"/>
      <c r="G286" s="152"/>
      <c r="H286" s="32"/>
      <c r="I286" s="32"/>
      <c r="J286" s="3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</row>
    <row r="287" spans="1:28" ht="15.75" customHeight="1">
      <c r="A287" s="152"/>
      <c r="B287" s="234"/>
      <c r="C287" s="32"/>
      <c r="D287" s="32"/>
      <c r="E287" s="152"/>
      <c r="F287" s="152"/>
      <c r="G287" s="152"/>
      <c r="H287" s="32"/>
      <c r="I287" s="32"/>
      <c r="J287" s="3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</row>
    <row r="288" spans="1:28" ht="15.75" customHeight="1">
      <c r="A288" s="152"/>
      <c r="B288" s="234"/>
      <c r="C288" s="32"/>
      <c r="D288" s="32"/>
      <c r="E288" s="152"/>
      <c r="F288" s="152"/>
      <c r="G288" s="152"/>
      <c r="H288" s="32"/>
      <c r="I288" s="32"/>
      <c r="J288" s="3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</row>
    <row r="289" spans="1:28" ht="15.75" customHeight="1">
      <c r="A289" s="152"/>
      <c r="B289" s="234"/>
      <c r="C289" s="32"/>
      <c r="D289" s="32"/>
      <c r="E289" s="152"/>
      <c r="F289" s="152"/>
      <c r="G289" s="152"/>
      <c r="H289" s="32"/>
      <c r="I289" s="32"/>
      <c r="J289" s="3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</row>
    <row r="290" spans="1:28" ht="15.75" customHeight="1">
      <c r="A290" s="152"/>
      <c r="B290" s="234"/>
      <c r="C290" s="32"/>
      <c r="D290" s="32"/>
      <c r="E290" s="152"/>
      <c r="F290" s="152"/>
      <c r="G290" s="152"/>
      <c r="H290" s="32"/>
      <c r="I290" s="32"/>
      <c r="J290" s="3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</row>
    <row r="291" spans="1:28" ht="15.75" customHeight="1">
      <c r="A291" s="152"/>
      <c r="B291" s="234"/>
      <c r="C291" s="32"/>
      <c r="D291" s="32"/>
      <c r="E291" s="152"/>
      <c r="F291" s="152"/>
      <c r="G291" s="152"/>
      <c r="H291" s="32"/>
      <c r="I291" s="32"/>
      <c r="J291" s="3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</row>
    <row r="292" spans="1:28" ht="15.75" customHeight="1">
      <c r="A292" s="152"/>
      <c r="B292" s="234"/>
      <c r="C292" s="32"/>
      <c r="D292" s="32"/>
      <c r="E292" s="152"/>
      <c r="F292" s="152"/>
      <c r="G292" s="152"/>
      <c r="H292" s="32"/>
      <c r="I292" s="32"/>
      <c r="J292" s="3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</row>
    <row r="293" spans="1:28" ht="15.75" customHeight="1">
      <c r="A293" s="152"/>
      <c r="B293" s="234"/>
      <c r="C293" s="32"/>
      <c r="D293" s="32"/>
      <c r="E293" s="152"/>
      <c r="F293" s="152"/>
      <c r="G293" s="152"/>
      <c r="H293" s="32"/>
      <c r="I293" s="32"/>
      <c r="J293" s="3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</row>
    <row r="294" spans="1:28" ht="15.75" customHeight="1">
      <c r="A294" s="152"/>
      <c r="B294" s="234"/>
      <c r="C294" s="32"/>
      <c r="D294" s="32"/>
      <c r="E294" s="152"/>
      <c r="F294" s="152"/>
      <c r="G294" s="152"/>
      <c r="H294" s="32"/>
      <c r="I294" s="32"/>
      <c r="J294" s="3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</row>
    <row r="295" spans="1:28" ht="15.75" customHeight="1">
      <c r="A295" s="152"/>
      <c r="B295" s="234"/>
      <c r="C295" s="32"/>
      <c r="D295" s="32"/>
      <c r="E295" s="152"/>
      <c r="F295" s="152"/>
      <c r="G295" s="152"/>
      <c r="H295" s="32"/>
      <c r="I295" s="32"/>
      <c r="J295" s="3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</row>
    <row r="296" spans="1:28" ht="15.75" customHeight="1">
      <c r="A296" s="152"/>
      <c r="B296" s="234"/>
      <c r="C296" s="32"/>
      <c r="D296" s="32"/>
      <c r="E296" s="152"/>
      <c r="F296" s="152"/>
      <c r="G296" s="152"/>
      <c r="H296" s="32"/>
      <c r="I296" s="32"/>
      <c r="J296" s="3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</row>
    <row r="297" spans="1:28" ht="15.75" customHeight="1">
      <c r="A297" s="152"/>
      <c r="B297" s="234"/>
      <c r="C297" s="32"/>
      <c r="D297" s="32"/>
      <c r="E297" s="152"/>
      <c r="F297" s="152"/>
      <c r="G297" s="152"/>
      <c r="H297" s="32"/>
      <c r="I297" s="32"/>
      <c r="J297" s="3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</row>
    <row r="298" spans="1:28" ht="15.75" customHeight="1">
      <c r="A298" s="152"/>
      <c r="B298" s="234"/>
      <c r="C298" s="32"/>
      <c r="D298" s="32"/>
      <c r="E298" s="152"/>
      <c r="F298" s="152"/>
      <c r="G298" s="152"/>
      <c r="H298" s="32"/>
      <c r="I298" s="32"/>
      <c r="J298" s="3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</row>
    <row r="299" spans="1:28" ht="15.75" customHeight="1">
      <c r="A299" s="152"/>
      <c r="B299" s="234"/>
      <c r="C299" s="32"/>
      <c r="D299" s="32"/>
      <c r="E299" s="152"/>
      <c r="F299" s="152"/>
      <c r="G299" s="152"/>
      <c r="H299" s="32"/>
      <c r="I299" s="32"/>
      <c r="J299" s="3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</row>
    <row r="300" spans="1:28" ht="15.75" customHeight="1">
      <c r="A300" s="152"/>
      <c r="B300" s="234"/>
      <c r="C300" s="32"/>
      <c r="D300" s="32"/>
      <c r="E300" s="152"/>
      <c r="F300" s="152"/>
      <c r="G300" s="152"/>
      <c r="H300" s="32"/>
      <c r="I300" s="32"/>
      <c r="J300" s="3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</row>
    <row r="301" spans="1:28" ht="15.75" customHeight="1">
      <c r="A301" s="152"/>
      <c r="B301" s="234"/>
      <c r="C301" s="32"/>
      <c r="D301" s="32"/>
      <c r="E301" s="152"/>
      <c r="F301" s="152"/>
      <c r="G301" s="152"/>
      <c r="H301" s="32"/>
      <c r="I301" s="32"/>
      <c r="J301" s="3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</row>
    <row r="302" spans="1:28" ht="15.75" customHeight="1">
      <c r="A302" s="152"/>
      <c r="B302" s="234"/>
      <c r="C302" s="32"/>
      <c r="D302" s="32"/>
      <c r="E302" s="152"/>
      <c r="F302" s="152"/>
      <c r="G302" s="152"/>
      <c r="H302" s="32"/>
      <c r="I302" s="32"/>
      <c r="J302" s="3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</row>
    <row r="303" spans="1:28" ht="15.75" customHeight="1">
      <c r="A303" s="152"/>
      <c r="B303" s="234"/>
      <c r="C303" s="32"/>
      <c r="D303" s="32"/>
      <c r="E303" s="152"/>
      <c r="F303" s="152"/>
      <c r="G303" s="152"/>
      <c r="H303" s="32"/>
      <c r="I303" s="32"/>
      <c r="J303" s="3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</row>
    <row r="304" spans="1:28" ht="15.75" customHeight="1">
      <c r="A304" s="152"/>
      <c r="B304" s="234"/>
      <c r="C304" s="32"/>
      <c r="D304" s="32"/>
      <c r="E304" s="152"/>
      <c r="F304" s="152"/>
      <c r="G304" s="152"/>
      <c r="H304" s="32"/>
      <c r="I304" s="32"/>
      <c r="J304" s="3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</row>
    <row r="305" spans="1:28" ht="15.75" customHeight="1">
      <c r="A305" s="152"/>
      <c r="B305" s="234"/>
      <c r="C305" s="32"/>
      <c r="D305" s="32"/>
      <c r="E305" s="152"/>
      <c r="F305" s="152"/>
      <c r="G305" s="152"/>
      <c r="H305" s="32"/>
      <c r="I305" s="32"/>
      <c r="J305" s="3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</row>
    <row r="306" spans="1:28" ht="15.75" customHeight="1">
      <c r="A306" s="152"/>
      <c r="B306" s="234"/>
      <c r="C306" s="32"/>
      <c r="D306" s="32"/>
      <c r="E306" s="152"/>
      <c r="F306" s="152"/>
      <c r="G306" s="152"/>
      <c r="H306" s="32"/>
      <c r="I306" s="32"/>
      <c r="J306" s="3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</row>
    <row r="307" spans="1:28" ht="15.75" customHeight="1">
      <c r="A307" s="152"/>
      <c r="B307" s="234"/>
      <c r="C307" s="32"/>
      <c r="D307" s="32"/>
      <c r="E307" s="152"/>
      <c r="F307" s="152"/>
      <c r="G307" s="152"/>
      <c r="H307" s="32"/>
      <c r="I307" s="32"/>
      <c r="J307" s="3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</row>
    <row r="308" spans="1:28" ht="15.75" customHeight="1">
      <c r="A308" s="152"/>
      <c r="B308" s="234"/>
      <c r="C308" s="32"/>
      <c r="D308" s="32"/>
      <c r="E308" s="152"/>
      <c r="F308" s="152"/>
      <c r="G308" s="152"/>
      <c r="H308" s="32"/>
      <c r="I308" s="32"/>
      <c r="J308" s="3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</row>
    <row r="309" spans="1:28" ht="15.75" customHeight="1">
      <c r="A309" s="152"/>
      <c r="B309" s="234"/>
      <c r="C309" s="32"/>
      <c r="D309" s="32"/>
      <c r="E309" s="152"/>
      <c r="F309" s="152"/>
      <c r="G309" s="152"/>
      <c r="H309" s="32"/>
      <c r="I309" s="32"/>
      <c r="J309" s="3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</row>
    <row r="310" spans="1:28" ht="15.75" customHeight="1">
      <c r="A310" s="152"/>
      <c r="B310" s="234"/>
      <c r="C310" s="32"/>
      <c r="D310" s="32"/>
      <c r="E310" s="152"/>
      <c r="F310" s="152"/>
      <c r="G310" s="152"/>
      <c r="H310" s="32"/>
      <c r="I310" s="32"/>
      <c r="J310" s="3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</row>
    <row r="311" spans="1:28" ht="15.75" customHeight="1">
      <c r="A311" s="152"/>
      <c r="B311" s="234"/>
      <c r="C311" s="32"/>
      <c r="D311" s="32"/>
      <c r="E311" s="152"/>
      <c r="F311" s="152"/>
      <c r="G311" s="152"/>
      <c r="H311" s="32"/>
      <c r="I311" s="32"/>
      <c r="J311" s="3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</row>
    <row r="312" spans="1:28" ht="15.75" customHeight="1">
      <c r="A312" s="152"/>
      <c r="B312" s="234"/>
      <c r="C312" s="32"/>
      <c r="D312" s="32"/>
      <c r="E312" s="152"/>
      <c r="F312" s="152"/>
      <c r="G312" s="152"/>
      <c r="H312" s="32"/>
      <c r="I312" s="32"/>
      <c r="J312" s="3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</row>
    <row r="313" spans="1:28" ht="15.75" customHeight="1">
      <c r="A313" s="152"/>
      <c r="B313" s="234"/>
      <c r="C313" s="32"/>
      <c r="D313" s="32"/>
      <c r="E313" s="152"/>
      <c r="F313" s="152"/>
      <c r="G313" s="152"/>
      <c r="H313" s="32"/>
      <c r="I313" s="32"/>
      <c r="J313" s="3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</row>
    <row r="314" spans="1:28" ht="15.75" customHeight="1">
      <c r="A314" s="152"/>
      <c r="B314" s="234"/>
      <c r="C314" s="32"/>
      <c r="D314" s="32"/>
      <c r="E314" s="152"/>
      <c r="F314" s="152"/>
      <c r="G314" s="152"/>
      <c r="H314" s="32"/>
      <c r="I314" s="32"/>
      <c r="J314" s="3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</row>
    <row r="315" spans="1:28" ht="15.75" customHeight="1">
      <c r="A315" s="152"/>
      <c r="B315" s="234"/>
      <c r="C315" s="32"/>
      <c r="D315" s="32"/>
      <c r="E315" s="152"/>
      <c r="F315" s="152"/>
      <c r="G315" s="152"/>
      <c r="H315" s="32"/>
      <c r="I315" s="32"/>
      <c r="J315" s="3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</row>
    <row r="316" spans="1:28" ht="15.75" customHeight="1">
      <c r="A316" s="152"/>
      <c r="B316" s="234"/>
      <c r="C316" s="32"/>
      <c r="D316" s="32"/>
      <c r="E316" s="152"/>
      <c r="F316" s="152"/>
      <c r="G316" s="152"/>
      <c r="H316" s="32"/>
      <c r="I316" s="32"/>
      <c r="J316" s="3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</row>
    <row r="317" spans="1:28" ht="15.75" customHeight="1">
      <c r="A317" s="152"/>
      <c r="B317" s="234"/>
      <c r="C317" s="32"/>
      <c r="D317" s="32"/>
      <c r="E317" s="152"/>
      <c r="F317" s="152"/>
      <c r="G317" s="152"/>
      <c r="H317" s="32"/>
      <c r="I317" s="32"/>
      <c r="J317" s="3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</row>
    <row r="318" spans="1:28" ht="15.75" customHeight="1">
      <c r="A318" s="152"/>
      <c r="B318" s="234"/>
      <c r="C318" s="32"/>
      <c r="D318" s="32"/>
      <c r="E318" s="152"/>
      <c r="F318" s="152"/>
      <c r="G318" s="152"/>
      <c r="H318" s="32"/>
      <c r="I318" s="32"/>
      <c r="J318" s="3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</row>
    <row r="319" spans="1:28" ht="15.75" customHeight="1">
      <c r="A319" s="152"/>
      <c r="B319" s="234"/>
      <c r="C319" s="32"/>
      <c r="D319" s="32"/>
      <c r="E319" s="152"/>
      <c r="F319" s="152"/>
      <c r="G319" s="152"/>
      <c r="H319" s="32"/>
      <c r="I319" s="32"/>
      <c r="J319" s="3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</row>
    <row r="320" spans="1:28" ht="15.75" customHeight="1">
      <c r="A320" s="152"/>
      <c r="B320" s="234"/>
      <c r="C320" s="32"/>
      <c r="D320" s="32"/>
      <c r="E320" s="152"/>
      <c r="F320" s="152"/>
      <c r="G320" s="152"/>
      <c r="H320" s="32"/>
      <c r="I320" s="32"/>
      <c r="J320" s="3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</row>
    <row r="321" spans="1:28" ht="15.75" customHeight="1">
      <c r="A321" s="152"/>
      <c r="B321" s="234"/>
      <c r="C321" s="32"/>
      <c r="D321" s="32"/>
      <c r="E321" s="152"/>
      <c r="F321" s="152"/>
      <c r="G321" s="152"/>
      <c r="H321" s="32"/>
      <c r="I321" s="32"/>
      <c r="J321" s="3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</row>
    <row r="322" spans="1:28" ht="15.75" customHeight="1">
      <c r="A322" s="152"/>
      <c r="B322" s="234"/>
      <c r="C322" s="32"/>
      <c r="D322" s="32"/>
      <c r="E322" s="152"/>
      <c r="F322" s="152"/>
      <c r="G322" s="152"/>
      <c r="H322" s="32"/>
      <c r="I322" s="32"/>
      <c r="J322" s="3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</row>
    <row r="323" spans="1:28" ht="15.75" customHeight="1">
      <c r="A323" s="152"/>
      <c r="B323" s="234"/>
      <c r="C323" s="32"/>
      <c r="D323" s="32"/>
      <c r="E323" s="152"/>
      <c r="F323" s="152"/>
      <c r="G323" s="152"/>
      <c r="H323" s="32"/>
      <c r="I323" s="32"/>
      <c r="J323" s="3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</row>
    <row r="324" spans="1:28" ht="15.75" customHeight="1">
      <c r="A324" s="152"/>
      <c r="B324" s="234"/>
      <c r="C324" s="32"/>
      <c r="D324" s="32"/>
      <c r="E324" s="152"/>
      <c r="F324" s="152"/>
      <c r="G324" s="152"/>
      <c r="H324" s="32"/>
      <c r="I324" s="32"/>
      <c r="J324" s="3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</row>
    <row r="325" spans="1:28" ht="15.75" customHeight="1">
      <c r="A325" s="152"/>
      <c r="B325" s="234"/>
      <c r="C325" s="32"/>
      <c r="D325" s="32"/>
      <c r="E325" s="152"/>
      <c r="F325" s="152"/>
      <c r="G325" s="152"/>
      <c r="H325" s="32"/>
      <c r="I325" s="32"/>
      <c r="J325" s="3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</row>
    <row r="326" spans="1:28" ht="15.75" customHeight="1">
      <c r="A326" s="152"/>
      <c r="B326" s="234"/>
      <c r="C326" s="32"/>
      <c r="D326" s="32"/>
      <c r="E326" s="152"/>
      <c r="F326" s="152"/>
      <c r="G326" s="152"/>
      <c r="H326" s="32"/>
      <c r="I326" s="32"/>
      <c r="J326" s="3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</row>
    <row r="327" spans="1:28" ht="15.75" customHeight="1">
      <c r="A327" s="152"/>
      <c r="B327" s="234"/>
      <c r="C327" s="32"/>
      <c r="D327" s="32"/>
      <c r="E327" s="152"/>
      <c r="F327" s="152"/>
      <c r="G327" s="152"/>
      <c r="H327" s="32"/>
      <c r="I327" s="32"/>
      <c r="J327" s="3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</row>
    <row r="328" spans="1:28" ht="15.75" customHeight="1">
      <c r="A328" s="152"/>
      <c r="B328" s="234"/>
      <c r="C328" s="32"/>
      <c r="D328" s="32"/>
      <c r="E328" s="152"/>
      <c r="F328" s="152"/>
      <c r="G328" s="152"/>
      <c r="H328" s="32"/>
      <c r="I328" s="32"/>
      <c r="J328" s="3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</row>
    <row r="329" spans="1:28" ht="15.75" customHeight="1">
      <c r="A329" s="152"/>
      <c r="B329" s="234"/>
      <c r="C329" s="32"/>
      <c r="D329" s="32"/>
      <c r="E329" s="152"/>
      <c r="F329" s="152"/>
      <c r="G329" s="152"/>
      <c r="H329" s="32"/>
      <c r="I329" s="32"/>
      <c r="J329" s="3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</row>
    <row r="330" spans="1:28" ht="15.75" customHeight="1">
      <c r="A330" s="152"/>
      <c r="B330" s="234"/>
      <c r="C330" s="32"/>
      <c r="D330" s="32"/>
      <c r="E330" s="152"/>
      <c r="F330" s="152"/>
      <c r="G330" s="152"/>
      <c r="H330" s="32"/>
      <c r="I330" s="32"/>
      <c r="J330" s="3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</row>
    <row r="331" spans="1:28" ht="15.75" customHeight="1">
      <c r="A331" s="152"/>
      <c r="B331" s="234"/>
      <c r="C331" s="32"/>
      <c r="D331" s="32"/>
      <c r="E331" s="152"/>
      <c r="F331" s="152"/>
      <c r="G331" s="152"/>
      <c r="H331" s="32"/>
      <c r="I331" s="32"/>
      <c r="J331" s="3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</row>
    <row r="332" spans="1:28" ht="15.75" customHeight="1">
      <c r="A332" s="152"/>
      <c r="B332" s="234"/>
      <c r="C332" s="32"/>
      <c r="D332" s="32"/>
      <c r="E332" s="152"/>
      <c r="F332" s="152"/>
      <c r="G332" s="152"/>
      <c r="H332" s="32"/>
      <c r="I332" s="32"/>
      <c r="J332" s="3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</row>
    <row r="333" spans="1:28" ht="15.75" customHeight="1">
      <c r="A333" s="152"/>
      <c r="B333" s="234"/>
      <c r="C333" s="32"/>
      <c r="D333" s="32"/>
      <c r="E333" s="152"/>
      <c r="F333" s="152"/>
      <c r="G333" s="152"/>
      <c r="H333" s="32"/>
      <c r="I333" s="32"/>
      <c r="J333" s="3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</row>
    <row r="334" spans="1:28" ht="15.75" customHeight="1">
      <c r="A334" s="152"/>
      <c r="B334" s="234"/>
      <c r="C334" s="32"/>
      <c r="D334" s="32"/>
      <c r="E334" s="152"/>
      <c r="F334" s="152"/>
      <c r="G334" s="152"/>
      <c r="H334" s="32"/>
      <c r="I334" s="32"/>
      <c r="J334" s="3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</row>
    <row r="335" spans="1:28" ht="15.75" customHeight="1">
      <c r="A335" s="152"/>
      <c r="B335" s="234"/>
      <c r="C335" s="32"/>
      <c r="D335" s="32"/>
      <c r="E335" s="152"/>
      <c r="F335" s="152"/>
      <c r="G335" s="152"/>
      <c r="H335" s="32"/>
      <c r="I335" s="32"/>
      <c r="J335" s="3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</row>
    <row r="336" spans="1:28" ht="15.75" customHeight="1">
      <c r="A336" s="152"/>
      <c r="B336" s="234"/>
      <c r="C336" s="32"/>
      <c r="D336" s="32"/>
      <c r="E336" s="152"/>
      <c r="F336" s="152"/>
      <c r="G336" s="152"/>
      <c r="H336" s="32"/>
      <c r="I336" s="32"/>
      <c r="J336" s="3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</row>
    <row r="337" spans="1:28" ht="15.75" customHeight="1">
      <c r="A337" s="152"/>
      <c r="B337" s="234"/>
      <c r="C337" s="32"/>
      <c r="D337" s="32"/>
      <c r="E337" s="152"/>
      <c r="F337" s="152"/>
      <c r="G337" s="152"/>
      <c r="H337" s="32"/>
      <c r="I337" s="32"/>
      <c r="J337" s="3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</row>
    <row r="338" spans="1:28" ht="15.75" customHeight="1">
      <c r="A338" s="152"/>
      <c r="B338" s="234"/>
      <c r="C338" s="32"/>
      <c r="D338" s="32"/>
      <c r="E338" s="152"/>
      <c r="F338" s="152"/>
      <c r="G338" s="152"/>
      <c r="H338" s="32"/>
      <c r="I338" s="32"/>
      <c r="J338" s="3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</row>
    <row r="339" spans="1:28" ht="15.75" customHeight="1">
      <c r="A339" s="152"/>
      <c r="B339" s="234"/>
      <c r="C339" s="32"/>
      <c r="D339" s="32"/>
      <c r="E339" s="152"/>
      <c r="F339" s="152"/>
      <c r="G339" s="152"/>
      <c r="H339" s="32"/>
      <c r="I339" s="32"/>
      <c r="J339" s="3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</row>
    <row r="340" spans="1:28" ht="15.75" customHeight="1">
      <c r="A340" s="152"/>
      <c r="B340" s="234"/>
      <c r="C340" s="32"/>
      <c r="D340" s="32"/>
      <c r="E340" s="152"/>
      <c r="F340" s="152"/>
      <c r="G340" s="152"/>
      <c r="H340" s="32"/>
      <c r="I340" s="32"/>
      <c r="J340" s="3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</row>
    <row r="341" spans="1:28" ht="15.75" customHeight="1">
      <c r="A341" s="152"/>
      <c r="B341" s="234"/>
      <c r="C341" s="32"/>
      <c r="D341" s="32"/>
      <c r="E341" s="152"/>
      <c r="F341" s="152"/>
      <c r="G341" s="152"/>
      <c r="H341" s="32"/>
      <c r="I341" s="32"/>
      <c r="J341" s="3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</row>
    <row r="342" spans="1:28" ht="15.75" customHeight="1">
      <c r="A342" s="152"/>
      <c r="B342" s="234"/>
      <c r="C342" s="32"/>
      <c r="D342" s="32"/>
      <c r="E342" s="152"/>
      <c r="F342" s="152"/>
      <c r="G342" s="152"/>
      <c r="H342" s="32"/>
      <c r="I342" s="32"/>
      <c r="J342" s="3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</row>
    <row r="343" spans="1:28" ht="15.75" customHeight="1">
      <c r="A343" s="152"/>
      <c r="B343" s="234"/>
      <c r="C343" s="32"/>
      <c r="D343" s="32"/>
      <c r="E343" s="152"/>
      <c r="F343" s="152"/>
      <c r="G343" s="152"/>
      <c r="H343" s="32"/>
      <c r="I343" s="32"/>
      <c r="J343" s="3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</row>
    <row r="344" spans="1:28" ht="15.75" customHeight="1">
      <c r="A344" s="152"/>
      <c r="B344" s="234"/>
      <c r="C344" s="32"/>
      <c r="D344" s="32"/>
      <c r="E344" s="152"/>
      <c r="F344" s="152"/>
      <c r="G344" s="152"/>
      <c r="H344" s="32"/>
      <c r="I344" s="32"/>
      <c r="J344" s="3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</row>
    <row r="345" spans="1:28" ht="15.75" customHeight="1">
      <c r="A345" s="152"/>
      <c r="B345" s="234"/>
      <c r="C345" s="32"/>
      <c r="D345" s="32"/>
      <c r="E345" s="152"/>
      <c r="F345" s="152"/>
      <c r="G345" s="152"/>
      <c r="H345" s="32"/>
      <c r="I345" s="32"/>
      <c r="J345" s="3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</row>
    <row r="346" spans="1:28" ht="15.75" customHeight="1">
      <c r="A346" s="152"/>
      <c r="B346" s="234"/>
      <c r="C346" s="32"/>
      <c r="D346" s="32"/>
      <c r="E346" s="152"/>
      <c r="F346" s="152"/>
      <c r="G346" s="152"/>
      <c r="H346" s="32"/>
      <c r="I346" s="32"/>
      <c r="J346" s="3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</row>
    <row r="347" spans="1:28" ht="15.75" customHeight="1">
      <c r="A347" s="152"/>
      <c r="B347" s="234"/>
      <c r="C347" s="32"/>
      <c r="D347" s="32"/>
      <c r="E347" s="152"/>
      <c r="F347" s="152"/>
      <c r="G347" s="152"/>
      <c r="H347" s="32"/>
      <c r="I347" s="32"/>
      <c r="J347" s="3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</row>
    <row r="348" spans="1:28" ht="15.75" customHeight="1">
      <c r="A348" s="152"/>
      <c r="B348" s="234"/>
      <c r="C348" s="32"/>
      <c r="D348" s="32"/>
      <c r="E348" s="152"/>
      <c r="F348" s="152"/>
      <c r="G348" s="152"/>
      <c r="H348" s="32"/>
      <c r="I348" s="32"/>
      <c r="J348" s="3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</row>
    <row r="349" spans="1:28" ht="15.75" customHeight="1">
      <c r="A349" s="152"/>
      <c r="B349" s="234"/>
      <c r="C349" s="32"/>
      <c r="D349" s="32"/>
      <c r="E349" s="152"/>
      <c r="F349" s="152"/>
      <c r="G349" s="152"/>
      <c r="H349" s="32"/>
      <c r="I349" s="32"/>
      <c r="J349" s="3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</row>
    <row r="350" spans="1:28" ht="15.75" customHeight="1">
      <c r="A350" s="152"/>
      <c r="B350" s="234"/>
      <c r="C350" s="32"/>
      <c r="D350" s="32"/>
      <c r="E350" s="152"/>
      <c r="F350" s="152"/>
      <c r="G350" s="152"/>
      <c r="H350" s="32"/>
      <c r="I350" s="32"/>
      <c r="J350" s="3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</row>
    <row r="351" spans="1:28" ht="15.75" customHeight="1">
      <c r="A351" s="152"/>
      <c r="B351" s="234"/>
      <c r="C351" s="32"/>
      <c r="D351" s="32"/>
      <c r="E351" s="152"/>
      <c r="F351" s="152"/>
      <c r="G351" s="152"/>
      <c r="H351" s="32"/>
      <c r="I351" s="32"/>
      <c r="J351" s="3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</row>
    <row r="352" spans="1:28" ht="15.75" customHeight="1">
      <c r="A352" s="152"/>
      <c r="B352" s="234"/>
      <c r="C352" s="32"/>
      <c r="D352" s="32"/>
      <c r="E352" s="152"/>
      <c r="F352" s="152"/>
      <c r="G352" s="152"/>
      <c r="H352" s="32"/>
      <c r="I352" s="32"/>
      <c r="J352" s="3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</row>
    <row r="353" spans="1:28" ht="15.75" customHeight="1">
      <c r="A353" s="152"/>
      <c r="B353" s="234"/>
      <c r="C353" s="32"/>
      <c r="D353" s="32"/>
      <c r="E353" s="152"/>
      <c r="F353" s="152"/>
      <c r="G353" s="152"/>
      <c r="H353" s="32"/>
      <c r="I353" s="32"/>
      <c r="J353" s="3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</row>
    <row r="354" spans="1:28" ht="15.75" customHeight="1">
      <c r="A354" s="152"/>
      <c r="B354" s="234"/>
      <c r="C354" s="32"/>
      <c r="D354" s="32"/>
      <c r="E354" s="152"/>
      <c r="F354" s="152"/>
      <c r="G354" s="152"/>
      <c r="H354" s="32"/>
      <c r="I354" s="32"/>
      <c r="J354" s="3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</row>
    <row r="355" spans="1:28" ht="15.75" customHeight="1">
      <c r="A355" s="152"/>
      <c r="B355" s="234"/>
      <c r="C355" s="32"/>
      <c r="D355" s="32"/>
      <c r="E355" s="152"/>
      <c r="F355" s="152"/>
      <c r="G355" s="152"/>
      <c r="H355" s="32"/>
      <c r="I355" s="32"/>
      <c r="J355" s="3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</row>
    <row r="356" spans="1:28" ht="15.75" customHeight="1">
      <c r="A356" s="152"/>
      <c r="B356" s="234"/>
      <c r="C356" s="32"/>
      <c r="D356" s="32"/>
      <c r="E356" s="152"/>
      <c r="F356" s="152"/>
      <c r="G356" s="152"/>
      <c r="H356" s="32"/>
      <c r="I356" s="32"/>
      <c r="J356" s="3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</row>
    <row r="357" spans="1:28" ht="15.75" customHeight="1">
      <c r="A357" s="152"/>
      <c r="B357" s="234"/>
      <c r="C357" s="32"/>
      <c r="D357" s="32"/>
      <c r="E357" s="152"/>
      <c r="F357" s="152"/>
      <c r="G357" s="152"/>
      <c r="H357" s="32"/>
      <c r="I357" s="32"/>
      <c r="J357" s="3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</row>
    <row r="358" spans="1:28" ht="15.75" customHeight="1">
      <c r="A358" s="152"/>
      <c r="B358" s="234"/>
      <c r="C358" s="32"/>
      <c r="D358" s="32"/>
      <c r="E358" s="152"/>
      <c r="F358" s="152"/>
      <c r="G358" s="152"/>
      <c r="H358" s="32"/>
      <c r="I358" s="32"/>
      <c r="J358" s="3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</row>
    <row r="359" spans="1:28" ht="15.75" customHeight="1">
      <c r="A359" s="152"/>
      <c r="B359" s="234"/>
      <c r="C359" s="32"/>
      <c r="D359" s="32"/>
      <c r="E359" s="152"/>
      <c r="F359" s="152"/>
      <c r="G359" s="152"/>
      <c r="H359" s="32"/>
      <c r="I359" s="32"/>
      <c r="J359" s="3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</row>
    <row r="360" spans="1:28" ht="15.75" customHeight="1">
      <c r="A360" s="152"/>
      <c r="B360" s="234"/>
      <c r="C360" s="32"/>
      <c r="D360" s="32"/>
      <c r="E360" s="152"/>
      <c r="F360" s="152"/>
      <c r="G360" s="152"/>
      <c r="H360" s="32"/>
      <c r="I360" s="32"/>
      <c r="J360" s="3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</row>
    <row r="361" spans="1:28" ht="15.75" customHeight="1">
      <c r="A361" s="152"/>
      <c r="B361" s="234"/>
      <c r="C361" s="32"/>
      <c r="D361" s="32"/>
      <c r="E361" s="152"/>
      <c r="F361" s="152"/>
      <c r="G361" s="152"/>
      <c r="H361" s="32"/>
      <c r="I361" s="32"/>
      <c r="J361" s="3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</row>
    <row r="362" spans="1:28" ht="15.75" customHeight="1">
      <c r="A362" s="152"/>
      <c r="B362" s="234"/>
      <c r="C362" s="32"/>
      <c r="D362" s="32"/>
      <c r="E362" s="152"/>
      <c r="F362" s="152"/>
      <c r="G362" s="152"/>
      <c r="H362" s="32"/>
      <c r="I362" s="32"/>
      <c r="J362" s="3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</row>
    <row r="363" spans="1:28" ht="15.75" customHeight="1">
      <c r="A363" s="152"/>
      <c r="B363" s="234"/>
      <c r="C363" s="32"/>
      <c r="D363" s="32"/>
      <c r="E363" s="152"/>
      <c r="F363" s="152"/>
      <c r="G363" s="152"/>
      <c r="H363" s="32"/>
      <c r="I363" s="32"/>
      <c r="J363" s="3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</row>
    <row r="364" spans="1:28" ht="15.75" customHeight="1">
      <c r="A364" s="152"/>
      <c r="B364" s="234"/>
      <c r="C364" s="32"/>
      <c r="D364" s="32"/>
      <c r="E364" s="152"/>
      <c r="F364" s="152"/>
      <c r="G364" s="152"/>
      <c r="H364" s="32"/>
      <c r="I364" s="32"/>
      <c r="J364" s="3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</row>
    <row r="365" spans="1:28" ht="15.75" customHeight="1">
      <c r="A365" s="152"/>
      <c r="B365" s="234"/>
      <c r="C365" s="32"/>
      <c r="D365" s="32"/>
      <c r="E365" s="152"/>
      <c r="F365" s="152"/>
      <c r="G365" s="152"/>
      <c r="H365" s="32"/>
      <c r="I365" s="32"/>
      <c r="J365" s="3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</row>
    <row r="366" spans="1:28" ht="15.75" customHeight="1">
      <c r="A366" s="152"/>
      <c r="B366" s="234"/>
      <c r="C366" s="32"/>
      <c r="D366" s="32"/>
      <c r="E366" s="152"/>
      <c r="F366" s="152"/>
      <c r="G366" s="152"/>
      <c r="H366" s="32"/>
      <c r="I366" s="32"/>
      <c r="J366" s="3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</row>
    <row r="367" spans="1:28" ht="15.75" customHeight="1">
      <c r="A367" s="152"/>
      <c r="B367" s="234"/>
      <c r="C367" s="32"/>
      <c r="D367" s="32"/>
      <c r="E367" s="152"/>
      <c r="F367" s="152"/>
      <c r="G367" s="152"/>
      <c r="H367" s="32"/>
      <c r="I367" s="32"/>
      <c r="J367" s="3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</row>
    <row r="368" spans="1:28" ht="15.75" customHeight="1">
      <c r="A368" s="152"/>
      <c r="B368" s="234"/>
      <c r="C368" s="32"/>
      <c r="D368" s="32"/>
      <c r="E368" s="152"/>
      <c r="F368" s="152"/>
      <c r="G368" s="152"/>
      <c r="H368" s="32"/>
      <c r="I368" s="32"/>
      <c r="J368" s="3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</row>
    <row r="369" spans="1:28" ht="15.75" customHeight="1">
      <c r="A369" s="152"/>
      <c r="B369" s="234"/>
      <c r="C369" s="32"/>
      <c r="D369" s="32"/>
      <c r="E369" s="152"/>
      <c r="F369" s="152"/>
      <c r="G369" s="152"/>
      <c r="H369" s="32"/>
      <c r="I369" s="32"/>
      <c r="J369" s="3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</row>
    <row r="370" spans="1:28" ht="15.75" customHeight="1">
      <c r="A370" s="152"/>
      <c r="B370" s="234"/>
      <c r="C370" s="32"/>
      <c r="D370" s="32"/>
      <c r="E370" s="152"/>
      <c r="F370" s="152"/>
      <c r="G370" s="152"/>
      <c r="H370" s="32"/>
      <c r="I370" s="32"/>
      <c r="J370" s="3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</row>
    <row r="371" spans="1:28" ht="15.75" customHeight="1">
      <c r="A371" s="152"/>
      <c r="B371" s="234"/>
      <c r="C371" s="32"/>
      <c r="D371" s="32"/>
      <c r="E371" s="152"/>
      <c r="F371" s="152"/>
      <c r="G371" s="152"/>
      <c r="H371" s="32"/>
      <c r="I371" s="32"/>
      <c r="J371" s="3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</row>
    <row r="372" spans="1:28" ht="15.75" customHeight="1">
      <c r="A372" s="152"/>
      <c r="B372" s="234"/>
      <c r="C372" s="32"/>
      <c r="D372" s="32"/>
      <c r="E372" s="152"/>
      <c r="F372" s="152"/>
      <c r="G372" s="152"/>
      <c r="H372" s="32"/>
      <c r="I372" s="32"/>
      <c r="J372" s="3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</row>
    <row r="373" spans="1:28" ht="15.75" customHeight="1">
      <c r="A373" s="152"/>
      <c r="B373" s="234"/>
      <c r="C373" s="32"/>
      <c r="D373" s="32"/>
      <c r="E373" s="152"/>
      <c r="F373" s="152"/>
      <c r="G373" s="152"/>
      <c r="H373" s="32"/>
      <c r="I373" s="32"/>
      <c r="J373" s="3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</row>
    <row r="374" spans="1:28" ht="15.75" customHeight="1">
      <c r="A374" s="152"/>
      <c r="B374" s="234"/>
      <c r="C374" s="32"/>
      <c r="D374" s="32"/>
      <c r="E374" s="152"/>
      <c r="F374" s="152"/>
      <c r="G374" s="152"/>
      <c r="H374" s="32"/>
      <c r="I374" s="32"/>
      <c r="J374" s="3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</row>
    <row r="375" spans="1:28" ht="15.75" customHeight="1">
      <c r="A375" s="152"/>
      <c r="B375" s="234"/>
      <c r="C375" s="32"/>
      <c r="D375" s="32"/>
      <c r="E375" s="152"/>
      <c r="F375" s="152"/>
      <c r="G375" s="152"/>
      <c r="H375" s="32"/>
      <c r="I375" s="32"/>
      <c r="J375" s="3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</row>
    <row r="376" spans="1:28" ht="15.75" customHeight="1">
      <c r="A376" s="152"/>
      <c r="B376" s="234"/>
      <c r="C376" s="32"/>
      <c r="D376" s="32"/>
      <c r="E376" s="152"/>
      <c r="F376" s="152"/>
      <c r="G376" s="152"/>
      <c r="H376" s="32"/>
      <c r="I376" s="32"/>
      <c r="J376" s="3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</row>
    <row r="377" spans="1:28" ht="15.75" customHeight="1">
      <c r="A377" s="152"/>
      <c r="B377" s="234"/>
      <c r="C377" s="32"/>
      <c r="D377" s="32"/>
      <c r="E377" s="152"/>
      <c r="F377" s="152"/>
      <c r="G377" s="152"/>
      <c r="H377" s="32"/>
      <c r="I377" s="32"/>
      <c r="J377" s="3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</row>
    <row r="378" spans="1:28" ht="15.75" customHeight="1">
      <c r="A378" s="152"/>
      <c r="B378" s="234"/>
      <c r="C378" s="32"/>
      <c r="D378" s="32"/>
      <c r="E378" s="152"/>
      <c r="F378" s="152"/>
      <c r="G378" s="152"/>
      <c r="H378" s="32"/>
      <c r="I378" s="32"/>
      <c r="J378" s="3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</row>
    <row r="379" spans="1:28" ht="15.75" customHeight="1">
      <c r="A379" s="152"/>
      <c r="B379" s="234"/>
      <c r="C379" s="32"/>
      <c r="D379" s="32"/>
      <c r="E379" s="152"/>
      <c r="F379" s="152"/>
      <c r="G379" s="152"/>
      <c r="H379" s="32"/>
      <c r="I379" s="32"/>
      <c r="J379" s="3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</row>
    <row r="380" spans="1:28" ht="15.75" customHeight="1">
      <c r="A380" s="152"/>
      <c r="B380" s="234"/>
      <c r="C380" s="32"/>
      <c r="D380" s="32"/>
      <c r="E380" s="152"/>
      <c r="F380" s="152"/>
      <c r="G380" s="152"/>
      <c r="H380" s="32"/>
      <c r="I380" s="32"/>
      <c r="J380" s="3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</row>
    <row r="381" spans="1:28" ht="15.75" customHeight="1">
      <c r="A381" s="152"/>
      <c r="B381" s="234"/>
      <c r="C381" s="32"/>
      <c r="D381" s="32"/>
      <c r="E381" s="152"/>
      <c r="F381" s="152"/>
      <c r="G381" s="152"/>
      <c r="H381" s="32"/>
      <c r="I381" s="32"/>
      <c r="J381" s="3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</row>
    <row r="382" spans="1:28" ht="15.75" customHeight="1">
      <c r="A382" s="152"/>
      <c r="B382" s="234"/>
      <c r="C382" s="32"/>
      <c r="D382" s="32"/>
      <c r="E382" s="152"/>
      <c r="F382" s="152"/>
      <c r="G382" s="152"/>
      <c r="H382" s="32"/>
      <c r="I382" s="32"/>
      <c r="J382" s="3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</row>
    <row r="383" spans="1:28" ht="15.75" customHeight="1">
      <c r="A383" s="152"/>
      <c r="B383" s="234"/>
      <c r="C383" s="32"/>
      <c r="D383" s="32"/>
      <c r="E383" s="152"/>
      <c r="F383" s="152"/>
      <c r="G383" s="152"/>
      <c r="H383" s="32"/>
      <c r="I383" s="32"/>
      <c r="J383" s="3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</row>
    <row r="384" spans="1:28" ht="15.75" customHeight="1">
      <c r="A384" s="152"/>
      <c r="B384" s="234"/>
      <c r="C384" s="32"/>
      <c r="D384" s="32"/>
      <c r="E384" s="152"/>
      <c r="F384" s="152"/>
      <c r="G384" s="152"/>
      <c r="H384" s="32"/>
      <c r="I384" s="32"/>
      <c r="J384" s="3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</row>
    <row r="385" spans="1:28" ht="15.75" customHeight="1">
      <c r="A385" s="152"/>
      <c r="B385" s="234"/>
      <c r="C385" s="32"/>
      <c r="D385" s="32"/>
      <c r="E385" s="152"/>
      <c r="F385" s="152"/>
      <c r="G385" s="152"/>
      <c r="H385" s="32"/>
      <c r="I385" s="32"/>
      <c r="J385" s="3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</row>
    <row r="386" spans="1:28" ht="15.75" customHeight="1">
      <c r="A386" s="152"/>
      <c r="B386" s="234"/>
      <c r="C386" s="32"/>
      <c r="D386" s="32"/>
      <c r="E386" s="152"/>
      <c r="F386" s="152"/>
      <c r="G386" s="152"/>
      <c r="H386" s="32"/>
      <c r="I386" s="32"/>
      <c r="J386" s="3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</row>
    <row r="387" spans="1:28" ht="15.75" customHeight="1">
      <c r="A387" s="152"/>
      <c r="B387" s="234"/>
      <c r="C387" s="32"/>
      <c r="D387" s="32"/>
      <c r="E387" s="152"/>
      <c r="F387" s="152"/>
      <c r="G387" s="152"/>
      <c r="H387" s="32"/>
      <c r="I387" s="32"/>
      <c r="J387" s="3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</row>
    <row r="388" spans="1:28" ht="15.75" customHeight="1">
      <c r="A388" s="152"/>
      <c r="B388" s="234"/>
      <c r="C388" s="32"/>
      <c r="D388" s="32"/>
      <c r="E388" s="152"/>
      <c r="F388" s="152"/>
      <c r="G388" s="152"/>
      <c r="H388" s="32"/>
      <c r="I388" s="32"/>
      <c r="J388" s="3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</row>
    <row r="389" spans="1:28" ht="15.75" customHeight="1">
      <c r="A389" s="152"/>
      <c r="B389" s="234"/>
      <c r="C389" s="32"/>
      <c r="D389" s="32"/>
      <c r="E389" s="152"/>
      <c r="F389" s="152"/>
      <c r="G389" s="152"/>
      <c r="H389" s="32"/>
      <c r="I389" s="32"/>
      <c r="J389" s="3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</row>
    <row r="390" spans="1:28" ht="15.75" customHeight="1">
      <c r="A390" s="152"/>
      <c r="B390" s="234"/>
      <c r="C390" s="32"/>
      <c r="D390" s="32"/>
      <c r="E390" s="152"/>
      <c r="F390" s="152"/>
      <c r="G390" s="152"/>
      <c r="H390" s="32"/>
      <c r="I390" s="32"/>
      <c r="J390" s="3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</row>
    <row r="391" spans="1:28" ht="15.75" customHeight="1">
      <c r="A391" s="152"/>
      <c r="B391" s="234"/>
      <c r="C391" s="32"/>
      <c r="D391" s="32"/>
      <c r="E391" s="152"/>
      <c r="F391" s="152"/>
      <c r="G391" s="152"/>
      <c r="H391" s="32"/>
      <c r="I391" s="32"/>
      <c r="J391" s="3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</row>
    <row r="392" spans="1:28" ht="15.75" customHeight="1">
      <c r="A392" s="152"/>
      <c r="B392" s="234"/>
      <c r="C392" s="32"/>
      <c r="D392" s="32"/>
      <c r="E392" s="152"/>
      <c r="F392" s="152"/>
      <c r="G392" s="152"/>
      <c r="H392" s="32"/>
      <c r="I392" s="32"/>
      <c r="J392" s="3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</row>
    <row r="393" spans="1:28" ht="15.75" customHeight="1">
      <c r="A393" s="152"/>
      <c r="B393" s="234"/>
      <c r="C393" s="32"/>
      <c r="D393" s="32"/>
      <c r="E393" s="152"/>
      <c r="F393" s="152"/>
      <c r="G393" s="152"/>
      <c r="H393" s="32"/>
      <c r="I393" s="32"/>
      <c r="J393" s="3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</row>
    <row r="394" spans="1:28" ht="15.75" customHeight="1">
      <c r="A394" s="152"/>
      <c r="B394" s="234"/>
      <c r="C394" s="32"/>
      <c r="D394" s="32"/>
      <c r="E394" s="152"/>
      <c r="F394" s="152"/>
      <c r="G394" s="152"/>
      <c r="H394" s="32"/>
      <c r="I394" s="32"/>
      <c r="J394" s="3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</row>
    <row r="395" spans="1:28" ht="15.75" customHeight="1">
      <c r="A395" s="152"/>
      <c r="B395" s="234"/>
      <c r="C395" s="32"/>
      <c r="D395" s="32"/>
      <c r="E395" s="152"/>
      <c r="F395" s="152"/>
      <c r="G395" s="152"/>
      <c r="H395" s="32"/>
      <c r="I395" s="32"/>
      <c r="J395" s="3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</row>
    <row r="396" spans="1:28" ht="15.75" customHeight="1">
      <c r="A396" s="152"/>
      <c r="B396" s="234"/>
      <c r="C396" s="32"/>
      <c r="D396" s="32"/>
      <c r="E396" s="152"/>
      <c r="F396" s="152"/>
      <c r="G396" s="152"/>
      <c r="H396" s="32"/>
      <c r="I396" s="32"/>
      <c r="J396" s="3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</row>
    <row r="397" spans="1:28" ht="15.75" customHeight="1">
      <c r="A397" s="152"/>
      <c r="B397" s="234"/>
      <c r="C397" s="32"/>
      <c r="D397" s="32"/>
      <c r="E397" s="152"/>
      <c r="F397" s="152"/>
      <c r="G397" s="152"/>
      <c r="H397" s="32"/>
      <c r="I397" s="32"/>
      <c r="J397" s="3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</row>
    <row r="398" spans="1:28" ht="15.75" customHeight="1">
      <c r="A398" s="152"/>
      <c r="B398" s="234"/>
      <c r="C398" s="32"/>
      <c r="D398" s="32"/>
      <c r="E398" s="152"/>
      <c r="F398" s="152"/>
      <c r="G398" s="152"/>
      <c r="H398" s="32"/>
      <c r="I398" s="32"/>
      <c r="J398" s="3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</row>
    <row r="399" spans="1:28" ht="15.75" customHeight="1">
      <c r="A399" s="152"/>
      <c r="B399" s="234"/>
      <c r="C399" s="32"/>
      <c r="D399" s="32"/>
      <c r="E399" s="152"/>
      <c r="F399" s="152"/>
      <c r="G399" s="152"/>
      <c r="H399" s="32"/>
      <c r="I399" s="32"/>
      <c r="J399" s="3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</row>
    <row r="400" spans="1:28" ht="15.75" customHeight="1">
      <c r="A400" s="152"/>
      <c r="B400" s="234"/>
      <c r="C400" s="32"/>
      <c r="D400" s="32"/>
      <c r="E400" s="152"/>
      <c r="F400" s="152"/>
      <c r="G400" s="152"/>
      <c r="H400" s="32"/>
      <c r="I400" s="32"/>
      <c r="J400" s="3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</row>
    <row r="401" spans="1:28" ht="15.75" customHeight="1">
      <c r="A401" s="152"/>
      <c r="B401" s="234"/>
      <c r="C401" s="32"/>
      <c r="D401" s="32"/>
      <c r="E401" s="152"/>
      <c r="F401" s="152"/>
      <c r="G401" s="152"/>
      <c r="H401" s="32"/>
      <c r="I401" s="32"/>
      <c r="J401" s="3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</row>
    <row r="402" spans="1:28" ht="15.75" customHeight="1">
      <c r="A402" s="152"/>
      <c r="B402" s="234"/>
      <c r="C402" s="32"/>
      <c r="D402" s="32"/>
      <c r="E402" s="152"/>
      <c r="F402" s="152"/>
      <c r="G402" s="152"/>
      <c r="H402" s="32"/>
      <c r="I402" s="32"/>
      <c r="J402" s="3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</row>
    <row r="403" spans="1:28" ht="15.75" customHeight="1">
      <c r="A403" s="152"/>
      <c r="B403" s="234"/>
      <c r="C403" s="32"/>
      <c r="D403" s="32"/>
      <c r="E403" s="152"/>
      <c r="F403" s="152"/>
      <c r="G403" s="152"/>
      <c r="H403" s="32"/>
      <c r="I403" s="32"/>
      <c r="J403" s="3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</row>
    <row r="404" spans="1:28" ht="15.75" customHeight="1">
      <c r="A404" s="152"/>
      <c r="B404" s="234"/>
      <c r="C404" s="32"/>
      <c r="D404" s="32"/>
      <c r="E404" s="152"/>
      <c r="F404" s="152"/>
      <c r="G404" s="152"/>
      <c r="H404" s="32"/>
      <c r="I404" s="32"/>
      <c r="J404" s="3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</row>
    <row r="405" spans="1:28" ht="15.75" customHeight="1">
      <c r="A405" s="152"/>
      <c r="B405" s="234"/>
      <c r="C405" s="32"/>
      <c r="D405" s="32"/>
      <c r="E405" s="152"/>
      <c r="F405" s="152"/>
      <c r="G405" s="152"/>
      <c r="H405" s="32"/>
      <c r="I405" s="32"/>
      <c r="J405" s="3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</row>
    <row r="406" spans="1:28" ht="15.75" customHeight="1">
      <c r="A406" s="152"/>
      <c r="B406" s="234"/>
      <c r="C406" s="32"/>
      <c r="D406" s="32"/>
      <c r="E406" s="152"/>
      <c r="F406" s="152"/>
      <c r="G406" s="152"/>
      <c r="H406" s="32"/>
      <c r="I406" s="32"/>
      <c r="J406" s="3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</row>
    <row r="407" spans="1:28" ht="15.75" customHeight="1">
      <c r="A407" s="152"/>
      <c r="B407" s="234"/>
      <c r="C407" s="32"/>
      <c r="D407" s="32"/>
      <c r="E407" s="152"/>
      <c r="F407" s="152"/>
      <c r="G407" s="152"/>
      <c r="H407" s="32"/>
      <c r="I407" s="32"/>
      <c r="J407" s="3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</row>
    <row r="408" spans="1:28" ht="15.75" customHeight="1">
      <c r="A408" s="152"/>
      <c r="B408" s="234"/>
      <c r="C408" s="32"/>
      <c r="D408" s="32"/>
      <c r="E408" s="152"/>
      <c r="F408" s="152"/>
      <c r="G408" s="152"/>
      <c r="H408" s="32"/>
      <c r="I408" s="32"/>
      <c r="J408" s="3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</row>
    <row r="409" spans="1:28" ht="15.75" customHeight="1">
      <c r="A409" s="152"/>
      <c r="B409" s="234"/>
      <c r="C409" s="32"/>
      <c r="D409" s="32"/>
      <c r="E409" s="152"/>
      <c r="F409" s="152"/>
      <c r="G409" s="152"/>
      <c r="H409" s="32"/>
      <c r="I409" s="32"/>
      <c r="J409" s="3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</row>
    <row r="410" spans="1:28" ht="15.75" customHeight="1">
      <c r="A410" s="152"/>
      <c r="B410" s="234"/>
      <c r="C410" s="32"/>
      <c r="D410" s="32"/>
      <c r="E410" s="152"/>
      <c r="F410" s="152"/>
      <c r="G410" s="152"/>
      <c r="H410" s="32"/>
      <c r="I410" s="32"/>
      <c r="J410" s="3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</row>
    <row r="411" spans="1:28" ht="15.75" customHeight="1">
      <c r="A411" s="152"/>
      <c r="B411" s="234"/>
      <c r="C411" s="32"/>
      <c r="D411" s="32"/>
      <c r="E411" s="152"/>
      <c r="F411" s="152"/>
      <c r="G411" s="152"/>
      <c r="H411" s="32"/>
      <c r="I411" s="32"/>
      <c r="J411" s="3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</row>
    <row r="412" spans="1:28" ht="15.75" customHeight="1">
      <c r="A412" s="152"/>
      <c r="B412" s="234"/>
      <c r="C412" s="32"/>
      <c r="D412" s="32"/>
      <c r="E412" s="152"/>
      <c r="F412" s="152"/>
      <c r="G412" s="152"/>
      <c r="H412" s="32"/>
      <c r="I412" s="32"/>
      <c r="J412" s="3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</row>
    <row r="413" spans="1:28" ht="15.75" customHeight="1">
      <c r="A413" s="152"/>
      <c r="B413" s="234"/>
      <c r="C413" s="32"/>
      <c r="D413" s="32"/>
      <c r="E413" s="152"/>
      <c r="F413" s="152"/>
      <c r="G413" s="152"/>
      <c r="H413" s="32"/>
      <c r="I413" s="32"/>
      <c r="J413" s="3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</row>
    <row r="414" spans="1:28" ht="15.75" customHeight="1">
      <c r="A414" s="152"/>
      <c r="B414" s="234"/>
      <c r="C414" s="32"/>
      <c r="D414" s="32"/>
      <c r="E414" s="152"/>
      <c r="F414" s="152"/>
      <c r="G414" s="152"/>
      <c r="H414" s="32"/>
      <c r="I414" s="32"/>
      <c r="J414" s="3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</row>
    <row r="415" spans="1:28" ht="15.75" customHeight="1">
      <c r="A415" s="152"/>
      <c r="B415" s="234"/>
      <c r="C415" s="32"/>
      <c r="D415" s="32"/>
      <c r="E415" s="152"/>
      <c r="F415" s="152"/>
      <c r="G415" s="152"/>
      <c r="H415" s="32"/>
      <c r="I415" s="32"/>
      <c r="J415" s="3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</row>
    <row r="416" spans="1:28" ht="15.75" customHeight="1">
      <c r="A416" s="152"/>
      <c r="B416" s="234"/>
      <c r="C416" s="32"/>
      <c r="D416" s="32"/>
      <c r="E416" s="152"/>
      <c r="F416" s="152"/>
      <c r="G416" s="152"/>
      <c r="H416" s="32"/>
      <c r="I416" s="32"/>
      <c r="J416" s="3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</row>
    <row r="417" spans="1:28" ht="15.75" customHeight="1">
      <c r="A417" s="152"/>
      <c r="B417" s="234"/>
      <c r="C417" s="32"/>
      <c r="D417" s="32"/>
      <c r="E417" s="152"/>
      <c r="F417" s="152"/>
      <c r="G417" s="152"/>
      <c r="H417" s="32"/>
      <c r="I417" s="32"/>
      <c r="J417" s="3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</row>
    <row r="418" spans="1:28" ht="15.75" customHeight="1">
      <c r="A418" s="152"/>
      <c r="B418" s="234"/>
      <c r="C418" s="32"/>
      <c r="D418" s="32"/>
      <c r="E418" s="152"/>
      <c r="F418" s="152"/>
      <c r="G418" s="152"/>
      <c r="H418" s="32"/>
      <c r="I418" s="32"/>
      <c r="J418" s="3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</row>
    <row r="419" spans="1:28" ht="15.75" customHeight="1">
      <c r="A419" s="152"/>
      <c r="B419" s="234"/>
      <c r="C419" s="32"/>
      <c r="D419" s="32"/>
      <c r="E419" s="152"/>
      <c r="F419" s="152"/>
      <c r="G419" s="152"/>
      <c r="H419" s="32"/>
      <c r="I419" s="32"/>
      <c r="J419" s="3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</row>
    <row r="420" spans="1:28" ht="15.75" customHeight="1">
      <c r="A420" s="152"/>
      <c r="B420" s="234"/>
      <c r="C420" s="32"/>
      <c r="D420" s="32"/>
      <c r="E420" s="152"/>
      <c r="F420" s="152"/>
      <c r="G420" s="152"/>
      <c r="H420" s="32"/>
      <c r="I420" s="32"/>
      <c r="J420" s="3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</row>
    <row r="421" spans="1:28" ht="15.75" customHeight="1">
      <c r="A421" s="152"/>
      <c r="B421" s="234"/>
      <c r="C421" s="32"/>
      <c r="D421" s="32"/>
      <c r="E421" s="152"/>
      <c r="F421" s="152"/>
      <c r="G421" s="152"/>
      <c r="H421" s="32"/>
      <c r="I421" s="32"/>
      <c r="J421" s="3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</row>
    <row r="422" spans="1:28" ht="15.75" customHeight="1">
      <c r="A422" s="152"/>
      <c r="B422" s="234"/>
      <c r="C422" s="32"/>
      <c r="D422" s="32"/>
      <c r="E422" s="152"/>
      <c r="F422" s="152"/>
      <c r="G422" s="152"/>
      <c r="H422" s="32"/>
      <c r="I422" s="32"/>
      <c r="J422" s="3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</row>
    <row r="423" spans="1:28" ht="15.75" customHeight="1">
      <c r="A423" s="152"/>
      <c r="B423" s="234"/>
      <c r="C423" s="32"/>
      <c r="D423" s="32"/>
      <c r="E423" s="152"/>
      <c r="F423" s="152"/>
      <c r="G423" s="152"/>
      <c r="H423" s="32"/>
      <c r="I423" s="32"/>
      <c r="J423" s="3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</row>
    <row r="424" spans="1:28" ht="15.75" customHeight="1">
      <c r="A424" s="152"/>
      <c r="B424" s="234"/>
      <c r="C424" s="32"/>
      <c r="D424" s="32"/>
      <c r="E424" s="152"/>
      <c r="F424" s="152"/>
      <c r="G424" s="152"/>
      <c r="H424" s="32"/>
      <c r="I424" s="32"/>
      <c r="J424" s="3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</row>
    <row r="425" spans="1:28" ht="15.75" customHeight="1">
      <c r="A425" s="152"/>
      <c r="B425" s="234"/>
      <c r="C425" s="32"/>
      <c r="D425" s="32"/>
      <c r="E425" s="152"/>
      <c r="F425" s="152"/>
      <c r="G425" s="152"/>
      <c r="H425" s="32"/>
      <c r="I425" s="32"/>
      <c r="J425" s="3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</row>
    <row r="426" spans="1:28" ht="15.75" customHeight="1">
      <c r="A426" s="152"/>
      <c r="B426" s="234"/>
      <c r="C426" s="32"/>
      <c r="D426" s="32"/>
      <c r="E426" s="152"/>
      <c r="F426" s="152"/>
      <c r="G426" s="152"/>
      <c r="H426" s="32"/>
      <c r="I426" s="32"/>
      <c r="J426" s="3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</row>
    <row r="427" spans="1:28" ht="15.75" customHeight="1">
      <c r="A427" s="152"/>
      <c r="B427" s="234"/>
      <c r="C427" s="32"/>
      <c r="D427" s="32"/>
      <c r="E427" s="152"/>
      <c r="F427" s="152"/>
      <c r="G427" s="152"/>
      <c r="H427" s="32"/>
      <c r="I427" s="32"/>
      <c r="J427" s="3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</row>
    <row r="428" spans="1:28" ht="15.75" customHeight="1">
      <c r="A428" s="152"/>
      <c r="B428" s="234"/>
      <c r="C428" s="32"/>
      <c r="D428" s="32"/>
      <c r="E428" s="152"/>
      <c r="F428" s="152"/>
      <c r="G428" s="152"/>
      <c r="H428" s="32"/>
      <c r="I428" s="32"/>
      <c r="J428" s="3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</row>
    <row r="429" spans="1:28" ht="15.75" customHeight="1">
      <c r="A429" s="152"/>
      <c r="B429" s="234"/>
      <c r="C429" s="32"/>
      <c r="D429" s="32"/>
      <c r="E429" s="152"/>
      <c r="F429" s="152"/>
      <c r="G429" s="152"/>
      <c r="H429" s="32"/>
      <c r="I429" s="32"/>
      <c r="J429" s="3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</row>
    <row r="430" spans="1:28" ht="15.75" customHeight="1">
      <c r="A430" s="152"/>
      <c r="B430" s="234"/>
      <c r="C430" s="32"/>
      <c r="D430" s="32"/>
      <c r="E430" s="152"/>
      <c r="F430" s="152"/>
      <c r="G430" s="152"/>
      <c r="H430" s="32"/>
      <c r="I430" s="32"/>
      <c r="J430" s="3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</row>
    <row r="431" spans="1:28" ht="15.75" customHeight="1">
      <c r="A431" s="152"/>
      <c r="B431" s="234"/>
      <c r="C431" s="32"/>
      <c r="D431" s="32"/>
      <c r="E431" s="152"/>
      <c r="F431" s="152"/>
      <c r="G431" s="152"/>
      <c r="H431" s="32"/>
      <c r="I431" s="32"/>
      <c r="J431" s="3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</row>
    <row r="432" spans="1:28" ht="15.75" customHeight="1">
      <c r="A432" s="152"/>
      <c r="B432" s="234"/>
      <c r="C432" s="32"/>
      <c r="D432" s="32"/>
      <c r="E432" s="152"/>
      <c r="F432" s="152"/>
      <c r="G432" s="152"/>
      <c r="H432" s="32"/>
      <c r="I432" s="32"/>
      <c r="J432" s="3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</row>
    <row r="433" spans="1:28" ht="15.75" customHeight="1">
      <c r="A433" s="152"/>
      <c r="B433" s="234"/>
      <c r="C433" s="32"/>
      <c r="D433" s="32"/>
      <c r="E433" s="152"/>
      <c r="F433" s="152"/>
      <c r="G433" s="152"/>
      <c r="H433" s="32"/>
      <c r="I433" s="32"/>
      <c r="J433" s="3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</row>
    <row r="434" spans="1:28" ht="15.75" customHeight="1">
      <c r="A434" s="152"/>
      <c r="B434" s="234"/>
      <c r="C434" s="32"/>
      <c r="D434" s="32"/>
      <c r="E434" s="152"/>
      <c r="F434" s="152"/>
      <c r="G434" s="152"/>
      <c r="H434" s="32"/>
      <c r="I434" s="32"/>
      <c r="J434" s="3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</row>
    <row r="435" spans="1:28" ht="15.75" customHeight="1">
      <c r="A435" s="152"/>
      <c r="B435" s="234"/>
      <c r="C435" s="32"/>
      <c r="D435" s="32"/>
      <c r="E435" s="152"/>
      <c r="F435" s="152"/>
      <c r="G435" s="152"/>
      <c r="H435" s="32"/>
      <c r="I435" s="32"/>
      <c r="J435" s="3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</row>
    <row r="436" spans="1:28" ht="15.75" customHeight="1">
      <c r="A436" s="152"/>
      <c r="B436" s="234"/>
      <c r="C436" s="32"/>
      <c r="D436" s="32"/>
      <c r="E436" s="152"/>
      <c r="F436" s="152"/>
      <c r="G436" s="152"/>
      <c r="H436" s="32"/>
      <c r="I436" s="32"/>
      <c r="J436" s="3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</row>
    <row r="437" spans="1:28" ht="15.75" customHeight="1">
      <c r="A437" s="152"/>
      <c r="B437" s="234"/>
      <c r="C437" s="32"/>
      <c r="D437" s="32"/>
      <c r="E437" s="152"/>
      <c r="F437" s="152"/>
      <c r="G437" s="152"/>
      <c r="H437" s="32"/>
      <c r="I437" s="32"/>
      <c r="J437" s="3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</row>
    <row r="438" spans="1:28" ht="15.75" customHeight="1">
      <c r="A438" s="152"/>
      <c r="B438" s="234"/>
      <c r="C438" s="32"/>
      <c r="D438" s="32"/>
      <c r="E438" s="152"/>
      <c r="F438" s="152"/>
      <c r="G438" s="152"/>
      <c r="H438" s="32"/>
      <c r="I438" s="32"/>
      <c r="J438" s="3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</row>
    <row r="439" spans="1:28" ht="15.75" customHeight="1">
      <c r="A439" s="152"/>
      <c r="B439" s="234"/>
      <c r="C439" s="32"/>
      <c r="D439" s="32"/>
      <c r="E439" s="152"/>
      <c r="F439" s="152"/>
      <c r="G439" s="152"/>
      <c r="H439" s="32"/>
      <c r="I439" s="32"/>
      <c r="J439" s="3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</row>
    <row r="440" spans="1:28" ht="15.75" customHeight="1">
      <c r="A440" s="152"/>
      <c r="B440" s="234"/>
      <c r="C440" s="32"/>
      <c r="D440" s="32"/>
      <c r="E440" s="152"/>
      <c r="F440" s="152"/>
      <c r="G440" s="152"/>
      <c r="H440" s="32"/>
      <c r="I440" s="32"/>
      <c r="J440" s="3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</row>
    <row r="441" spans="1:28" ht="15.75" customHeight="1">
      <c r="A441" s="152"/>
      <c r="B441" s="234"/>
      <c r="C441" s="32"/>
      <c r="D441" s="32"/>
      <c r="E441" s="152"/>
      <c r="F441" s="152"/>
      <c r="G441" s="152"/>
      <c r="H441" s="32"/>
      <c r="I441" s="32"/>
      <c r="J441" s="3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</row>
    <row r="442" spans="1:28" ht="15.75" customHeight="1">
      <c r="A442" s="152"/>
      <c r="B442" s="234"/>
      <c r="C442" s="32"/>
      <c r="D442" s="32"/>
      <c r="E442" s="152"/>
      <c r="F442" s="152"/>
      <c r="G442" s="152"/>
      <c r="H442" s="32"/>
      <c r="I442" s="32"/>
      <c r="J442" s="3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</row>
    <row r="443" spans="1:28" ht="15.75" customHeight="1">
      <c r="A443" s="152"/>
      <c r="B443" s="234"/>
      <c r="C443" s="32"/>
      <c r="D443" s="32"/>
      <c r="E443" s="152"/>
      <c r="F443" s="152"/>
      <c r="G443" s="152"/>
      <c r="H443" s="32"/>
      <c r="I443" s="32"/>
      <c r="J443" s="3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</row>
    <row r="444" spans="1:28" ht="15.75" customHeight="1">
      <c r="A444" s="152"/>
      <c r="B444" s="234"/>
      <c r="C444" s="32"/>
      <c r="D444" s="32"/>
      <c r="E444" s="152"/>
      <c r="F444" s="152"/>
      <c r="G444" s="152"/>
      <c r="H444" s="32"/>
      <c r="I444" s="32"/>
      <c r="J444" s="3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</row>
    <row r="445" spans="1:28" ht="15.75" customHeight="1">
      <c r="A445" s="152"/>
      <c r="B445" s="234"/>
      <c r="C445" s="32"/>
      <c r="D445" s="32"/>
      <c r="E445" s="152"/>
      <c r="F445" s="152"/>
      <c r="G445" s="152"/>
      <c r="H445" s="32"/>
      <c r="I445" s="32"/>
      <c r="J445" s="3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</row>
    <row r="446" spans="1:28" ht="15.75" customHeight="1">
      <c r="A446" s="152"/>
      <c r="B446" s="234"/>
      <c r="C446" s="32"/>
      <c r="D446" s="32"/>
      <c r="E446" s="152"/>
      <c r="F446" s="152"/>
      <c r="G446" s="152"/>
      <c r="H446" s="32"/>
      <c r="I446" s="32"/>
      <c r="J446" s="3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</row>
    <row r="447" spans="1:28" ht="15.75" customHeight="1">
      <c r="A447" s="152"/>
      <c r="B447" s="234"/>
      <c r="C447" s="32"/>
      <c r="D447" s="32"/>
      <c r="E447" s="152"/>
      <c r="F447" s="152"/>
      <c r="G447" s="152"/>
      <c r="H447" s="32"/>
      <c r="I447" s="32"/>
      <c r="J447" s="3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</row>
    <row r="448" spans="1:28" ht="15.75" customHeight="1">
      <c r="A448" s="152"/>
      <c r="B448" s="234"/>
      <c r="C448" s="32"/>
      <c r="D448" s="32"/>
      <c r="E448" s="152"/>
      <c r="F448" s="152"/>
      <c r="G448" s="152"/>
      <c r="H448" s="32"/>
      <c r="I448" s="32"/>
      <c r="J448" s="3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</row>
    <row r="449" spans="1:28" ht="15.75" customHeight="1">
      <c r="A449" s="152"/>
      <c r="B449" s="234"/>
      <c r="C449" s="32"/>
      <c r="D449" s="32"/>
      <c r="E449" s="152"/>
      <c r="F449" s="152"/>
      <c r="G449" s="152"/>
      <c r="H449" s="32"/>
      <c r="I449" s="32"/>
      <c r="J449" s="3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</row>
    <row r="450" spans="1:28" ht="15.75" customHeight="1">
      <c r="A450" s="152"/>
      <c r="B450" s="234"/>
      <c r="C450" s="32"/>
      <c r="D450" s="32"/>
      <c r="E450" s="152"/>
      <c r="F450" s="152"/>
      <c r="G450" s="152"/>
      <c r="H450" s="32"/>
      <c r="I450" s="32"/>
      <c r="J450" s="3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</row>
    <row r="451" spans="1:28" ht="15.75" customHeight="1">
      <c r="A451" s="152"/>
      <c r="B451" s="234"/>
      <c r="C451" s="32"/>
      <c r="D451" s="32"/>
      <c r="E451" s="152"/>
      <c r="F451" s="152"/>
      <c r="G451" s="152"/>
      <c r="H451" s="32"/>
      <c r="I451" s="32"/>
      <c r="J451" s="3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</row>
    <row r="452" spans="1:28" ht="15.75" customHeight="1">
      <c r="A452" s="152"/>
      <c r="B452" s="234"/>
      <c r="C452" s="32"/>
      <c r="D452" s="32"/>
      <c r="E452" s="152"/>
      <c r="F452" s="152"/>
      <c r="G452" s="152"/>
      <c r="H452" s="32"/>
      <c r="I452" s="32"/>
      <c r="J452" s="3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</row>
    <row r="453" spans="1:28" ht="15.75" customHeight="1">
      <c r="A453" s="152"/>
      <c r="B453" s="234"/>
      <c r="C453" s="32"/>
      <c r="D453" s="32"/>
      <c r="E453" s="152"/>
      <c r="F453" s="152"/>
      <c r="G453" s="152"/>
      <c r="H453" s="32"/>
      <c r="I453" s="32"/>
      <c r="J453" s="3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</row>
    <row r="454" spans="1:28" ht="15.75" customHeight="1">
      <c r="A454" s="152"/>
      <c r="B454" s="234"/>
      <c r="C454" s="32"/>
      <c r="D454" s="32"/>
      <c r="E454" s="152"/>
      <c r="F454" s="152"/>
      <c r="G454" s="152"/>
      <c r="H454" s="32"/>
      <c r="I454" s="32"/>
      <c r="J454" s="3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</row>
    <row r="455" spans="1:28" ht="15.75" customHeight="1">
      <c r="A455" s="152"/>
      <c r="B455" s="234"/>
      <c r="C455" s="32"/>
      <c r="D455" s="32"/>
      <c r="E455" s="152"/>
      <c r="F455" s="152"/>
      <c r="G455" s="152"/>
      <c r="H455" s="32"/>
      <c r="I455" s="32"/>
      <c r="J455" s="3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</row>
    <row r="456" spans="1:28" ht="15.75" customHeight="1">
      <c r="A456" s="152"/>
      <c r="B456" s="234"/>
      <c r="C456" s="32"/>
      <c r="D456" s="32"/>
      <c r="E456" s="152"/>
      <c r="F456" s="152"/>
      <c r="G456" s="152"/>
      <c r="H456" s="32"/>
      <c r="I456" s="32"/>
      <c r="J456" s="3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</row>
    <row r="457" spans="1:28" ht="15.75" customHeight="1">
      <c r="A457" s="152"/>
      <c r="B457" s="234"/>
      <c r="C457" s="32"/>
      <c r="D457" s="32"/>
      <c r="E457" s="152"/>
      <c r="F457" s="152"/>
      <c r="G457" s="152"/>
      <c r="H457" s="32"/>
      <c r="I457" s="32"/>
      <c r="J457" s="3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</row>
    <row r="458" spans="1:28" ht="15.75" customHeight="1">
      <c r="A458" s="152"/>
      <c r="B458" s="234"/>
      <c r="C458" s="32"/>
      <c r="D458" s="32"/>
      <c r="E458" s="152"/>
      <c r="F458" s="152"/>
      <c r="G458" s="152"/>
      <c r="H458" s="32"/>
      <c r="I458" s="32"/>
      <c r="J458" s="3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</row>
    <row r="459" spans="1:28" ht="15.75" customHeight="1">
      <c r="A459" s="152"/>
      <c r="B459" s="234"/>
      <c r="C459" s="32"/>
      <c r="D459" s="32"/>
      <c r="E459" s="152"/>
      <c r="F459" s="152"/>
      <c r="G459" s="152"/>
      <c r="H459" s="32"/>
      <c r="I459" s="32"/>
      <c r="J459" s="3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</row>
    <row r="460" spans="1:28" ht="15.75" customHeight="1">
      <c r="A460" s="152"/>
      <c r="B460" s="234"/>
      <c r="C460" s="32"/>
      <c r="D460" s="32"/>
      <c r="E460" s="152"/>
      <c r="F460" s="152"/>
      <c r="G460" s="152"/>
      <c r="H460" s="32"/>
      <c r="I460" s="32"/>
      <c r="J460" s="3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</row>
    <row r="461" spans="1:28" ht="15.75" customHeight="1">
      <c r="A461" s="152"/>
      <c r="B461" s="234"/>
      <c r="C461" s="32"/>
      <c r="D461" s="32"/>
      <c r="E461" s="152"/>
      <c r="F461" s="152"/>
      <c r="G461" s="152"/>
      <c r="H461" s="32"/>
      <c r="I461" s="32"/>
      <c r="J461" s="3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</row>
    <row r="462" spans="1:28" ht="15.75" customHeight="1">
      <c r="A462" s="152"/>
      <c r="B462" s="234"/>
      <c r="C462" s="32"/>
      <c r="D462" s="32"/>
      <c r="E462" s="152"/>
      <c r="F462" s="152"/>
      <c r="G462" s="152"/>
      <c r="H462" s="32"/>
      <c r="I462" s="32"/>
      <c r="J462" s="3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</row>
    <row r="463" spans="1:28" ht="15.75" customHeight="1">
      <c r="A463" s="152"/>
      <c r="B463" s="234"/>
      <c r="C463" s="32"/>
      <c r="D463" s="32"/>
      <c r="E463" s="152"/>
      <c r="F463" s="152"/>
      <c r="G463" s="152"/>
      <c r="H463" s="32"/>
      <c r="I463" s="32"/>
      <c r="J463" s="3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</row>
    <row r="464" spans="1:28" ht="15.75" customHeight="1">
      <c r="A464" s="152"/>
      <c r="B464" s="234"/>
      <c r="C464" s="32"/>
      <c r="D464" s="32"/>
      <c r="E464" s="152"/>
      <c r="F464" s="152"/>
      <c r="G464" s="152"/>
      <c r="H464" s="32"/>
      <c r="I464" s="32"/>
      <c r="J464" s="3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</row>
    <row r="465" spans="1:28" ht="15.75" customHeight="1">
      <c r="A465" s="152"/>
      <c r="B465" s="234"/>
      <c r="C465" s="32"/>
      <c r="D465" s="32"/>
      <c r="E465" s="152"/>
      <c r="F465" s="152"/>
      <c r="G465" s="152"/>
      <c r="H465" s="32"/>
      <c r="I465" s="32"/>
      <c r="J465" s="3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</row>
    <row r="466" spans="1:28" ht="15.75" customHeight="1">
      <c r="A466" s="152"/>
      <c r="B466" s="234"/>
      <c r="C466" s="32"/>
      <c r="D466" s="32"/>
      <c r="E466" s="152"/>
      <c r="F466" s="152"/>
      <c r="G466" s="152"/>
      <c r="H466" s="32"/>
      <c r="I466" s="32"/>
      <c r="J466" s="3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</row>
    <row r="467" spans="1:28" ht="15.75" customHeight="1">
      <c r="A467" s="152"/>
      <c r="B467" s="234"/>
      <c r="C467" s="32"/>
      <c r="D467" s="32"/>
      <c r="E467" s="152"/>
      <c r="F467" s="152"/>
      <c r="G467" s="152"/>
      <c r="H467" s="32"/>
      <c r="I467" s="32"/>
      <c r="J467" s="3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</row>
    <row r="468" spans="1:28" ht="15.75" customHeight="1">
      <c r="A468" s="152"/>
      <c r="B468" s="234"/>
      <c r="C468" s="32"/>
      <c r="D468" s="32"/>
      <c r="E468" s="152"/>
      <c r="F468" s="152"/>
      <c r="G468" s="152"/>
      <c r="H468" s="32"/>
      <c r="I468" s="32"/>
      <c r="J468" s="3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</row>
    <row r="469" spans="1:28" ht="15.75" customHeight="1">
      <c r="A469" s="152"/>
      <c r="B469" s="234"/>
      <c r="C469" s="32"/>
      <c r="D469" s="32"/>
      <c r="E469" s="152"/>
      <c r="F469" s="152"/>
      <c r="G469" s="152"/>
      <c r="H469" s="32"/>
      <c r="I469" s="32"/>
      <c r="J469" s="3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</row>
    <row r="470" spans="1:28" ht="15.75" customHeight="1">
      <c r="A470" s="152"/>
      <c r="B470" s="234"/>
      <c r="C470" s="32"/>
      <c r="D470" s="32"/>
      <c r="E470" s="152"/>
      <c r="F470" s="152"/>
      <c r="G470" s="152"/>
      <c r="H470" s="32"/>
      <c r="I470" s="32"/>
      <c r="J470" s="3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</row>
    <row r="471" spans="1:28" ht="15.75" customHeight="1">
      <c r="A471" s="152"/>
      <c r="B471" s="234"/>
      <c r="C471" s="32"/>
      <c r="D471" s="32"/>
      <c r="E471" s="152"/>
      <c r="F471" s="152"/>
      <c r="G471" s="152"/>
      <c r="H471" s="32"/>
      <c r="I471" s="32"/>
      <c r="J471" s="3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</row>
    <row r="472" spans="1:28" ht="15.75" customHeight="1">
      <c r="A472" s="152"/>
      <c r="B472" s="234"/>
      <c r="C472" s="32"/>
      <c r="D472" s="32"/>
      <c r="E472" s="152"/>
      <c r="F472" s="152"/>
      <c r="G472" s="152"/>
      <c r="H472" s="32"/>
      <c r="I472" s="32"/>
      <c r="J472" s="3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</row>
    <row r="473" spans="1:28" ht="15.75" customHeight="1">
      <c r="A473" s="152"/>
      <c r="B473" s="234"/>
      <c r="C473" s="32"/>
      <c r="D473" s="32"/>
      <c r="E473" s="152"/>
      <c r="F473" s="152"/>
      <c r="G473" s="152"/>
      <c r="H473" s="32"/>
      <c r="I473" s="32"/>
      <c r="J473" s="3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</row>
    <row r="474" spans="1:28" ht="15.75" customHeight="1">
      <c r="A474" s="152"/>
      <c r="B474" s="234"/>
      <c r="C474" s="32"/>
      <c r="D474" s="32"/>
      <c r="E474" s="152"/>
      <c r="F474" s="152"/>
      <c r="G474" s="152"/>
      <c r="H474" s="32"/>
      <c r="I474" s="32"/>
      <c r="J474" s="3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</row>
    <row r="475" spans="1:28" ht="15.75" customHeight="1">
      <c r="A475" s="152"/>
      <c r="B475" s="234"/>
      <c r="C475" s="32"/>
      <c r="D475" s="32"/>
      <c r="E475" s="152"/>
      <c r="F475" s="152"/>
      <c r="G475" s="152"/>
      <c r="H475" s="32"/>
      <c r="I475" s="32"/>
      <c r="J475" s="3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</row>
    <row r="476" spans="1:28" ht="15.75" customHeight="1">
      <c r="A476" s="152"/>
      <c r="B476" s="234"/>
      <c r="C476" s="32"/>
      <c r="D476" s="32"/>
      <c r="E476" s="152"/>
      <c r="F476" s="152"/>
      <c r="G476" s="152"/>
      <c r="H476" s="32"/>
      <c r="I476" s="32"/>
      <c r="J476" s="3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</row>
    <row r="477" spans="1:28" ht="15.75" customHeight="1">
      <c r="A477" s="152"/>
      <c r="B477" s="234"/>
      <c r="C477" s="32"/>
      <c r="D477" s="32"/>
      <c r="E477" s="152"/>
      <c r="F477" s="152"/>
      <c r="G477" s="152"/>
      <c r="H477" s="32"/>
      <c r="I477" s="32"/>
      <c r="J477" s="3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</row>
    <row r="478" spans="1:28" ht="15.75" customHeight="1">
      <c r="A478" s="152"/>
      <c r="B478" s="234"/>
      <c r="C478" s="32"/>
      <c r="D478" s="32"/>
      <c r="E478" s="152"/>
      <c r="F478" s="152"/>
      <c r="G478" s="152"/>
      <c r="H478" s="32"/>
      <c r="I478" s="32"/>
      <c r="J478" s="3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</row>
    <row r="479" spans="1:28" ht="15.75" customHeight="1">
      <c r="A479" s="152"/>
      <c r="B479" s="234"/>
      <c r="C479" s="32"/>
      <c r="D479" s="32"/>
      <c r="E479" s="152"/>
      <c r="F479" s="152"/>
      <c r="G479" s="152"/>
      <c r="H479" s="32"/>
      <c r="I479" s="32"/>
      <c r="J479" s="3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</row>
    <row r="480" spans="1:28" ht="15.75" customHeight="1">
      <c r="A480" s="152"/>
      <c r="B480" s="234"/>
      <c r="C480" s="32"/>
      <c r="D480" s="32"/>
      <c r="E480" s="152"/>
      <c r="F480" s="152"/>
      <c r="G480" s="152"/>
      <c r="H480" s="32"/>
      <c r="I480" s="32"/>
      <c r="J480" s="3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</row>
    <row r="481" spans="1:28" ht="15.75" customHeight="1">
      <c r="A481" s="152"/>
      <c r="B481" s="234"/>
      <c r="C481" s="32"/>
      <c r="D481" s="32"/>
      <c r="E481" s="152"/>
      <c r="F481" s="152"/>
      <c r="G481" s="152"/>
      <c r="H481" s="32"/>
      <c r="I481" s="32"/>
      <c r="J481" s="3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</row>
    <row r="482" spans="1:28" ht="15.75" customHeight="1">
      <c r="A482" s="152"/>
      <c r="B482" s="234"/>
      <c r="C482" s="32"/>
      <c r="D482" s="32"/>
      <c r="E482" s="152"/>
      <c r="F482" s="152"/>
      <c r="G482" s="152"/>
      <c r="H482" s="32"/>
      <c r="I482" s="32"/>
      <c r="J482" s="3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</row>
    <row r="483" spans="1:28" ht="15.75" customHeight="1">
      <c r="A483" s="152"/>
      <c r="B483" s="234"/>
      <c r="C483" s="32"/>
      <c r="D483" s="32"/>
      <c r="E483" s="152"/>
      <c r="F483" s="152"/>
      <c r="G483" s="152"/>
      <c r="H483" s="32"/>
      <c r="I483" s="32"/>
      <c r="J483" s="3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</row>
    <row r="484" spans="1:28" ht="15.75" customHeight="1">
      <c r="A484" s="152"/>
      <c r="B484" s="234"/>
      <c r="C484" s="32"/>
      <c r="D484" s="32"/>
      <c r="E484" s="152"/>
      <c r="F484" s="152"/>
      <c r="G484" s="152"/>
      <c r="H484" s="32"/>
      <c r="I484" s="32"/>
      <c r="J484" s="3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</row>
    <row r="485" spans="1:28" ht="15.75" customHeight="1">
      <c r="A485" s="152"/>
      <c r="B485" s="234"/>
      <c r="C485" s="32"/>
      <c r="D485" s="32"/>
      <c r="E485" s="152"/>
      <c r="F485" s="152"/>
      <c r="G485" s="152"/>
      <c r="H485" s="32"/>
      <c r="I485" s="32"/>
      <c r="J485" s="3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</row>
    <row r="486" spans="1:28" ht="15.75" customHeight="1">
      <c r="A486" s="152"/>
      <c r="B486" s="234"/>
      <c r="C486" s="32"/>
      <c r="D486" s="32"/>
      <c r="E486" s="152"/>
      <c r="F486" s="152"/>
      <c r="G486" s="152"/>
      <c r="H486" s="32"/>
      <c r="I486" s="32"/>
      <c r="J486" s="3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</row>
    <row r="487" spans="1:28" ht="15.75" customHeight="1">
      <c r="A487" s="152"/>
      <c r="B487" s="234"/>
      <c r="C487" s="32"/>
      <c r="D487" s="32"/>
      <c r="E487" s="152"/>
      <c r="F487" s="152"/>
      <c r="G487" s="152"/>
      <c r="H487" s="32"/>
      <c r="I487" s="32"/>
      <c r="J487" s="3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</row>
    <row r="488" spans="1:28" ht="15.75" customHeight="1">
      <c r="A488" s="152"/>
      <c r="B488" s="234"/>
      <c r="C488" s="32"/>
      <c r="D488" s="32"/>
      <c r="E488" s="152"/>
      <c r="F488" s="152"/>
      <c r="G488" s="152"/>
      <c r="H488" s="32"/>
      <c r="I488" s="32"/>
      <c r="J488" s="3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</row>
    <row r="489" spans="1:28" ht="15.75" customHeight="1">
      <c r="A489" s="152"/>
      <c r="B489" s="234"/>
      <c r="C489" s="32"/>
      <c r="D489" s="32"/>
      <c r="E489" s="152"/>
      <c r="F489" s="152"/>
      <c r="G489" s="152"/>
      <c r="H489" s="32"/>
      <c r="I489" s="32"/>
      <c r="J489" s="3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</row>
    <row r="490" spans="1:28" ht="15.75" customHeight="1">
      <c r="A490" s="152"/>
      <c r="B490" s="234"/>
      <c r="C490" s="32"/>
      <c r="D490" s="32"/>
      <c r="E490" s="152"/>
      <c r="F490" s="152"/>
      <c r="G490" s="152"/>
      <c r="H490" s="32"/>
      <c r="I490" s="32"/>
      <c r="J490" s="3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</row>
    <row r="491" spans="1:28" ht="15.75" customHeight="1">
      <c r="A491" s="152"/>
      <c r="B491" s="234"/>
      <c r="C491" s="32"/>
      <c r="D491" s="32"/>
      <c r="E491" s="152"/>
      <c r="F491" s="152"/>
      <c r="G491" s="152"/>
      <c r="H491" s="32"/>
      <c r="I491" s="32"/>
      <c r="J491" s="3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</row>
    <row r="492" spans="1:28" ht="15.75" customHeight="1">
      <c r="A492" s="152"/>
      <c r="B492" s="234"/>
      <c r="C492" s="32"/>
      <c r="D492" s="32"/>
      <c r="E492" s="152"/>
      <c r="F492" s="152"/>
      <c r="G492" s="152"/>
      <c r="H492" s="32"/>
      <c r="I492" s="32"/>
      <c r="J492" s="3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</row>
    <row r="493" spans="1:28" ht="15.75" customHeight="1">
      <c r="A493" s="152"/>
      <c r="B493" s="234"/>
      <c r="C493" s="32"/>
      <c r="D493" s="32"/>
      <c r="E493" s="152"/>
      <c r="F493" s="152"/>
      <c r="G493" s="152"/>
      <c r="H493" s="32"/>
      <c r="I493" s="32"/>
      <c r="J493" s="3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</row>
    <row r="494" spans="1:28" ht="15.75" customHeight="1">
      <c r="A494" s="152"/>
      <c r="B494" s="234"/>
      <c r="C494" s="32"/>
      <c r="D494" s="32"/>
      <c r="E494" s="152"/>
      <c r="F494" s="152"/>
      <c r="G494" s="152"/>
      <c r="H494" s="32"/>
      <c r="I494" s="32"/>
      <c r="J494" s="3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</row>
    <row r="495" spans="1:28" ht="15.75" customHeight="1">
      <c r="A495" s="152"/>
      <c r="B495" s="234"/>
      <c r="C495" s="32"/>
      <c r="D495" s="32"/>
      <c r="E495" s="152"/>
      <c r="F495" s="152"/>
      <c r="G495" s="152"/>
      <c r="H495" s="32"/>
      <c r="I495" s="32"/>
      <c r="J495" s="3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</row>
    <row r="496" spans="1:28" ht="15.75" customHeight="1">
      <c r="A496" s="152"/>
      <c r="B496" s="234"/>
      <c r="C496" s="32"/>
      <c r="D496" s="32"/>
      <c r="E496" s="152"/>
      <c r="F496" s="152"/>
      <c r="G496" s="152"/>
      <c r="H496" s="32"/>
      <c r="I496" s="32"/>
      <c r="J496" s="3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</row>
    <row r="497" spans="1:28" ht="15.75" customHeight="1">
      <c r="A497" s="152"/>
      <c r="B497" s="234"/>
      <c r="C497" s="32"/>
      <c r="D497" s="32"/>
      <c r="E497" s="152"/>
      <c r="F497" s="152"/>
      <c r="G497" s="152"/>
      <c r="H497" s="32"/>
      <c r="I497" s="32"/>
      <c r="J497" s="3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</row>
    <row r="498" spans="1:28" ht="15.75" customHeight="1">
      <c r="A498" s="152"/>
      <c r="B498" s="234"/>
      <c r="C498" s="32"/>
      <c r="D498" s="32"/>
      <c r="E498" s="152"/>
      <c r="F498" s="152"/>
      <c r="G498" s="152"/>
      <c r="H498" s="32"/>
      <c r="I498" s="32"/>
      <c r="J498" s="3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</row>
    <row r="499" spans="1:28" ht="15.75" customHeight="1">
      <c r="A499" s="152"/>
      <c r="B499" s="234"/>
      <c r="C499" s="32"/>
      <c r="D499" s="32"/>
      <c r="E499" s="152"/>
      <c r="F499" s="152"/>
      <c r="G499" s="152"/>
      <c r="H499" s="32"/>
      <c r="I499" s="32"/>
      <c r="J499" s="3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</row>
    <row r="500" spans="1:28" ht="15.75" customHeight="1">
      <c r="A500" s="152"/>
      <c r="B500" s="234"/>
      <c r="C500" s="32"/>
      <c r="D500" s="32"/>
      <c r="E500" s="152"/>
      <c r="F500" s="152"/>
      <c r="G500" s="152"/>
      <c r="H500" s="32"/>
      <c r="I500" s="32"/>
      <c r="J500" s="3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</row>
    <row r="501" spans="1:28" ht="15.75" customHeight="1">
      <c r="A501" s="152"/>
      <c r="B501" s="234"/>
      <c r="C501" s="32"/>
      <c r="D501" s="32"/>
      <c r="E501" s="152"/>
      <c r="F501" s="152"/>
      <c r="G501" s="152"/>
      <c r="H501" s="32"/>
      <c r="I501" s="32"/>
      <c r="J501" s="3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</row>
    <row r="502" spans="1:28" ht="15.75" customHeight="1">
      <c r="A502" s="152"/>
      <c r="B502" s="234"/>
      <c r="C502" s="32"/>
      <c r="D502" s="32"/>
      <c r="E502" s="152"/>
      <c r="F502" s="152"/>
      <c r="G502" s="152"/>
      <c r="H502" s="32"/>
      <c r="I502" s="32"/>
      <c r="J502" s="3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</row>
    <row r="503" spans="1:28" ht="15.75" customHeight="1">
      <c r="A503" s="152"/>
      <c r="B503" s="234"/>
      <c r="C503" s="32"/>
      <c r="D503" s="32"/>
      <c r="E503" s="152"/>
      <c r="F503" s="152"/>
      <c r="G503" s="152"/>
      <c r="H503" s="32"/>
      <c r="I503" s="32"/>
      <c r="J503" s="3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</row>
    <row r="504" spans="1:28" ht="15.75" customHeight="1">
      <c r="A504" s="152"/>
      <c r="B504" s="234"/>
      <c r="C504" s="32"/>
      <c r="D504" s="32"/>
      <c r="E504" s="152"/>
      <c r="F504" s="152"/>
      <c r="G504" s="152"/>
      <c r="H504" s="32"/>
      <c r="I504" s="32"/>
      <c r="J504" s="3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</row>
    <row r="505" spans="1:28" ht="15.75" customHeight="1">
      <c r="A505" s="152"/>
      <c r="B505" s="234"/>
      <c r="C505" s="32"/>
      <c r="D505" s="32"/>
      <c r="E505" s="152"/>
      <c r="F505" s="152"/>
      <c r="G505" s="152"/>
      <c r="H505" s="32"/>
      <c r="I505" s="32"/>
      <c r="J505" s="3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</row>
    <row r="506" spans="1:28" ht="15.75" customHeight="1">
      <c r="A506" s="152"/>
      <c r="B506" s="234"/>
      <c r="C506" s="32"/>
      <c r="D506" s="32"/>
      <c r="E506" s="152"/>
      <c r="F506" s="152"/>
      <c r="G506" s="152"/>
      <c r="H506" s="32"/>
      <c r="I506" s="32"/>
      <c r="J506" s="3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</row>
    <row r="507" spans="1:28" ht="15.75" customHeight="1">
      <c r="A507" s="152"/>
      <c r="B507" s="234"/>
      <c r="C507" s="32"/>
      <c r="D507" s="32"/>
      <c r="E507" s="152"/>
      <c r="F507" s="152"/>
      <c r="G507" s="152"/>
      <c r="H507" s="32"/>
      <c r="I507" s="32"/>
      <c r="J507" s="3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</row>
    <row r="508" spans="1:28" ht="15.75" customHeight="1">
      <c r="A508" s="152"/>
      <c r="B508" s="234"/>
      <c r="C508" s="32"/>
      <c r="D508" s="32"/>
      <c r="E508" s="152"/>
      <c r="F508" s="152"/>
      <c r="G508" s="152"/>
      <c r="H508" s="32"/>
      <c r="I508" s="32"/>
      <c r="J508" s="3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</row>
    <row r="509" spans="1:28" ht="15.75" customHeight="1">
      <c r="A509" s="152"/>
      <c r="B509" s="234"/>
      <c r="C509" s="32"/>
      <c r="D509" s="32"/>
      <c r="E509" s="152"/>
      <c r="F509" s="152"/>
      <c r="G509" s="152"/>
      <c r="H509" s="32"/>
      <c r="I509" s="32"/>
      <c r="J509" s="3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</row>
    <row r="510" spans="1:28" ht="15.75" customHeight="1">
      <c r="A510" s="152"/>
      <c r="B510" s="234"/>
      <c r="C510" s="32"/>
      <c r="D510" s="32"/>
      <c r="E510" s="152"/>
      <c r="F510" s="152"/>
      <c r="G510" s="152"/>
      <c r="H510" s="32"/>
      <c r="I510" s="32"/>
      <c r="J510" s="3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</row>
    <row r="511" spans="1:28" ht="15.75" customHeight="1">
      <c r="A511" s="152"/>
      <c r="B511" s="234"/>
      <c r="C511" s="32"/>
      <c r="D511" s="32"/>
      <c r="E511" s="152"/>
      <c r="F511" s="152"/>
      <c r="G511" s="152"/>
      <c r="H511" s="32"/>
      <c r="I511" s="32"/>
      <c r="J511" s="3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</row>
    <row r="512" spans="1:28" ht="15.75" customHeight="1">
      <c r="A512" s="152"/>
      <c r="B512" s="234"/>
      <c r="C512" s="32"/>
      <c r="D512" s="32"/>
      <c r="E512" s="152"/>
      <c r="F512" s="152"/>
      <c r="G512" s="152"/>
      <c r="H512" s="32"/>
      <c r="I512" s="32"/>
      <c r="J512" s="3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</row>
    <row r="513" spans="1:28" ht="15.75" customHeight="1">
      <c r="A513" s="152"/>
      <c r="B513" s="234"/>
      <c r="C513" s="32"/>
      <c r="D513" s="32"/>
      <c r="E513" s="152"/>
      <c r="F513" s="152"/>
      <c r="G513" s="152"/>
      <c r="H513" s="32"/>
      <c r="I513" s="32"/>
      <c r="J513" s="3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</row>
    <row r="514" spans="1:28" ht="15.75" customHeight="1">
      <c r="A514" s="152"/>
      <c r="B514" s="234"/>
      <c r="C514" s="32"/>
      <c r="D514" s="32"/>
      <c r="E514" s="152"/>
      <c r="F514" s="152"/>
      <c r="G514" s="152"/>
      <c r="H514" s="32"/>
      <c r="I514" s="32"/>
      <c r="J514" s="3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</row>
    <row r="515" spans="1:28" ht="15.75" customHeight="1">
      <c r="A515" s="152"/>
      <c r="B515" s="234"/>
      <c r="C515" s="32"/>
      <c r="D515" s="32"/>
      <c r="E515" s="152"/>
      <c r="F515" s="152"/>
      <c r="G515" s="152"/>
      <c r="H515" s="32"/>
      <c r="I515" s="32"/>
      <c r="J515" s="3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</row>
    <row r="516" spans="1:28" ht="15.75" customHeight="1">
      <c r="A516" s="152"/>
      <c r="B516" s="234"/>
      <c r="C516" s="32"/>
      <c r="D516" s="32"/>
      <c r="E516" s="152"/>
      <c r="F516" s="152"/>
      <c r="G516" s="152"/>
      <c r="H516" s="32"/>
      <c r="I516" s="32"/>
      <c r="J516" s="3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</row>
    <row r="517" spans="1:28" ht="15.75" customHeight="1">
      <c r="A517" s="152"/>
      <c r="B517" s="234"/>
      <c r="C517" s="32"/>
      <c r="D517" s="32"/>
      <c r="E517" s="152"/>
      <c r="F517" s="152"/>
      <c r="G517" s="152"/>
      <c r="H517" s="32"/>
      <c r="I517" s="32"/>
      <c r="J517" s="3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</row>
    <row r="518" spans="1:28" ht="15.75" customHeight="1">
      <c r="A518" s="152"/>
      <c r="B518" s="234"/>
      <c r="C518" s="32"/>
      <c r="D518" s="32"/>
      <c r="E518" s="152"/>
      <c r="F518" s="152"/>
      <c r="G518" s="152"/>
      <c r="H518" s="32"/>
      <c r="I518" s="32"/>
      <c r="J518" s="3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</row>
    <row r="519" spans="1:28" ht="15.75" customHeight="1">
      <c r="A519" s="152"/>
      <c r="B519" s="234"/>
      <c r="C519" s="32"/>
      <c r="D519" s="32"/>
      <c r="E519" s="152"/>
      <c r="F519" s="152"/>
      <c r="G519" s="152"/>
      <c r="H519" s="32"/>
      <c r="I519" s="32"/>
      <c r="J519" s="3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</row>
    <row r="520" spans="1:28" ht="15.75" customHeight="1">
      <c r="A520" s="152"/>
      <c r="B520" s="234"/>
      <c r="C520" s="32"/>
      <c r="D520" s="32"/>
      <c r="E520" s="152"/>
      <c r="F520" s="152"/>
      <c r="G520" s="152"/>
      <c r="H520" s="32"/>
      <c r="I520" s="32"/>
      <c r="J520" s="3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</row>
    <row r="521" spans="1:28" ht="15.75" customHeight="1">
      <c r="A521" s="152"/>
      <c r="B521" s="234"/>
      <c r="C521" s="32"/>
      <c r="D521" s="32"/>
      <c r="E521" s="152"/>
      <c r="F521" s="152"/>
      <c r="G521" s="152"/>
      <c r="H521" s="32"/>
      <c r="I521" s="32"/>
      <c r="J521" s="3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</row>
    <row r="522" spans="1:28" ht="15.75" customHeight="1">
      <c r="A522" s="152"/>
      <c r="B522" s="234"/>
      <c r="C522" s="32"/>
      <c r="D522" s="32"/>
      <c r="E522" s="152"/>
      <c r="F522" s="152"/>
      <c r="G522" s="152"/>
      <c r="H522" s="32"/>
      <c r="I522" s="32"/>
      <c r="J522" s="3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</row>
    <row r="523" spans="1:28" ht="15.75" customHeight="1">
      <c r="A523" s="152"/>
      <c r="B523" s="234"/>
      <c r="C523" s="32"/>
      <c r="D523" s="32"/>
      <c r="E523" s="152"/>
      <c r="F523" s="152"/>
      <c r="G523" s="152"/>
      <c r="H523" s="32"/>
      <c r="I523" s="32"/>
      <c r="J523" s="3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</row>
    <row r="524" spans="1:28" ht="15.75" customHeight="1">
      <c r="A524" s="152"/>
      <c r="B524" s="234"/>
      <c r="C524" s="32"/>
      <c r="D524" s="32"/>
      <c r="E524" s="152"/>
      <c r="F524" s="152"/>
      <c r="G524" s="152"/>
      <c r="H524" s="32"/>
      <c r="I524" s="32"/>
      <c r="J524" s="3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</row>
    <row r="525" spans="1:28" ht="15.75" customHeight="1">
      <c r="A525" s="152"/>
      <c r="B525" s="234"/>
      <c r="C525" s="32"/>
      <c r="D525" s="32"/>
      <c r="E525" s="152"/>
      <c r="F525" s="152"/>
      <c r="G525" s="152"/>
      <c r="H525" s="32"/>
      <c r="I525" s="32"/>
      <c r="J525" s="3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</row>
    <row r="526" spans="1:28" ht="15.75" customHeight="1">
      <c r="A526" s="152"/>
      <c r="B526" s="234"/>
      <c r="C526" s="32"/>
      <c r="D526" s="32"/>
      <c r="E526" s="152"/>
      <c r="F526" s="152"/>
      <c r="G526" s="152"/>
      <c r="H526" s="32"/>
      <c r="I526" s="32"/>
      <c r="J526" s="3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</row>
    <row r="527" spans="1:28" ht="15.75" customHeight="1">
      <c r="A527" s="152"/>
      <c r="B527" s="234"/>
      <c r="C527" s="32"/>
      <c r="D527" s="32"/>
      <c r="E527" s="152"/>
      <c r="F527" s="152"/>
      <c r="G527" s="152"/>
      <c r="H527" s="32"/>
      <c r="I527" s="32"/>
      <c r="J527" s="3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</row>
    <row r="528" spans="1:28" ht="15.75" customHeight="1">
      <c r="A528" s="152"/>
      <c r="B528" s="234"/>
      <c r="C528" s="32"/>
      <c r="D528" s="32"/>
      <c r="E528" s="152"/>
      <c r="F528" s="152"/>
      <c r="G528" s="152"/>
      <c r="H528" s="32"/>
      <c r="I528" s="32"/>
      <c r="J528" s="3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</row>
    <row r="529" spans="1:28" ht="15.75" customHeight="1">
      <c r="A529" s="152"/>
      <c r="B529" s="234"/>
      <c r="C529" s="32"/>
      <c r="D529" s="32"/>
      <c r="E529" s="152"/>
      <c r="F529" s="152"/>
      <c r="G529" s="152"/>
      <c r="H529" s="32"/>
      <c r="I529" s="32"/>
      <c r="J529" s="3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</row>
    <row r="530" spans="1:28" ht="15.75" customHeight="1">
      <c r="A530" s="152"/>
      <c r="B530" s="234"/>
      <c r="C530" s="32"/>
      <c r="D530" s="32"/>
      <c r="E530" s="152"/>
      <c r="F530" s="152"/>
      <c r="G530" s="152"/>
      <c r="H530" s="32"/>
      <c r="I530" s="32"/>
      <c r="J530" s="3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</row>
    <row r="531" spans="1:28" ht="15.75" customHeight="1">
      <c r="A531" s="152"/>
      <c r="B531" s="234"/>
      <c r="C531" s="32"/>
      <c r="D531" s="32"/>
      <c r="E531" s="152"/>
      <c r="F531" s="152"/>
      <c r="G531" s="152"/>
      <c r="H531" s="32"/>
      <c r="I531" s="32"/>
      <c r="J531" s="3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</row>
    <row r="532" spans="1:28" ht="15.75" customHeight="1">
      <c r="A532" s="152"/>
      <c r="B532" s="234"/>
      <c r="C532" s="32"/>
      <c r="D532" s="32"/>
      <c r="E532" s="152"/>
      <c r="F532" s="152"/>
      <c r="G532" s="152"/>
      <c r="H532" s="32"/>
      <c r="I532" s="32"/>
      <c r="J532" s="3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</row>
    <row r="533" spans="1:28" ht="15.75" customHeight="1">
      <c r="A533" s="152"/>
      <c r="B533" s="234"/>
      <c r="C533" s="32"/>
      <c r="D533" s="32"/>
      <c r="E533" s="152"/>
      <c r="F533" s="152"/>
      <c r="G533" s="152"/>
      <c r="H533" s="32"/>
      <c r="I533" s="32"/>
      <c r="J533" s="3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</row>
    <row r="534" spans="1:28" ht="15.75" customHeight="1">
      <c r="A534" s="152"/>
      <c r="B534" s="234"/>
      <c r="C534" s="32"/>
      <c r="D534" s="32"/>
      <c r="E534" s="152"/>
      <c r="F534" s="152"/>
      <c r="G534" s="152"/>
      <c r="H534" s="32"/>
      <c r="I534" s="32"/>
      <c r="J534" s="3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</row>
    <row r="535" spans="1:28" ht="15.75" customHeight="1">
      <c r="A535" s="152"/>
      <c r="B535" s="234"/>
      <c r="C535" s="32"/>
      <c r="D535" s="32"/>
      <c r="E535" s="152"/>
      <c r="F535" s="152"/>
      <c r="G535" s="152"/>
      <c r="H535" s="32"/>
      <c r="I535" s="32"/>
      <c r="J535" s="3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</row>
    <row r="536" spans="1:28" ht="15.75" customHeight="1">
      <c r="A536" s="152"/>
      <c r="B536" s="234"/>
      <c r="C536" s="32"/>
      <c r="D536" s="32"/>
      <c r="E536" s="152"/>
      <c r="F536" s="152"/>
      <c r="G536" s="152"/>
      <c r="H536" s="32"/>
      <c r="I536" s="32"/>
      <c r="J536" s="3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</row>
    <row r="537" spans="1:28" ht="15.75" customHeight="1">
      <c r="A537" s="152"/>
      <c r="B537" s="234"/>
      <c r="C537" s="32"/>
      <c r="D537" s="32"/>
      <c r="E537" s="152"/>
      <c r="F537" s="152"/>
      <c r="G537" s="152"/>
      <c r="H537" s="32"/>
      <c r="I537" s="32"/>
      <c r="J537" s="3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</row>
    <row r="538" spans="1:28" ht="15.75" customHeight="1">
      <c r="A538" s="152"/>
      <c r="B538" s="234"/>
      <c r="C538" s="32"/>
      <c r="D538" s="32"/>
      <c r="E538" s="152"/>
      <c r="F538" s="152"/>
      <c r="G538" s="152"/>
      <c r="H538" s="32"/>
      <c r="I538" s="32"/>
      <c r="J538" s="3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</row>
    <row r="539" spans="1:28" ht="15.75" customHeight="1">
      <c r="A539" s="152"/>
      <c r="B539" s="234"/>
      <c r="C539" s="32"/>
      <c r="D539" s="32"/>
      <c r="E539" s="152"/>
      <c r="F539" s="152"/>
      <c r="G539" s="152"/>
      <c r="H539" s="32"/>
      <c r="I539" s="32"/>
      <c r="J539" s="3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</row>
    <row r="540" spans="1:28" ht="15.75" customHeight="1">
      <c r="A540" s="152"/>
      <c r="B540" s="234"/>
      <c r="C540" s="32"/>
      <c r="D540" s="32"/>
      <c r="E540" s="152"/>
      <c r="F540" s="152"/>
      <c r="G540" s="152"/>
      <c r="H540" s="32"/>
      <c r="I540" s="32"/>
      <c r="J540" s="3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</row>
    <row r="541" spans="1:28" ht="15.75" customHeight="1">
      <c r="A541" s="152"/>
      <c r="B541" s="234"/>
      <c r="C541" s="32"/>
      <c r="D541" s="32"/>
      <c r="E541" s="152"/>
      <c r="F541" s="152"/>
      <c r="G541" s="152"/>
      <c r="H541" s="32"/>
      <c r="I541" s="32"/>
      <c r="J541" s="3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</row>
    <row r="542" spans="1:28" ht="15.75" customHeight="1">
      <c r="A542" s="152"/>
      <c r="B542" s="234"/>
      <c r="C542" s="32"/>
      <c r="D542" s="32"/>
      <c r="E542" s="152"/>
      <c r="F542" s="152"/>
      <c r="G542" s="152"/>
      <c r="H542" s="32"/>
      <c r="I542" s="32"/>
      <c r="J542" s="3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</row>
    <row r="543" spans="1:28" ht="15.75" customHeight="1">
      <c r="A543" s="152"/>
      <c r="B543" s="234"/>
      <c r="C543" s="32"/>
      <c r="D543" s="32"/>
      <c r="E543" s="152"/>
      <c r="F543" s="152"/>
      <c r="G543" s="152"/>
      <c r="H543" s="32"/>
      <c r="I543" s="32"/>
      <c r="J543" s="3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</row>
    <row r="544" spans="1:28" ht="15.75" customHeight="1">
      <c r="A544" s="152"/>
      <c r="B544" s="234"/>
      <c r="C544" s="32"/>
      <c r="D544" s="32"/>
      <c r="E544" s="152"/>
      <c r="F544" s="152"/>
      <c r="G544" s="152"/>
      <c r="H544" s="32"/>
      <c r="I544" s="32"/>
      <c r="J544" s="3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</row>
    <row r="545" spans="1:28" ht="15.75" customHeight="1">
      <c r="A545" s="152"/>
      <c r="B545" s="234"/>
      <c r="C545" s="32"/>
      <c r="D545" s="32"/>
      <c r="E545" s="152"/>
      <c r="F545" s="152"/>
      <c r="G545" s="152"/>
      <c r="H545" s="32"/>
      <c r="I545" s="32"/>
      <c r="J545" s="3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</row>
    <row r="546" spans="1:28" ht="15.75" customHeight="1">
      <c r="A546" s="152"/>
      <c r="B546" s="234"/>
      <c r="C546" s="32"/>
      <c r="D546" s="32"/>
      <c r="E546" s="152"/>
      <c r="F546" s="152"/>
      <c r="G546" s="152"/>
      <c r="H546" s="32"/>
      <c r="I546" s="32"/>
      <c r="J546" s="3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</row>
    <row r="547" spans="1:28" ht="15.75" customHeight="1">
      <c r="A547" s="152"/>
      <c r="B547" s="234"/>
      <c r="C547" s="32"/>
      <c r="D547" s="32"/>
      <c r="E547" s="152"/>
      <c r="F547" s="152"/>
      <c r="G547" s="152"/>
      <c r="H547" s="32"/>
      <c r="I547" s="32"/>
      <c r="J547" s="3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</row>
    <row r="548" spans="1:28" ht="15.75" customHeight="1">
      <c r="A548" s="152"/>
      <c r="B548" s="234"/>
      <c r="C548" s="32"/>
      <c r="D548" s="32"/>
      <c r="E548" s="152"/>
      <c r="F548" s="152"/>
      <c r="G548" s="152"/>
      <c r="H548" s="32"/>
      <c r="I548" s="32"/>
      <c r="J548" s="3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</row>
    <row r="549" spans="1:28" ht="15.75" customHeight="1">
      <c r="A549" s="152"/>
      <c r="B549" s="234"/>
      <c r="C549" s="32"/>
      <c r="D549" s="32"/>
      <c r="E549" s="152"/>
      <c r="F549" s="152"/>
      <c r="G549" s="152"/>
      <c r="H549" s="32"/>
      <c r="I549" s="32"/>
      <c r="J549" s="3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</row>
    <row r="550" spans="1:28" ht="15.75" customHeight="1">
      <c r="A550" s="152"/>
      <c r="B550" s="234"/>
      <c r="C550" s="32"/>
      <c r="D550" s="32"/>
      <c r="E550" s="152"/>
      <c r="F550" s="152"/>
      <c r="G550" s="152"/>
      <c r="H550" s="32"/>
      <c r="I550" s="32"/>
      <c r="J550" s="3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</row>
    <row r="551" spans="1:28" ht="15.75" customHeight="1">
      <c r="A551" s="152"/>
      <c r="B551" s="234"/>
      <c r="C551" s="32"/>
      <c r="D551" s="32"/>
      <c r="E551" s="152"/>
      <c r="F551" s="152"/>
      <c r="G551" s="152"/>
      <c r="H551" s="32"/>
      <c r="I551" s="32"/>
      <c r="J551" s="3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</row>
    <row r="552" spans="1:28" ht="15.75" customHeight="1">
      <c r="A552" s="152"/>
      <c r="B552" s="234"/>
      <c r="C552" s="32"/>
      <c r="D552" s="32"/>
      <c r="E552" s="152"/>
      <c r="F552" s="152"/>
      <c r="G552" s="152"/>
      <c r="H552" s="32"/>
      <c r="I552" s="32"/>
      <c r="J552" s="3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</row>
    <row r="553" spans="1:28" ht="15.75" customHeight="1">
      <c r="A553" s="152"/>
      <c r="B553" s="234"/>
      <c r="C553" s="32"/>
      <c r="D553" s="32"/>
      <c r="E553" s="152"/>
      <c r="F553" s="152"/>
      <c r="G553" s="152"/>
      <c r="H553" s="32"/>
      <c r="I553" s="32"/>
      <c r="J553" s="3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</row>
    <row r="554" spans="1:28" ht="15.75" customHeight="1">
      <c r="A554" s="152"/>
      <c r="B554" s="234"/>
      <c r="C554" s="32"/>
      <c r="D554" s="32"/>
      <c r="E554" s="152"/>
      <c r="F554" s="152"/>
      <c r="G554" s="152"/>
      <c r="H554" s="32"/>
      <c r="I554" s="32"/>
      <c r="J554" s="3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</row>
    <row r="555" spans="1:28" ht="15.75" customHeight="1">
      <c r="A555" s="152"/>
      <c r="B555" s="234"/>
      <c r="C555" s="32"/>
      <c r="D555" s="32"/>
      <c r="E555" s="152"/>
      <c r="F555" s="152"/>
      <c r="G555" s="152"/>
      <c r="H555" s="32"/>
      <c r="I555" s="32"/>
      <c r="J555" s="3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</row>
    <row r="556" spans="1:28" ht="15.75" customHeight="1">
      <c r="A556" s="152"/>
      <c r="B556" s="234"/>
      <c r="C556" s="32"/>
      <c r="D556" s="32"/>
      <c r="E556" s="152"/>
      <c r="F556" s="152"/>
      <c r="G556" s="152"/>
      <c r="H556" s="32"/>
      <c r="I556" s="32"/>
      <c r="J556" s="3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</row>
    <row r="557" spans="1:28" ht="15.75" customHeight="1">
      <c r="A557" s="152"/>
      <c r="B557" s="234"/>
      <c r="C557" s="32"/>
      <c r="D557" s="32"/>
      <c r="E557" s="152"/>
      <c r="F557" s="152"/>
      <c r="G557" s="152"/>
      <c r="H557" s="32"/>
      <c r="I557" s="32"/>
      <c r="J557" s="3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</row>
    <row r="558" spans="1:28" ht="15.75" customHeight="1">
      <c r="A558" s="152"/>
      <c r="B558" s="234"/>
      <c r="C558" s="32"/>
      <c r="D558" s="32"/>
      <c r="E558" s="152"/>
      <c r="F558" s="152"/>
      <c r="G558" s="152"/>
      <c r="H558" s="32"/>
      <c r="I558" s="32"/>
      <c r="J558" s="3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</row>
    <row r="559" spans="1:28" ht="15.75" customHeight="1">
      <c r="A559" s="152"/>
      <c r="B559" s="234"/>
      <c r="C559" s="32"/>
      <c r="D559" s="32"/>
      <c r="E559" s="152"/>
      <c r="F559" s="152"/>
      <c r="G559" s="152"/>
      <c r="H559" s="32"/>
      <c r="I559" s="32"/>
      <c r="J559" s="3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</row>
    <row r="560" spans="1:28" ht="15.75" customHeight="1">
      <c r="A560" s="152"/>
      <c r="B560" s="234"/>
      <c r="C560" s="32"/>
      <c r="D560" s="32"/>
      <c r="E560" s="152"/>
      <c r="F560" s="152"/>
      <c r="G560" s="152"/>
      <c r="H560" s="32"/>
      <c r="I560" s="32"/>
      <c r="J560" s="3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</row>
    <row r="561" spans="1:28" ht="15.75" customHeight="1">
      <c r="A561" s="152"/>
      <c r="B561" s="234"/>
      <c r="C561" s="32"/>
      <c r="D561" s="32"/>
      <c r="E561" s="152"/>
      <c r="F561" s="152"/>
      <c r="G561" s="152"/>
      <c r="H561" s="32"/>
      <c r="I561" s="32"/>
      <c r="J561" s="3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</row>
    <row r="562" spans="1:28" ht="15.75" customHeight="1">
      <c r="A562" s="152"/>
      <c r="B562" s="234"/>
      <c r="C562" s="32"/>
      <c r="D562" s="32"/>
      <c r="E562" s="152"/>
      <c r="F562" s="152"/>
      <c r="G562" s="152"/>
      <c r="H562" s="32"/>
      <c r="I562" s="32"/>
      <c r="J562" s="3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</row>
    <row r="563" spans="1:28" ht="15.75" customHeight="1">
      <c r="A563" s="152"/>
      <c r="B563" s="234"/>
      <c r="C563" s="32"/>
      <c r="D563" s="32"/>
      <c r="E563" s="152"/>
      <c r="F563" s="152"/>
      <c r="G563" s="152"/>
      <c r="H563" s="32"/>
      <c r="I563" s="32"/>
      <c r="J563" s="3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</row>
    <row r="564" spans="1:28" ht="15.75" customHeight="1">
      <c r="A564" s="152"/>
      <c r="B564" s="234"/>
      <c r="C564" s="32"/>
      <c r="D564" s="32"/>
      <c r="E564" s="152"/>
      <c r="F564" s="152"/>
      <c r="G564" s="152"/>
      <c r="H564" s="32"/>
      <c r="I564" s="32"/>
      <c r="J564" s="3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</row>
    <row r="565" spans="1:28" ht="15.75" customHeight="1">
      <c r="A565" s="152"/>
      <c r="B565" s="234"/>
      <c r="C565" s="32"/>
      <c r="D565" s="32"/>
      <c r="E565" s="152"/>
      <c r="F565" s="152"/>
      <c r="G565" s="152"/>
      <c r="H565" s="32"/>
      <c r="I565" s="32"/>
      <c r="J565" s="3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</row>
    <row r="566" spans="1:28" ht="15.75" customHeight="1">
      <c r="A566" s="152"/>
      <c r="B566" s="234"/>
      <c r="C566" s="32"/>
      <c r="D566" s="32"/>
      <c r="E566" s="152"/>
      <c r="F566" s="152"/>
      <c r="G566" s="152"/>
      <c r="H566" s="32"/>
      <c r="I566" s="32"/>
      <c r="J566" s="3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</row>
    <row r="567" spans="1:28" ht="15.75" customHeight="1">
      <c r="A567" s="152"/>
      <c r="B567" s="234"/>
      <c r="C567" s="32"/>
      <c r="D567" s="32"/>
      <c r="E567" s="152"/>
      <c r="F567" s="152"/>
      <c r="G567" s="152"/>
      <c r="H567" s="32"/>
      <c r="I567" s="32"/>
      <c r="J567" s="3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</row>
    <row r="568" spans="1:28" ht="15.75" customHeight="1">
      <c r="A568" s="152"/>
      <c r="B568" s="234"/>
      <c r="C568" s="32"/>
      <c r="D568" s="32"/>
      <c r="E568" s="152"/>
      <c r="F568" s="152"/>
      <c r="G568" s="152"/>
      <c r="H568" s="32"/>
      <c r="I568" s="32"/>
      <c r="J568" s="3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</row>
    <row r="569" spans="1:28" ht="15.75" customHeight="1">
      <c r="A569" s="152"/>
      <c r="B569" s="234"/>
      <c r="C569" s="32"/>
      <c r="D569" s="32"/>
      <c r="E569" s="152"/>
      <c r="F569" s="152"/>
      <c r="G569" s="152"/>
      <c r="H569" s="32"/>
      <c r="I569" s="32"/>
      <c r="J569" s="3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</row>
    <row r="570" spans="1:28" ht="15.75" customHeight="1">
      <c r="A570" s="152"/>
      <c r="B570" s="234"/>
      <c r="C570" s="32"/>
      <c r="D570" s="32"/>
      <c r="E570" s="152"/>
      <c r="F570" s="152"/>
      <c r="G570" s="152"/>
      <c r="H570" s="32"/>
      <c r="I570" s="32"/>
      <c r="J570" s="3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</row>
    <row r="571" spans="1:28" ht="15.75" customHeight="1">
      <c r="A571" s="152"/>
      <c r="B571" s="234"/>
      <c r="C571" s="32"/>
      <c r="D571" s="32"/>
      <c r="E571" s="152"/>
      <c r="F571" s="152"/>
      <c r="G571" s="152"/>
      <c r="H571" s="32"/>
      <c r="I571" s="32"/>
      <c r="J571" s="3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</row>
    <row r="572" spans="1:28" ht="15.75" customHeight="1">
      <c r="A572" s="152"/>
      <c r="B572" s="234"/>
      <c r="C572" s="32"/>
      <c r="D572" s="32"/>
      <c r="E572" s="152"/>
      <c r="F572" s="152"/>
      <c r="G572" s="152"/>
      <c r="H572" s="32"/>
      <c r="I572" s="32"/>
      <c r="J572" s="3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</row>
    <row r="573" spans="1:28" ht="15.75" customHeight="1">
      <c r="A573" s="152"/>
      <c r="B573" s="234"/>
      <c r="C573" s="32"/>
      <c r="D573" s="32"/>
      <c r="E573" s="152"/>
      <c r="F573" s="152"/>
      <c r="G573" s="152"/>
      <c r="H573" s="32"/>
      <c r="I573" s="32"/>
      <c r="J573" s="3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</row>
    <row r="574" spans="1:28" ht="15.75" customHeight="1">
      <c r="A574" s="152"/>
      <c r="B574" s="234"/>
      <c r="C574" s="32"/>
      <c r="D574" s="32"/>
      <c r="E574" s="152"/>
      <c r="F574" s="152"/>
      <c r="G574" s="152"/>
      <c r="H574" s="32"/>
      <c r="I574" s="32"/>
      <c r="J574" s="3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</row>
    <row r="575" spans="1:28" ht="15.75" customHeight="1">
      <c r="A575" s="152"/>
      <c r="B575" s="234"/>
      <c r="C575" s="32"/>
      <c r="D575" s="32"/>
      <c r="E575" s="152"/>
      <c r="F575" s="152"/>
      <c r="G575" s="152"/>
      <c r="H575" s="32"/>
      <c r="I575" s="32"/>
      <c r="J575" s="3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</row>
    <row r="576" spans="1:28" ht="15.75" customHeight="1">
      <c r="A576" s="152"/>
      <c r="B576" s="234"/>
      <c r="C576" s="32"/>
      <c r="D576" s="32"/>
      <c r="E576" s="152"/>
      <c r="F576" s="152"/>
      <c r="G576" s="152"/>
      <c r="H576" s="32"/>
      <c r="I576" s="32"/>
      <c r="J576" s="3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</row>
    <row r="577" spans="1:28" ht="15.75" customHeight="1">
      <c r="A577" s="152"/>
      <c r="B577" s="234"/>
      <c r="C577" s="32"/>
      <c r="D577" s="32"/>
      <c r="E577" s="152"/>
      <c r="F577" s="152"/>
      <c r="G577" s="152"/>
      <c r="H577" s="32"/>
      <c r="I577" s="32"/>
      <c r="J577" s="3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</row>
    <row r="578" spans="1:28" ht="15.75" customHeight="1">
      <c r="A578" s="152"/>
      <c r="B578" s="234"/>
      <c r="C578" s="32"/>
      <c r="D578" s="32"/>
      <c r="E578" s="152"/>
      <c r="F578" s="152"/>
      <c r="G578" s="152"/>
      <c r="H578" s="32"/>
      <c r="I578" s="32"/>
      <c r="J578" s="3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</row>
    <row r="579" spans="1:28" ht="15.75" customHeight="1">
      <c r="A579" s="152"/>
      <c r="B579" s="234"/>
      <c r="C579" s="32"/>
      <c r="D579" s="32"/>
      <c r="E579" s="152"/>
      <c r="F579" s="152"/>
      <c r="G579" s="152"/>
      <c r="H579" s="32"/>
      <c r="I579" s="32"/>
      <c r="J579" s="3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</row>
    <row r="580" spans="1:28" ht="15.75" customHeight="1">
      <c r="A580" s="152"/>
      <c r="B580" s="234"/>
      <c r="C580" s="32"/>
      <c r="D580" s="32"/>
      <c r="E580" s="152"/>
      <c r="F580" s="152"/>
      <c r="G580" s="152"/>
      <c r="H580" s="32"/>
      <c r="I580" s="32"/>
      <c r="J580" s="3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</row>
    <row r="581" spans="1:28" ht="15.75" customHeight="1">
      <c r="A581" s="152"/>
      <c r="B581" s="234"/>
      <c r="C581" s="32"/>
      <c r="D581" s="32"/>
      <c r="E581" s="152"/>
      <c r="F581" s="152"/>
      <c r="G581" s="152"/>
      <c r="H581" s="32"/>
      <c r="I581" s="32"/>
      <c r="J581" s="3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</row>
    <row r="582" spans="1:28" ht="15.75" customHeight="1">
      <c r="A582" s="152"/>
      <c r="B582" s="234"/>
      <c r="C582" s="32"/>
      <c r="D582" s="32"/>
      <c r="E582" s="152"/>
      <c r="F582" s="152"/>
      <c r="G582" s="152"/>
      <c r="H582" s="32"/>
      <c r="I582" s="32"/>
      <c r="J582" s="3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</row>
    <row r="583" spans="1:28" ht="15.75" customHeight="1">
      <c r="A583" s="152"/>
      <c r="B583" s="234"/>
      <c r="C583" s="32"/>
      <c r="D583" s="32"/>
      <c r="E583" s="152"/>
      <c r="F583" s="152"/>
      <c r="G583" s="152"/>
      <c r="H583" s="32"/>
      <c r="I583" s="32"/>
      <c r="J583" s="3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</row>
    <row r="584" spans="1:28" ht="15.75" customHeight="1">
      <c r="A584" s="152"/>
      <c r="B584" s="234"/>
      <c r="C584" s="32"/>
      <c r="D584" s="32"/>
      <c r="E584" s="152"/>
      <c r="F584" s="152"/>
      <c r="G584" s="152"/>
      <c r="H584" s="32"/>
      <c r="I584" s="32"/>
      <c r="J584" s="3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</row>
    <row r="585" spans="1:28" ht="15.75" customHeight="1">
      <c r="A585" s="152"/>
      <c r="B585" s="234"/>
      <c r="C585" s="32"/>
      <c r="D585" s="32"/>
      <c r="E585" s="152"/>
      <c r="F585" s="152"/>
      <c r="G585" s="152"/>
      <c r="H585" s="32"/>
      <c r="I585" s="32"/>
      <c r="J585" s="3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</row>
    <row r="586" spans="1:28" ht="15.75" customHeight="1">
      <c r="A586" s="152"/>
      <c r="B586" s="234"/>
      <c r="C586" s="32"/>
      <c r="D586" s="32"/>
      <c r="E586" s="152"/>
      <c r="F586" s="152"/>
      <c r="G586" s="152"/>
      <c r="H586" s="32"/>
      <c r="I586" s="32"/>
      <c r="J586" s="3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</row>
    <row r="587" spans="1:28" ht="15.75" customHeight="1">
      <c r="A587" s="152"/>
      <c r="B587" s="234"/>
      <c r="C587" s="32"/>
      <c r="D587" s="32"/>
      <c r="E587" s="152"/>
      <c r="F587" s="152"/>
      <c r="G587" s="152"/>
      <c r="H587" s="32"/>
      <c r="I587" s="32"/>
      <c r="J587" s="3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</row>
    <row r="588" spans="1:28" ht="15.75" customHeight="1">
      <c r="A588" s="152"/>
      <c r="B588" s="234"/>
      <c r="C588" s="32"/>
      <c r="D588" s="32"/>
      <c r="E588" s="152"/>
      <c r="F588" s="152"/>
      <c r="G588" s="152"/>
      <c r="H588" s="32"/>
      <c r="I588" s="32"/>
      <c r="J588" s="3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</row>
    <row r="589" spans="1:28" ht="15.75" customHeight="1">
      <c r="A589" s="152"/>
      <c r="B589" s="234"/>
      <c r="C589" s="32"/>
      <c r="D589" s="32"/>
      <c r="E589" s="152"/>
      <c r="F589" s="152"/>
      <c r="G589" s="152"/>
      <c r="H589" s="32"/>
      <c r="I589" s="32"/>
      <c r="J589" s="3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</row>
    <row r="590" spans="1:28" ht="15.75" customHeight="1">
      <c r="A590" s="152"/>
      <c r="B590" s="234"/>
      <c r="C590" s="32"/>
      <c r="D590" s="32"/>
      <c r="E590" s="152"/>
      <c r="F590" s="152"/>
      <c r="G590" s="152"/>
      <c r="H590" s="32"/>
      <c r="I590" s="32"/>
      <c r="J590" s="3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</row>
    <row r="591" spans="1:28" ht="15.75" customHeight="1">
      <c r="A591" s="152"/>
      <c r="B591" s="234"/>
      <c r="C591" s="32"/>
      <c r="D591" s="32"/>
      <c r="E591" s="152"/>
      <c r="F591" s="152"/>
      <c r="G591" s="152"/>
      <c r="H591" s="32"/>
      <c r="I591" s="32"/>
      <c r="J591" s="3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</row>
    <row r="592" spans="1:28" ht="15.75" customHeight="1">
      <c r="A592" s="152"/>
      <c r="B592" s="234"/>
      <c r="C592" s="32"/>
      <c r="D592" s="32"/>
      <c r="E592" s="152"/>
      <c r="F592" s="152"/>
      <c r="G592" s="152"/>
      <c r="H592" s="32"/>
      <c r="I592" s="32"/>
      <c r="J592" s="3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</row>
    <row r="593" spans="1:28" ht="15.75" customHeight="1">
      <c r="A593" s="152"/>
      <c r="B593" s="234"/>
      <c r="C593" s="32"/>
      <c r="D593" s="32"/>
      <c r="E593" s="152"/>
      <c r="F593" s="152"/>
      <c r="G593" s="152"/>
      <c r="H593" s="32"/>
      <c r="I593" s="32"/>
      <c r="J593" s="3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</row>
    <row r="594" spans="1:28" ht="15.75" customHeight="1">
      <c r="A594" s="152"/>
      <c r="B594" s="234"/>
      <c r="C594" s="32"/>
      <c r="D594" s="32"/>
      <c r="E594" s="152"/>
      <c r="F594" s="152"/>
      <c r="G594" s="152"/>
      <c r="H594" s="32"/>
      <c r="I594" s="32"/>
      <c r="J594" s="3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</row>
    <row r="595" spans="1:28" ht="15.75" customHeight="1">
      <c r="A595" s="152"/>
      <c r="B595" s="234"/>
      <c r="C595" s="32"/>
      <c r="D595" s="32"/>
      <c r="E595" s="152"/>
      <c r="F595" s="152"/>
      <c r="G595" s="152"/>
      <c r="H595" s="32"/>
      <c r="I595" s="32"/>
      <c r="J595" s="3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</row>
    <row r="596" spans="1:28" ht="15.75" customHeight="1">
      <c r="A596" s="152"/>
      <c r="B596" s="234"/>
      <c r="C596" s="32"/>
      <c r="D596" s="32"/>
      <c r="E596" s="152"/>
      <c r="F596" s="152"/>
      <c r="G596" s="152"/>
      <c r="H596" s="32"/>
      <c r="I596" s="32"/>
      <c r="J596" s="3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</row>
    <row r="597" spans="1:28" ht="15.75" customHeight="1">
      <c r="A597" s="152"/>
      <c r="B597" s="234"/>
      <c r="C597" s="32"/>
      <c r="D597" s="32"/>
      <c r="E597" s="152"/>
      <c r="F597" s="152"/>
      <c r="G597" s="152"/>
      <c r="H597" s="32"/>
      <c r="I597" s="32"/>
      <c r="J597" s="3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</row>
    <row r="598" spans="1:28" ht="15.75" customHeight="1">
      <c r="A598" s="152"/>
      <c r="B598" s="234"/>
      <c r="C598" s="32"/>
      <c r="D598" s="32"/>
      <c r="E598" s="152"/>
      <c r="F598" s="152"/>
      <c r="G598" s="152"/>
      <c r="H598" s="32"/>
      <c r="I598" s="32"/>
      <c r="J598" s="3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</row>
    <row r="599" spans="1:28" ht="15.75" customHeight="1">
      <c r="A599" s="152"/>
      <c r="B599" s="234"/>
      <c r="C599" s="32"/>
      <c r="D599" s="32"/>
      <c r="E599" s="152"/>
      <c r="F599" s="152"/>
      <c r="G599" s="152"/>
      <c r="H599" s="32"/>
      <c r="I599" s="32"/>
      <c r="J599" s="3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</row>
    <row r="600" spans="1:28" ht="15.75" customHeight="1">
      <c r="A600" s="152"/>
      <c r="B600" s="234"/>
      <c r="C600" s="32"/>
      <c r="D600" s="32"/>
      <c r="E600" s="152"/>
      <c r="F600" s="152"/>
      <c r="G600" s="152"/>
      <c r="H600" s="32"/>
      <c r="I600" s="32"/>
      <c r="J600" s="3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</row>
    <row r="601" spans="1:28" ht="15.75" customHeight="1">
      <c r="A601" s="152"/>
      <c r="B601" s="234"/>
      <c r="C601" s="32"/>
      <c r="D601" s="32"/>
      <c r="E601" s="152"/>
      <c r="F601" s="152"/>
      <c r="G601" s="152"/>
      <c r="H601" s="32"/>
      <c r="I601" s="32"/>
      <c r="J601" s="3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</row>
    <row r="602" spans="1:28" ht="15.75" customHeight="1">
      <c r="A602" s="152"/>
      <c r="B602" s="234"/>
      <c r="C602" s="32"/>
      <c r="D602" s="32"/>
      <c r="E602" s="152"/>
      <c r="F602" s="152"/>
      <c r="G602" s="152"/>
      <c r="H602" s="32"/>
      <c r="I602" s="32"/>
      <c r="J602" s="3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</row>
    <row r="603" spans="1:28" ht="15.75" customHeight="1">
      <c r="A603" s="152"/>
      <c r="B603" s="234"/>
      <c r="C603" s="32"/>
      <c r="D603" s="32"/>
      <c r="E603" s="152"/>
      <c r="F603" s="152"/>
      <c r="G603" s="152"/>
      <c r="H603" s="32"/>
      <c r="I603" s="32"/>
      <c r="J603" s="3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</row>
    <row r="604" spans="1:28" ht="15.75" customHeight="1">
      <c r="A604" s="152"/>
      <c r="B604" s="234"/>
      <c r="C604" s="32"/>
      <c r="D604" s="32"/>
      <c r="E604" s="152"/>
      <c r="F604" s="152"/>
      <c r="G604" s="152"/>
      <c r="H604" s="32"/>
      <c r="I604" s="32"/>
      <c r="J604" s="3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</row>
    <row r="605" spans="1:28" ht="15.75" customHeight="1">
      <c r="A605" s="152"/>
      <c r="B605" s="234"/>
      <c r="C605" s="32"/>
      <c r="D605" s="32"/>
      <c r="E605" s="152"/>
      <c r="F605" s="152"/>
      <c r="G605" s="152"/>
      <c r="H605" s="32"/>
      <c r="I605" s="32"/>
      <c r="J605" s="3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</row>
    <row r="606" spans="1:28" ht="15.75" customHeight="1">
      <c r="A606" s="152"/>
      <c r="B606" s="234"/>
      <c r="C606" s="32"/>
      <c r="D606" s="32"/>
      <c r="E606" s="152"/>
      <c r="F606" s="152"/>
      <c r="G606" s="152"/>
      <c r="H606" s="32"/>
      <c r="I606" s="32"/>
      <c r="J606" s="3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</row>
    <row r="607" spans="1:28" ht="15.75" customHeight="1">
      <c r="A607" s="152"/>
      <c r="B607" s="234"/>
      <c r="C607" s="32"/>
      <c r="D607" s="32"/>
      <c r="E607" s="152"/>
      <c r="F607" s="152"/>
      <c r="G607" s="152"/>
      <c r="H607" s="32"/>
      <c r="I607" s="32"/>
      <c r="J607" s="3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</row>
    <row r="608" spans="1:28" ht="15.75" customHeight="1">
      <c r="A608" s="152"/>
      <c r="B608" s="234"/>
      <c r="C608" s="32"/>
      <c r="D608" s="32"/>
      <c r="E608" s="152"/>
      <c r="F608" s="152"/>
      <c r="G608" s="152"/>
      <c r="H608" s="32"/>
      <c r="I608" s="32"/>
      <c r="J608" s="3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</row>
    <row r="609" spans="1:28" ht="15.75" customHeight="1">
      <c r="A609" s="152"/>
      <c r="B609" s="234"/>
      <c r="C609" s="32"/>
      <c r="D609" s="32"/>
      <c r="E609" s="152"/>
      <c r="F609" s="152"/>
      <c r="G609" s="152"/>
      <c r="H609" s="32"/>
      <c r="I609" s="32"/>
      <c r="J609" s="3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</row>
    <row r="610" spans="1:28" ht="15.75" customHeight="1">
      <c r="A610" s="152"/>
      <c r="B610" s="234"/>
      <c r="C610" s="32"/>
      <c r="D610" s="32"/>
      <c r="E610" s="152"/>
      <c r="F610" s="152"/>
      <c r="G610" s="152"/>
      <c r="H610" s="32"/>
      <c r="I610" s="32"/>
      <c r="J610" s="3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</row>
    <row r="611" spans="1:28" ht="15.75" customHeight="1">
      <c r="A611" s="152"/>
      <c r="B611" s="234"/>
      <c r="C611" s="32"/>
      <c r="D611" s="32"/>
      <c r="E611" s="152"/>
      <c r="F611" s="152"/>
      <c r="G611" s="152"/>
      <c r="H611" s="32"/>
      <c r="I611" s="32"/>
      <c r="J611" s="3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</row>
    <row r="612" spans="1:28" ht="15.75" customHeight="1">
      <c r="A612" s="152"/>
      <c r="B612" s="234"/>
      <c r="C612" s="32"/>
      <c r="D612" s="32"/>
      <c r="E612" s="152"/>
      <c r="F612" s="152"/>
      <c r="G612" s="152"/>
      <c r="H612" s="32"/>
      <c r="I612" s="32"/>
      <c r="J612" s="3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</row>
    <row r="613" spans="1:28" ht="15.75" customHeight="1">
      <c r="A613" s="152"/>
      <c r="B613" s="234"/>
      <c r="C613" s="32"/>
      <c r="D613" s="32"/>
      <c r="E613" s="152"/>
      <c r="F613" s="152"/>
      <c r="G613" s="152"/>
      <c r="H613" s="32"/>
      <c r="I613" s="32"/>
      <c r="J613" s="3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</row>
    <row r="614" spans="1:28" ht="15.75" customHeight="1">
      <c r="A614" s="152"/>
      <c r="B614" s="234"/>
      <c r="C614" s="32"/>
      <c r="D614" s="32"/>
      <c r="E614" s="152"/>
      <c r="F614" s="152"/>
      <c r="G614" s="152"/>
      <c r="H614" s="32"/>
      <c r="I614" s="32"/>
      <c r="J614" s="3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</row>
    <row r="615" spans="1:28" ht="15.75" customHeight="1">
      <c r="A615" s="152"/>
      <c r="B615" s="234"/>
      <c r="C615" s="32"/>
      <c r="D615" s="32"/>
      <c r="E615" s="152"/>
      <c r="F615" s="152"/>
      <c r="G615" s="152"/>
      <c r="H615" s="32"/>
      <c r="I615" s="32"/>
      <c r="J615" s="3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</row>
    <row r="616" spans="1:28" ht="15.75" customHeight="1">
      <c r="A616" s="152"/>
      <c r="B616" s="234"/>
      <c r="C616" s="32"/>
      <c r="D616" s="32"/>
      <c r="E616" s="152"/>
      <c r="F616" s="152"/>
      <c r="G616" s="152"/>
      <c r="H616" s="32"/>
      <c r="I616" s="32"/>
      <c r="J616" s="3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</row>
    <row r="617" spans="1:28" ht="15.75" customHeight="1">
      <c r="A617" s="152"/>
      <c r="B617" s="234"/>
      <c r="C617" s="32"/>
      <c r="D617" s="32"/>
      <c r="E617" s="152"/>
      <c r="F617" s="152"/>
      <c r="G617" s="152"/>
      <c r="H617" s="32"/>
      <c r="I617" s="32"/>
      <c r="J617" s="3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</row>
    <row r="618" spans="1:28" ht="15.75" customHeight="1">
      <c r="A618" s="152"/>
      <c r="B618" s="234"/>
      <c r="C618" s="32"/>
      <c r="D618" s="32"/>
      <c r="E618" s="152"/>
      <c r="F618" s="152"/>
      <c r="G618" s="152"/>
      <c r="H618" s="32"/>
      <c r="I618" s="32"/>
      <c r="J618" s="3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</row>
    <row r="619" spans="1:28" ht="15.75" customHeight="1">
      <c r="A619" s="152"/>
      <c r="B619" s="234"/>
      <c r="C619" s="32"/>
      <c r="D619" s="32"/>
      <c r="E619" s="152"/>
      <c r="F619" s="152"/>
      <c r="G619" s="152"/>
      <c r="H619" s="32"/>
      <c r="I619" s="32"/>
      <c r="J619" s="3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</row>
    <row r="620" spans="1:28" ht="15.75" customHeight="1">
      <c r="A620" s="152"/>
      <c r="B620" s="234"/>
      <c r="C620" s="32"/>
      <c r="D620" s="32"/>
      <c r="E620" s="152"/>
      <c r="F620" s="152"/>
      <c r="G620" s="152"/>
      <c r="H620" s="32"/>
      <c r="I620" s="32"/>
      <c r="J620" s="3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</row>
    <row r="621" spans="1:28" ht="15.75" customHeight="1">
      <c r="A621" s="152"/>
      <c r="B621" s="234"/>
      <c r="C621" s="32"/>
      <c r="D621" s="32"/>
      <c r="E621" s="152"/>
      <c r="F621" s="152"/>
      <c r="G621" s="152"/>
      <c r="H621" s="32"/>
      <c r="I621" s="32"/>
      <c r="J621" s="3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</row>
    <row r="622" spans="1:28" ht="15.75" customHeight="1">
      <c r="A622" s="152"/>
      <c r="B622" s="234"/>
      <c r="C622" s="32"/>
      <c r="D622" s="32"/>
      <c r="E622" s="152"/>
      <c r="F622" s="152"/>
      <c r="G622" s="152"/>
      <c r="H622" s="32"/>
      <c r="I622" s="32"/>
      <c r="J622" s="3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</row>
    <row r="623" spans="1:28" ht="15.75" customHeight="1">
      <c r="A623" s="152"/>
      <c r="B623" s="234"/>
      <c r="C623" s="32"/>
      <c r="D623" s="32"/>
      <c r="E623" s="152"/>
      <c r="F623" s="152"/>
      <c r="G623" s="152"/>
      <c r="H623" s="32"/>
      <c r="I623" s="32"/>
      <c r="J623" s="3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</row>
    <row r="624" spans="1:28" ht="15.75" customHeight="1">
      <c r="A624" s="152"/>
      <c r="B624" s="234"/>
      <c r="C624" s="32"/>
      <c r="D624" s="32"/>
      <c r="E624" s="152"/>
      <c r="F624" s="152"/>
      <c r="G624" s="152"/>
      <c r="H624" s="32"/>
      <c r="I624" s="32"/>
      <c r="J624" s="3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</row>
    <row r="625" spans="1:28" ht="15.75" customHeight="1">
      <c r="A625" s="152"/>
      <c r="B625" s="234"/>
      <c r="C625" s="32"/>
      <c r="D625" s="32"/>
      <c r="E625" s="152"/>
      <c r="F625" s="152"/>
      <c r="G625" s="152"/>
      <c r="H625" s="32"/>
      <c r="I625" s="32"/>
      <c r="J625" s="3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</row>
    <row r="626" spans="1:28" ht="15.75" customHeight="1">
      <c r="A626" s="152"/>
      <c r="B626" s="234"/>
      <c r="C626" s="32"/>
      <c r="D626" s="32"/>
      <c r="E626" s="152"/>
      <c r="F626" s="152"/>
      <c r="G626" s="152"/>
      <c r="H626" s="32"/>
      <c r="I626" s="32"/>
      <c r="J626" s="3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</row>
    <row r="627" spans="1:28" ht="15.75" customHeight="1">
      <c r="A627" s="152"/>
      <c r="B627" s="234"/>
      <c r="C627" s="32"/>
      <c r="D627" s="32"/>
      <c r="E627" s="152"/>
      <c r="F627" s="152"/>
      <c r="G627" s="152"/>
      <c r="H627" s="32"/>
      <c r="I627" s="32"/>
      <c r="J627" s="3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</row>
    <row r="628" spans="1:28" ht="15.75" customHeight="1">
      <c r="A628" s="152"/>
      <c r="B628" s="234"/>
      <c r="C628" s="32"/>
      <c r="D628" s="32"/>
      <c r="E628" s="152"/>
      <c r="F628" s="152"/>
      <c r="G628" s="152"/>
      <c r="H628" s="32"/>
      <c r="I628" s="32"/>
      <c r="J628" s="3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</row>
    <row r="629" spans="1:28" ht="15.75" customHeight="1">
      <c r="A629" s="152"/>
      <c r="B629" s="234"/>
      <c r="C629" s="32"/>
      <c r="D629" s="32"/>
      <c r="E629" s="152"/>
      <c r="F629" s="152"/>
      <c r="G629" s="152"/>
      <c r="H629" s="32"/>
      <c r="I629" s="32"/>
      <c r="J629" s="3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</row>
    <row r="630" spans="1:28" ht="15.75" customHeight="1">
      <c r="A630" s="152"/>
      <c r="B630" s="234"/>
      <c r="C630" s="32"/>
      <c r="D630" s="32"/>
      <c r="E630" s="152"/>
      <c r="F630" s="152"/>
      <c r="G630" s="152"/>
      <c r="H630" s="32"/>
      <c r="I630" s="32"/>
      <c r="J630" s="3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</row>
    <row r="631" spans="1:28" ht="15.75" customHeight="1">
      <c r="A631" s="152"/>
      <c r="B631" s="234"/>
      <c r="C631" s="32"/>
      <c r="D631" s="32"/>
      <c r="E631" s="152"/>
      <c r="F631" s="152"/>
      <c r="G631" s="152"/>
      <c r="H631" s="32"/>
      <c r="I631" s="32"/>
      <c r="J631" s="3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</row>
    <row r="632" spans="1:28" ht="15.75" customHeight="1">
      <c r="A632" s="152"/>
      <c r="B632" s="234"/>
      <c r="C632" s="32"/>
      <c r="D632" s="32"/>
      <c r="E632" s="152"/>
      <c r="F632" s="152"/>
      <c r="G632" s="152"/>
      <c r="H632" s="32"/>
      <c r="I632" s="32"/>
      <c r="J632" s="3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</row>
    <row r="633" spans="1:28" ht="15.75" customHeight="1">
      <c r="A633" s="152"/>
      <c r="B633" s="234"/>
      <c r="C633" s="32"/>
      <c r="D633" s="32"/>
      <c r="E633" s="152"/>
      <c r="F633" s="152"/>
      <c r="G633" s="152"/>
      <c r="H633" s="32"/>
      <c r="I633" s="32"/>
      <c r="J633" s="3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</row>
    <row r="634" spans="1:28" ht="15.75" customHeight="1">
      <c r="A634" s="152"/>
      <c r="B634" s="234"/>
      <c r="C634" s="32"/>
      <c r="D634" s="32"/>
      <c r="E634" s="152"/>
      <c r="F634" s="152"/>
      <c r="G634" s="152"/>
      <c r="H634" s="32"/>
      <c r="I634" s="32"/>
      <c r="J634" s="3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</row>
    <row r="635" spans="1:28" ht="15.75" customHeight="1">
      <c r="A635" s="152"/>
      <c r="B635" s="234"/>
      <c r="C635" s="32"/>
      <c r="D635" s="32"/>
      <c r="E635" s="152"/>
      <c r="F635" s="152"/>
      <c r="G635" s="152"/>
      <c r="H635" s="32"/>
      <c r="I635" s="32"/>
      <c r="J635" s="3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</row>
    <row r="636" spans="1:28" ht="15.75" customHeight="1">
      <c r="A636" s="152"/>
      <c r="B636" s="234"/>
      <c r="C636" s="32"/>
      <c r="D636" s="32"/>
      <c r="E636" s="152"/>
      <c r="F636" s="152"/>
      <c r="G636" s="152"/>
      <c r="H636" s="32"/>
      <c r="I636" s="32"/>
      <c r="J636" s="3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</row>
    <row r="637" spans="1:28" ht="15.75" customHeight="1">
      <c r="A637" s="152"/>
      <c r="B637" s="234"/>
      <c r="C637" s="32"/>
      <c r="D637" s="32"/>
      <c r="E637" s="152"/>
      <c r="F637" s="152"/>
      <c r="G637" s="152"/>
      <c r="H637" s="32"/>
      <c r="I637" s="32"/>
      <c r="J637" s="3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</row>
    <row r="638" spans="1:28" ht="15.75" customHeight="1">
      <c r="A638" s="152"/>
      <c r="B638" s="234"/>
      <c r="C638" s="32"/>
      <c r="D638" s="32"/>
      <c r="E638" s="152"/>
      <c r="F638" s="152"/>
      <c r="G638" s="152"/>
      <c r="H638" s="32"/>
      <c r="I638" s="32"/>
      <c r="J638" s="3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</row>
    <row r="639" spans="1:28" ht="15.75" customHeight="1">
      <c r="A639" s="152"/>
      <c r="B639" s="234"/>
      <c r="C639" s="32"/>
      <c r="D639" s="32"/>
      <c r="E639" s="152"/>
      <c r="F639" s="152"/>
      <c r="G639" s="152"/>
      <c r="H639" s="32"/>
      <c r="I639" s="32"/>
      <c r="J639" s="3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</row>
    <row r="640" spans="1:28" ht="15.75" customHeight="1">
      <c r="A640" s="152"/>
      <c r="B640" s="234"/>
      <c r="C640" s="32"/>
      <c r="D640" s="32"/>
      <c r="E640" s="152"/>
      <c r="F640" s="152"/>
      <c r="G640" s="152"/>
      <c r="H640" s="32"/>
      <c r="I640" s="32"/>
      <c r="J640" s="3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</row>
    <row r="641" spans="1:28" ht="15.75" customHeight="1">
      <c r="A641" s="152"/>
      <c r="B641" s="234"/>
      <c r="C641" s="32"/>
      <c r="D641" s="32"/>
      <c r="E641" s="152"/>
      <c r="F641" s="152"/>
      <c r="G641" s="152"/>
      <c r="H641" s="32"/>
      <c r="I641" s="32"/>
      <c r="J641" s="3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</row>
    <row r="642" spans="1:28" ht="15.75" customHeight="1">
      <c r="A642" s="152"/>
      <c r="B642" s="234"/>
      <c r="C642" s="32"/>
      <c r="D642" s="32"/>
      <c r="E642" s="152"/>
      <c r="F642" s="152"/>
      <c r="G642" s="152"/>
      <c r="H642" s="32"/>
      <c r="I642" s="32"/>
      <c r="J642" s="3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</row>
    <row r="643" spans="1:28" ht="15.75" customHeight="1">
      <c r="A643" s="152"/>
      <c r="B643" s="234"/>
      <c r="C643" s="32"/>
      <c r="D643" s="32"/>
      <c r="E643" s="152"/>
      <c r="F643" s="152"/>
      <c r="G643" s="152"/>
      <c r="H643" s="32"/>
      <c r="I643" s="32"/>
      <c r="J643" s="3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</row>
    <row r="644" spans="1:28" ht="15.75" customHeight="1">
      <c r="A644" s="152"/>
      <c r="B644" s="234"/>
      <c r="C644" s="32"/>
      <c r="D644" s="32"/>
      <c r="E644" s="152"/>
      <c r="F644" s="152"/>
      <c r="G644" s="152"/>
      <c r="H644" s="32"/>
      <c r="I644" s="32"/>
      <c r="J644" s="3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</row>
    <row r="645" spans="1:28" ht="15.75" customHeight="1">
      <c r="A645" s="152"/>
      <c r="B645" s="234"/>
      <c r="C645" s="32"/>
      <c r="D645" s="32"/>
      <c r="E645" s="152"/>
      <c r="F645" s="152"/>
      <c r="G645" s="152"/>
      <c r="H645" s="32"/>
      <c r="I645" s="32"/>
      <c r="J645" s="3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</row>
    <row r="646" spans="1:28" ht="15.75" customHeight="1">
      <c r="A646" s="152"/>
      <c r="B646" s="234"/>
      <c r="C646" s="32"/>
      <c r="D646" s="32"/>
      <c r="E646" s="152"/>
      <c r="F646" s="152"/>
      <c r="G646" s="152"/>
      <c r="H646" s="32"/>
      <c r="I646" s="32"/>
      <c r="J646" s="3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</row>
    <row r="647" spans="1:28" ht="15.75" customHeight="1">
      <c r="A647" s="152"/>
      <c r="B647" s="234"/>
      <c r="C647" s="32"/>
      <c r="D647" s="32"/>
      <c r="E647" s="152"/>
      <c r="F647" s="152"/>
      <c r="G647" s="152"/>
      <c r="H647" s="32"/>
      <c r="I647" s="32"/>
      <c r="J647" s="3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</row>
    <row r="648" spans="1:28" ht="15.75" customHeight="1">
      <c r="A648" s="152"/>
      <c r="B648" s="234"/>
      <c r="C648" s="32"/>
      <c r="D648" s="32"/>
      <c r="E648" s="152"/>
      <c r="F648" s="152"/>
      <c r="G648" s="152"/>
      <c r="H648" s="32"/>
      <c r="I648" s="32"/>
      <c r="J648" s="3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</row>
    <row r="649" spans="1:28" ht="15.75" customHeight="1">
      <c r="A649" s="152"/>
      <c r="B649" s="234"/>
      <c r="C649" s="32"/>
      <c r="D649" s="32"/>
      <c r="E649" s="152"/>
      <c r="F649" s="152"/>
      <c r="G649" s="152"/>
      <c r="H649" s="32"/>
      <c r="I649" s="32"/>
      <c r="J649" s="3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</row>
    <row r="650" spans="1:28" ht="15.75" customHeight="1">
      <c r="A650" s="152"/>
      <c r="B650" s="234"/>
      <c r="C650" s="32"/>
      <c r="D650" s="32"/>
      <c r="E650" s="152"/>
      <c r="F650" s="152"/>
      <c r="G650" s="152"/>
      <c r="H650" s="32"/>
      <c r="I650" s="32"/>
      <c r="J650" s="3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</row>
    <row r="651" spans="1:28" ht="15.75" customHeight="1">
      <c r="A651" s="152"/>
      <c r="B651" s="234"/>
      <c r="C651" s="32"/>
      <c r="D651" s="32"/>
      <c r="E651" s="152"/>
      <c r="F651" s="152"/>
      <c r="G651" s="152"/>
      <c r="H651" s="32"/>
      <c r="I651" s="32"/>
      <c r="J651" s="3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</row>
    <row r="652" spans="1:28" ht="15.75" customHeight="1">
      <c r="A652" s="152"/>
      <c r="B652" s="234"/>
      <c r="C652" s="32"/>
      <c r="D652" s="32"/>
      <c r="E652" s="152"/>
      <c r="F652" s="152"/>
      <c r="G652" s="152"/>
      <c r="H652" s="32"/>
      <c r="I652" s="32"/>
      <c r="J652" s="3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</row>
    <row r="653" spans="1:28" ht="15.75" customHeight="1">
      <c r="A653" s="152"/>
      <c r="B653" s="234"/>
      <c r="C653" s="32"/>
      <c r="D653" s="32"/>
      <c r="E653" s="152"/>
      <c r="F653" s="152"/>
      <c r="G653" s="152"/>
      <c r="H653" s="32"/>
      <c r="I653" s="32"/>
      <c r="J653" s="3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</row>
    <row r="654" spans="1:28" ht="15.75" customHeight="1">
      <c r="A654" s="152"/>
      <c r="B654" s="234"/>
      <c r="C654" s="32"/>
      <c r="D654" s="32"/>
      <c r="E654" s="152"/>
      <c r="F654" s="152"/>
      <c r="G654" s="152"/>
      <c r="H654" s="32"/>
      <c r="I654" s="32"/>
      <c r="J654" s="3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</row>
    <row r="655" spans="1:28" ht="15.75" customHeight="1">
      <c r="A655" s="152"/>
      <c r="B655" s="234"/>
      <c r="C655" s="32"/>
      <c r="D655" s="32"/>
      <c r="E655" s="152"/>
      <c r="F655" s="152"/>
      <c r="G655" s="152"/>
      <c r="H655" s="32"/>
      <c r="I655" s="32"/>
      <c r="J655" s="3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</row>
    <row r="656" spans="1:28" ht="15.75" customHeight="1">
      <c r="A656" s="152"/>
      <c r="B656" s="234"/>
      <c r="C656" s="32"/>
      <c r="D656" s="32"/>
      <c r="E656" s="152"/>
      <c r="F656" s="152"/>
      <c r="G656" s="152"/>
      <c r="H656" s="32"/>
      <c r="I656" s="32"/>
      <c r="J656" s="3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</row>
    <row r="657" spans="1:28" ht="15.75" customHeight="1">
      <c r="A657" s="152"/>
      <c r="B657" s="234"/>
      <c r="C657" s="32"/>
      <c r="D657" s="32"/>
      <c r="E657" s="152"/>
      <c r="F657" s="152"/>
      <c r="G657" s="152"/>
      <c r="H657" s="32"/>
      <c r="I657" s="32"/>
      <c r="J657" s="3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</row>
    <row r="658" spans="1:28" ht="15.75" customHeight="1">
      <c r="A658" s="152"/>
      <c r="B658" s="234"/>
      <c r="C658" s="32"/>
      <c r="D658" s="32"/>
      <c r="E658" s="152"/>
      <c r="F658" s="152"/>
      <c r="G658" s="152"/>
      <c r="H658" s="32"/>
      <c r="I658" s="32"/>
      <c r="J658" s="3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</row>
    <row r="659" spans="1:28" ht="15.75" customHeight="1">
      <c r="A659" s="152"/>
      <c r="B659" s="234"/>
      <c r="C659" s="32"/>
      <c r="D659" s="32"/>
      <c r="E659" s="152"/>
      <c r="F659" s="152"/>
      <c r="G659" s="152"/>
      <c r="H659" s="32"/>
      <c r="I659" s="32"/>
      <c r="J659" s="3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</row>
    <row r="660" spans="1:28" ht="15.75" customHeight="1">
      <c r="A660" s="152"/>
      <c r="B660" s="234"/>
      <c r="C660" s="32"/>
      <c r="D660" s="32"/>
      <c r="E660" s="152"/>
      <c r="F660" s="152"/>
      <c r="G660" s="152"/>
      <c r="H660" s="32"/>
      <c r="I660" s="32"/>
      <c r="J660" s="3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</row>
    <row r="661" spans="1:28" ht="15.75" customHeight="1">
      <c r="A661" s="152"/>
      <c r="B661" s="234"/>
      <c r="C661" s="32"/>
      <c r="D661" s="32"/>
      <c r="E661" s="152"/>
      <c r="F661" s="152"/>
      <c r="G661" s="152"/>
      <c r="H661" s="32"/>
      <c r="I661" s="32"/>
      <c r="J661" s="3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</row>
    <row r="662" spans="1:28" ht="15.75" customHeight="1">
      <c r="A662" s="152"/>
      <c r="B662" s="234"/>
      <c r="C662" s="32"/>
      <c r="D662" s="32"/>
      <c r="E662" s="152"/>
      <c r="F662" s="152"/>
      <c r="G662" s="152"/>
      <c r="H662" s="32"/>
      <c r="I662" s="32"/>
      <c r="J662" s="3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</row>
    <row r="663" spans="1:28" ht="15.75" customHeight="1">
      <c r="A663" s="152"/>
      <c r="B663" s="234"/>
      <c r="C663" s="32"/>
      <c r="D663" s="32"/>
      <c r="E663" s="152"/>
      <c r="F663" s="152"/>
      <c r="G663" s="152"/>
      <c r="H663" s="32"/>
      <c r="I663" s="32"/>
      <c r="J663" s="3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</row>
    <row r="664" spans="1:28" ht="15.75" customHeight="1">
      <c r="A664" s="152"/>
      <c r="B664" s="234"/>
      <c r="C664" s="32"/>
      <c r="D664" s="32"/>
      <c r="E664" s="152"/>
      <c r="F664" s="152"/>
      <c r="G664" s="152"/>
      <c r="H664" s="32"/>
      <c r="I664" s="32"/>
      <c r="J664" s="3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</row>
    <row r="665" spans="1:28" ht="15.75" customHeight="1">
      <c r="A665" s="152"/>
      <c r="B665" s="234"/>
      <c r="C665" s="32"/>
      <c r="D665" s="32"/>
      <c r="E665" s="152"/>
      <c r="F665" s="152"/>
      <c r="G665" s="152"/>
      <c r="H665" s="32"/>
      <c r="I665" s="32"/>
      <c r="J665" s="3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</row>
    <row r="666" spans="1:28" ht="15.75" customHeight="1">
      <c r="A666" s="152"/>
      <c r="B666" s="234"/>
      <c r="C666" s="32"/>
      <c r="D666" s="32"/>
      <c r="E666" s="152"/>
      <c r="F666" s="152"/>
      <c r="G666" s="152"/>
      <c r="H666" s="32"/>
      <c r="I666" s="32"/>
      <c r="J666" s="3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</row>
    <row r="667" spans="1:28" ht="15.75" customHeight="1">
      <c r="A667" s="152"/>
      <c r="B667" s="234"/>
      <c r="C667" s="32"/>
      <c r="D667" s="32"/>
      <c r="E667" s="152"/>
      <c r="F667" s="152"/>
      <c r="G667" s="152"/>
      <c r="H667" s="32"/>
      <c r="I667" s="32"/>
      <c r="J667" s="3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</row>
    <row r="668" spans="1:28" ht="15.75" customHeight="1">
      <c r="A668" s="152"/>
      <c r="B668" s="234"/>
      <c r="C668" s="32"/>
      <c r="D668" s="32"/>
      <c r="E668" s="152"/>
      <c r="F668" s="152"/>
      <c r="G668" s="152"/>
      <c r="H668" s="32"/>
      <c r="I668" s="32"/>
      <c r="J668" s="3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</row>
    <row r="669" spans="1:28" ht="15.75" customHeight="1">
      <c r="A669" s="152"/>
      <c r="B669" s="234"/>
      <c r="C669" s="32"/>
      <c r="D669" s="32"/>
      <c r="E669" s="152"/>
      <c r="F669" s="152"/>
      <c r="G669" s="152"/>
      <c r="H669" s="32"/>
      <c r="I669" s="32"/>
      <c r="J669" s="3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</row>
    <row r="670" spans="1:28" ht="15.75" customHeight="1">
      <c r="A670" s="152"/>
      <c r="B670" s="234"/>
      <c r="C670" s="32"/>
      <c r="D670" s="32"/>
      <c r="E670" s="152"/>
      <c r="F670" s="152"/>
      <c r="G670" s="152"/>
      <c r="H670" s="32"/>
      <c r="I670" s="32"/>
      <c r="J670" s="3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</row>
    <row r="671" spans="1:28" ht="15.75" customHeight="1">
      <c r="A671" s="152"/>
      <c r="B671" s="234"/>
      <c r="C671" s="32"/>
      <c r="D671" s="32"/>
      <c r="E671" s="152"/>
      <c r="F671" s="152"/>
      <c r="G671" s="152"/>
      <c r="H671" s="32"/>
      <c r="I671" s="32"/>
      <c r="J671" s="3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</row>
    <row r="672" spans="1:28" ht="15.75" customHeight="1">
      <c r="A672" s="152"/>
      <c r="B672" s="234"/>
      <c r="C672" s="32"/>
      <c r="D672" s="32"/>
      <c r="E672" s="152"/>
      <c r="F672" s="152"/>
      <c r="G672" s="152"/>
      <c r="H672" s="32"/>
      <c r="I672" s="32"/>
      <c r="J672" s="3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</row>
    <row r="673" spans="1:28" ht="15.75" customHeight="1">
      <c r="A673" s="152"/>
      <c r="B673" s="234"/>
      <c r="C673" s="32"/>
      <c r="D673" s="32"/>
      <c r="E673" s="152"/>
      <c r="F673" s="152"/>
      <c r="G673" s="152"/>
      <c r="H673" s="32"/>
      <c r="I673" s="32"/>
      <c r="J673" s="3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</row>
    <row r="674" spans="1:28" ht="15.75" customHeight="1">
      <c r="A674" s="152"/>
      <c r="B674" s="234"/>
      <c r="C674" s="32"/>
      <c r="D674" s="32"/>
      <c r="E674" s="152"/>
      <c r="F674" s="152"/>
      <c r="G674" s="152"/>
      <c r="H674" s="32"/>
      <c r="I674" s="32"/>
      <c r="J674" s="3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</row>
    <row r="675" spans="1:28" ht="15.75" customHeight="1">
      <c r="A675" s="152"/>
      <c r="B675" s="234"/>
      <c r="C675" s="32"/>
      <c r="D675" s="32"/>
      <c r="E675" s="152"/>
      <c r="F675" s="152"/>
      <c r="G675" s="152"/>
      <c r="H675" s="32"/>
      <c r="I675" s="32"/>
      <c r="J675" s="3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</row>
    <row r="676" spans="1:28" ht="15.75" customHeight="1">
      <c r="A676" s="152"/>
      <c r="B676" s="234"/>
      <c r="C676" s="32"/>
      <c r="D676" s="32"/>
      <c r="E676" s="152"/>
      <c r="F676" s="152"/>
      <c r="G676" s="152"/>
      <c r="H676" s="32"/>
      <c r="I676" s="32"/>
      <c r="J676" s="3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</row>
    <row r="677" spans="1:28" ht="15.75" customHeight="1">
      <c r="A677" s="152"/>
      <c r="B677" s="234"/>
      <c r="C677" s="32"/>
      <c r="D677" s="32"/>
      <c r="E677" s="152"/>
      <c r="F677" s="152"/>
      <c r="G677" s="152"/>
      <c r="H677" s="32"/>
      <c r="I677" s="32"/>
      <c r="J677" s="3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</row>
    <row r="678" spans="1:28" ht="15.75" customHeight="1">
      <c r="A678" s="152"/>
      <c r="B678" s="234"/>
      <c r="C678" s="32"/>
      <c r="D678" s="32"/>
      <c r="E678" s="152"/>
      <c r="F678" s="152"/>
      <c r="G678" s="152"/>
      <c r="H678" s="32"/>
      <c r="I678" s="32"/>
      <c r="J678" s="3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</row>
    <row r="679" spans="1:28" ht="15.75" customHeight="1">
      <c r="A679" s="152"/>
      <c r="B679" s="234"/>
      <c r="C679" s="32"/>
      <c r="D679" s="32"/>
      <c r="E679" s="152"/>
      <c r="F679" s="152"/>
      <c r="G679" s="152"/>
      <c r="H679" s="32"/>
      <c r="I679" s="32"/>
      <c r="J679" s="3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</row>
    <row r="680" spans="1:28" ht="15.75" customHeight="1">
      <c r="A680" s="152"/>
      <c r="B680" s="234"/>
      <c r="C680" s="32"/>
      <c r="D680" s="32"/>
      <c r="E680" s="152"/>
      <c r="F680" s="152"/>
      <c r="G680" s="152"/>
      <c r="H680" s="32"/>
      <c r="I680" s="32"/>
      <c r="J680" s="3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</row>
    <row r="681" spans="1:28" ht="15.75" customHeight="1">
      <c r="A681" s="152"/>
      <c r="B681" s="234"/>
      <c r="C681" s="32"/>
      <c r="D681" s="32"/>
      <c r="E681" s="152"/>
      <c r="F681" s="152"/>
      <c r="G681" s="152"/>
      <c r="H681" s="32"/>
      <c r="I681" s="32"/>
      <c r="J681" s="3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</row>
    <row r="682" spans="1:28" ht="15.75" customHeight="1">
      <c r="A682" s="152"/>
      <c r="B682" s="234"/>
      <c r="C682" s="32"/>
      <c r="D682" s="32"/>
      <c r="E682" s="152"/>
      <c r="F682" s="152"/>
      <c r="G682" s="152"/>
      <c r="H682" s="32"/>
      <c r="I682" s="32"/>
      <c r="J682" s="3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</row>
    <row r="683" spans="1:28" ht="15.75" customHeight="1">
      <c r="A683" s="152"/>
      <c r="B683" s="234"/>
      <c r="C683" s="32"/>
      <c r="D683" s="32"/>
      <c r="E683" s="152"/>
      <c r="F683" s="152"/>
      <c r="G683" s="152"/>
      <c r="H683" s="32"/>
      <c r="I683" s="32"/>
      <c r="J683" s="3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</row>
    <row r="684" spans="1:28" ht="15.75" customHeight="1">
      <c r="A684" s="152"/>
      <c r="B684" s="234"/>
      <c r="C684" s="32"/>
      <c r="D684" s="32"/>
      <c r="E684" s="152"/>
      <c r="F684" s="152"/>
      <c r="G684" s="152"/>
      <c r="H684" s="32"/>
      <c r="I684" s="32"/>
      <c r="J684" s="3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</row>
    <row r="685" spans="1:28" ht="15.75" customHeight="1">
      <c r="A685" s="152"/>
      <c r="B685" s="234"/>
      <c r="C685" s="32"/>
      <c r="D685" s="32"/>
      <c r="E685" s="152"/>
      <c r="F685" s="152"/>
      <c r="G685" s="152"/>
      <c r="H685" s="32"/>
      <c r="I685" s="32"/>
      <c r="J685" s="3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</row>
    <row r="686" spans="1:28" ht="15.75" customHeight="1">
      <c r="A686" s="152"/>
      <c r="B686" s="234"/>
      <c r="C686" s="32"/>
      <c r="D686" s="32"/>
      <c r="E686" s="152"/>
      <c r="F686" s="152"/>
      <c r="G686" s="152"/>
      <c r="H686" s="32"/>
      <c r="I686" s="32"/>
      <c r="J686" s="3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</row>
    <row r="687" spans="1:28" ht="15.75" customHeight="1">
      <c r="A687" s="152"/>
      <c r="B687" s="234"/>
      <c r="C687" s="32"/>
      <c r="D687" s="32"/>
      <c r="E687" s="152"/>
      <c r="F687" s="152"/>
      <c r="G687" s="152"/>
      <c r="H687" s="32"/>
      <c r="I687" s="32"/>
      <c r="J687" s="3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</row>
    <row r="688" spans="1:28" ht="15.75" customHeight="1">
      <c r="A688" s="152"/>
      <c r="B688" s="234"/>
      <c r="C688" s="32"/>
      <c r="D688" s="32"/>
      <c r="E688" s="152"/>
      <c r="F688" s="152"/>
      <c r="G688" s="152"/>
      <c r="H688" s="32"/>
      <c r="I688" s="32"/>
      <c r="J688" s="3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</row>
    <row r="689" spans="1:28" ht="15.75" customHeight="1">
      <c r="A689" s="152"/>
      <c r="B689" s="234"/>
      <c r="C689" s="32"/>
      <c r="D689" s="32"/>
      <c r="E689" s="152"/>
      <c r="F689" s="152"/>
      <c r="G689" s="152"/>
      <c r="H689" s="32"/>
      <c r="I689" s="32"/>
      <c r="J689" s="3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</row>
    <row r="690" spans="1:28" ht="15.75" customHeight="1">
      <c r="A690" s="152"/>
      <c r="B690" s="234"/>
      <c r="C690" s="32"/>
      <c r="D690" s="32"/>
      <c r="E690" s="152"/>
      <c r="F690" s="152"/>
      <c r="G690" s="152"/>
      <c r="H690" s="32"/>
      <c r="I690" s="32"/>
      <c r="J690" s="3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</row>
    <row r="691" spans="1:28" ht="15.75" customHeight="1">
      <c r="A691" s="152"/>
      <c r="B691" s="234"/>
      <c r="C691" s="32"/>
      <c r="D691" s="32"/>
      <c r="E691" s="152"/>
      <c r="F691" s="152"/>
      <c r="G691" s="152"/>
      <c r="H691" s="32"/>
      <c r="I691" s="32"/>
      <c r="J691" s="3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</row>
    <row r="692" spans="1:28" ht="15.75" customHeight="1">
      <c r="A692" s="152"/>
      <c r="B692" s="234"/>
      <c r="C692" s="32"/>
      <c r="D692" s="32"/>
      <c r="E692" s="152"/>
      <c r="F692" s="152"/>
      <c r="G692" s="152"/>
      <c r="H692" s="32"/>
      <c r="I692" s="32"/>
      <c r="J692" s="3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</row>
    <row r="693" spans="1:28" ht="15.75" customHeight="1">
      <c r="A693" s="152"/>
      <c r="B693" s="234"/>
      <c r="C693" s="32"/>
      <c r="D693" s="32"/>
      <c r="E693" s="152"/>
      <c r="F693" s="152"/>
      <c r="G693" s="152"/>
      <c r="H693" s="32"/>
      <c r="I693" s="32"/>
      <c r="J693" s="3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</row>
    <row r="694" spans="1:28" ht="15.75" customHeight="1">
      <c r="A694" s="152"/>
      <c r="B694" s="234"/>
      <c r="C694" s="32"/>
      <c r="D694" s="32"/>
      <c r="E694" s="152"/>
      <c r="F694" s="152"/>
      <c r="G694" s="152"/>
      <c r="H694" s="32"/>
      <c r="I694" s="32"/>
      <c r="J694" s="3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</row>
    <row r="695" spans="1:28" ht="15.75" customHeight="1">
      <c r="A695" s="152"/>
      <c r="B695" s="234"/>
      <c r="C695" s="32"/>
      <c r="D695" s="32"/>
      <c r="E695" s="152"/>
      <c r="F695" s="152"/>
      <c r="G695" s="152"/>
      <c r="H695" s="32"/>
      <c r="I695" s="32"/>
      <c r="J695" s="3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</row>
    <row r="696" spans="1:28" ht="15.75" customHeight="1">
      <c r="A696" s="152"/>
      <c r="B696" s="234"/>
      <c r="C696" s="32"/>
      <c r="D696" s="32"/>
      <c r="E696" s="152"/>
      <c r="F696" s="152"/>
      <c r="G696" s="152"/>
      <c r="H696" s="32"/>
      <c r="I696" s="32"/>
      <c r="J696" s="3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</row>
    <row r="697" spans="1:28" ht="15.75" customHeight="1">
      <c r="A697" s="152"/>
      <c r="B697" s="234"/>
      <c r="C697" s="32"/>
      <c r="D697" s="32"/>
      <c r="E697" s="152"/>
      <c r="F697" s="152"/>
      <c r="G697" s="152"/>
      <c r="H697" s="32"/>
      <c r="I697" s="32"/>
      <c r="J697" s="3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</row>
    <row r="698" spans="1:28" ht="15.75" customHeight="1">
      <c r="A698" s="152"/>
      <c r="B698" s="234"/>
      <c r="C698" s="32"/>
      <c r="D698" s="32"/>
      <c r="E698" s="152"/>
      <c r="F698" s="152"/>
      <c r="G698" s="152"/>
      <c r="H698" s="32"/>
      <c r="I698" s="32"/>
      <c r="J698" s="3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</row>
    <row r="699" spans="1:28" ht="15.75" customHeight="1">
      <c r="A699" s="152"/>
      <c r="B699" s="234"/>
      <c r="C699" s="32"/>
      <c r="D699" s="32"/>
      <c r="E699" s="152"/>
      <c r="F699" s="152"/>
      <c r="G699" s="152"/>
      <c r="H699" s="32"/>
      <c r="I699" s="32"/>
      <c r="J699" s="3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</row>
    <row r="700" spans="1:28" ht="15.75" customHeight="1">
      <c r="A700" s="152"/>
      <c r="B700" s="234"/>
      <c r="C700" s="32"/>
      <c r="D700" s="32"/>
      <c r="E700" s="152"/>
      <c r="F700" s="152"/>
      <c r="G700" s="152"/>
      <c r="H700" s="32"/>
      <c r="I700" s="32"/>
      <c r="J700" s="3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</row>
    <row r="701" spans="1:28" ht="15.75" customHeight="1">
      <c r="A701" s="152"/>
      <c r="B701" s="234"/>
      <c r="C701" s="32"/>
      <c r="D701" s="32"/>
      <c r="E701" s="152"/>
      <c r="F701" s="152"/>
      <c r="G701" s="152"/>
      <c r="H701" s="32"/>
      <c r="I701" s="32"/>
      <c r="J701" s="3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</row>
    <row r="702" spans="1:28" ht="15.75" customHeight="1">
      <c r="A702" s="152"/>
      <c r="B702" s="234"/>
      <c r="C702" s="32"/>
      <c r="D702" s="32"/>
      <c r="E702" s="152"/>
      <c r="F702" s="152"/>
      <c r="G702" s="152"/>
      <c r="H702" s="32"/>
      <c r="I702" s="32"/>
      <c r="J702" s="3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</row>
    <row r="703" spans="1:28" ht="15.75" customHeight="1">
      <c r="A703" s="152"/>
      <c r="B703" s="234"/>
      <c r="C703" s="32"/>
      <c r="D703" s="32"/>
      <c r="E703" s="152"/>
      <c r="F703" s="152"/>
      <c r="G703" s="152"/>
      <c r="H703" s="32"/>
      <c r="I703" s="32"/>
      <c r="J703" s="3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</row>
    <row r="704" spans="1:28" ht="15.75" customHeight="1">
      <c r="A704" s="152"/>
      <c r="B704" s="234"/>
      <c r="C704" s="32"/>
      <c r="D704" s="32"/>
      <c r="E704" s="152"/>
      <c r="F704" s="152"/>
      <c r="G704" s="152"/>
      <c r="H704" s="32"/>
      <c r="I704" s="32"/>
      <c r="J704" s="3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</row>
    <row r="705" spans="1:28" ht="15.75" customHeight="1">
      <c r="A705" s="152"/>
      <c r="B705" s="234"/>
      <c r="C705" s="32"/>
      <c r="D705" s="32"/>
      <c r="E705" s="152"/>
      <c r="F705" s="152"/>
      <c r="G705" s="152"/>
      <c r="H705" s="32"/>
      <c r="I705" s="32"/>
      <c r="J705" s="3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</row>
    <row r="706" spans="1:28" ht="15.75" customHeight="1">
      <c r="A706" s="152"/>
      <c r="B706" s="234"/>
      <c r="C706" s="32"/>
      <c r="D706" s="32"/>
      <c r="E706" s="152"/>
      <c r="F706" s="152"/>
      <c r="G706" s="152"/>
      <c r="H706" s="32"/>
      <c r="I706" s="32"/>
      <c r="J706" s="3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</row>
    <row r="707" spans="1:28" ht="15.75" customHeight="1">
      <c r="A707" s="152"/>
      <c r="B707" s="234"/>
      <c r="C707" s="32"/>
      <c r="D707" s="32"/>
      <c r="E707" s="152"/>
      <c r="F707" s="152"/>
      <c r="G707" s="152"/>
      <c r="H707" s="32"/>
      <c r="I707" s="32"/>
      <c r="J707" s="3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</row>
    <row r="708" spans="1:28" ht="15.75" customHeight="1">
      <c r="A708" s="152"/>
      <c r="B708" s="234"/>
      <c r="C708" s="32"/>
      <c r="D708" s="32"/>
      <c r="E708" s="152"/>
      <c r="F708" s="152"/>
      <c r="G708" s="152"/>
      <c r="H708" s="32"/>
      <c r="I708" s="32"/>
      <c r="J708" s="3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</row>
    <row r="709" spans="1:28" ht="15.75" customHeight="1">
      <c r="A709" s="152"/>
      <c r="B709" s="234"/>
      <c r="C709" s="32"/>
      <c r="D709" s="32"/>
      <c r="E709" s="152"/>
      <c r="F709" s="152"/>
      <c r="G709" s="152"/>
      <c r="H709" s="32"/>
      <c r="I709" s="32"/>
      <c r="J709" s="3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</row>
    <row r="710" spans="1:28" ht="15.75" customHeight="1">
      <c r="A710" s="152"/>
      <c r="B710" s="234"/>
      <c r="C710" s="32"/>
      <c r="D710" s="32"/>
      <c r="E710" s="152"/>
      <c r="F710" s="152"/>
      <c r="G710" s="152"/>
      <c r="H710" s="32"/>
      <c r="I710" s="32"/>
      <c r="J710" s="3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</row>
    <row r="711" spans="1:28" ht="15.75" customHeight="1">
      <c r="A711" s="152"/>
      <c r="B711" s="234"/>
      <c r="C711" s="32"/>
      <c r="D711" s="32"/>
      <c r="E711" s="152"/>
      <c r="F711" s="152"/>
      <c r="G711" s="152"/>
      <c r="H711" s="32"/>
      <c r="I711" s="32"/>
      <c r="J711" s="3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</row>
    <row r="712" spans="1:28" ht="15.75" customHeight="1">
      <c r="A712" s="152"/>
      <c r="B712" s="234"/>
      <c r="C712" s="32"/>
      <c r="D712" s="32"/>
      <c r="E712" s="152"/>
      <c r="F712" s="152"/>
      <c r="G712" s="152"/>
      <c r="H712" s="32"/>
      <c r="I712" s="32"/>
      <c r="J712" s="3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</row>
    <row r="713" spans="1:28" ht="15.75" customHeight="1">
      <c r="A713" s="152"/>
      <c r="B713" s="234"/>
      <c r="C713" s="32"/>
      <c r="D713" s="32"/>
      <c r="E713" s="152"/>
      <c r="F713" s="152"/>
      <c r="G713" s="152"/>
      <c r="H713" s="32"/>
      <c r="I713" s="32"/>
      <c r="J713" s="3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</row>
    <row r="714" spans="1:28" ht="15.75" customHeight="1">
      <c r="A714" s="152"/>
      <c r="B714" s="234"/>
      <c r="C714" s="32"/>
      <c r="D714" s="32"/>
      <c r="E714" s="152"/>
      <c r="F714" s="152"/>
      <c r="G714" s="152"/>
      <c r="H714" s="32"/>
      <c r="I714" s="32"/>
      <c r="J714" s="3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</row>
    <row r="715" spans="1:28" ht="15.75" customHeight="1">
      <c r="A715" s="152"/>
      <c r="B715" s="234"/>
      <c r="C715" s="32"/>
      <c r="D715" s="32"/>
      <c r="E715" s="152"/>
      <c r="F715" s="152"/>
      <c r="G715" s="152"/>
      <c r="H715" s="32"/>
      <c r="I715" s="32"/>
      <c r="J715" s="3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</row>
    <row r="716" spans="1:28" ht="15.75" customHeight="1">
      <c r="A716" s="152"/>
      <c r="B716" s="234"/>
      <c r="C716" s="32"/>
      <c r="D716" s="32"/>
      <c r="E716" s="152"/>
      <c r="F716" s="152"/>
      <c r="G716" s="152"/>
      <c r="H716" s="32"/>
      <c r="I716" s="32"/>
      <c r="J716" s="3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</row>
    <row r="717" spans="1:28" ht="15.75" customHeight="1">
      <c r="A717" s="152"/>
      <c r="B717" s="234"/>
      <c r="C717" s="32"/>
      <c r="D717" s="32"/>
      <c r="E717" s="152"/>
      <c r="F717" s="152"/>
      <c r="G717" s="152"/>
      <c r="H717" s="32"/>
      <c r="I717" s="32"/>
      <c r="J717" s="3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</row>
    <row r="718" spans="1:28" ht="15.75" customHeight="1">
      <c r="A718" s="152"/>
      <c r="B718" s="234"/>
      <c r="C718" s="32"/>
      <c r="D718" s="32"/>
      <c r="E718" s="152"/>
      <c r="F718" s="152"/>
      <c r="G718" s="152"/>
      <c r="H718" s="32"/>
      <c r="I718" s="32"/>
      <c r="J718" s="3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</row>
    <row r="719" spans="1:28" ht="15.75" customHeight="1">
      <c r="A719" s="152"/>
      <c r="B719" s="234"/>
      <c r="C719" s="32"/>
      <c r="D719" s="32"/>
      <c r="E719" s="152"/>
      <c r="F719" s="152"/>
      <c r="G719" s="152"/>
      <c r="H719" s="32"/>
      <c r="I719" s="32"/>
      <c r="J719" s="3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</row>
    <row r="720" spans="1:28" ht="15.75" customHeight="1">
      <c r="A720" s="152"/>
      <c r="B720" s="234"/>
      <c r="C720" s="32"/>
      <c r="D720" s="32"/>
      <c r="E720" s="152"/>
      <c r="F720" s="152"/>
      <c r="G720" s="152"/>
      <c r="H720" s="32"/>
      <c r="I720" s="32"/>
      <c r="J720" s="3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</row>
    <row r="721" spans="1:28" ht="15.75" customHeight="1">
      <c r="A721" s="152"/>
      <c r="B721" s="234"/>
      <c r="C721" s="32"/>
      <c r="D721" s="32"/>
      <c r="E721" s="152"/>
      <c r="F721" s="152"/>
      <c r="G721" s="152"/>
      <c r="H721" s="32"/>
      <c r="I721" s="32"/>
      <c r="J721" s="3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</row>
    <row r="722" spans="1:28" ht="15.75" customHeight="1">
      <c r="A722" s="152"/>
      <c r="B722" s="234"/>
      <c r="C722" s="32"/>
      <c r="D722" s="32"/>
      <c r="E722" s="152"/>
      <c r="F722" s="152"/>
      <c r="G722" s="152"/>
      <c r="H722" s="32"/>
      <c r="I722" s="32"/>
      <c r="J722" s="3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</row>
    <row r="723" spans="1:28" ht="15.75" customHeight="1">
      <c r="A723" s="152"/>
      <c r="B723" s="234"/>
      <c r="C723" s="32"/>
      <c r="D723" s="32"/>
      <c r="E723" s="152"/>
      <c r="F723" s="152"/>
      <c r="G723" s="152"/>
      <c r="H723" s="32"/>
      <c r="I723" s="32"/>
      <c r="J723" s="3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</row>
    <row r="724" spans="1:28" ht="15.75" customHeight="1">
      <c r="A724" s="152"/>
      <c r="B724" s="234"/>
      <c r="C724" s="32"/>
      <c r="D724" s="32"/>
      <c r="E724" s="152"/>
      <c r="F724" s="152"/>
      <c r="G724" s="152"/>
      <c r="H724" s="32"/>
      <c r="I724" s="32"/>
      <c r="J724" s="3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</row>
    <row r="725" spans="1:28" ht="15.75" customHeight="1">
      <c r="A725" s="152"/>
      <c r="B725" s="234"/>
      <c r="C725" s="32"/>
      <c r="D725" s="32"/>
      <c r="E725" s="152"/>
      <c r="F725" s="152"/>
      <c r="G725" s="152"/>
      <c r="H725" s="32"/>
      <c r="I725" s="32"/>
      <c r="J725" s="3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</row>
    <row r="726" spans="1:28" ht="15.75" customHeight="1">
      <c r="A726" s="152"/>
      <c r="B726" s="234"/>
      <c r="C726" s="32"/>
      <c r="D726" s="32"/>
      <c r="E726" s="152"/>
      <c r="F726" s="152"/>
      <c r="G726" s="152"/>
      <c r="H726" s="32"/>
      <c r="I726" s="32"/>
      <c r="J726" s="3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</row>
    <row r="727" spans="1:28" ht="15.75" customHeight="1">
      <c r="A727" s="152"/>
      <c r="B727" s="234"/>
      <c r="C727" s="32"/>
      <c r="D727" s="32"/>
      <c r="E727" s="152"/>
      <c r="F727" s="152"/>
      <c r="G727" s="152"/>
      <c r="H727" s="32"/>
      <c r="I727" s="32"/>
      <c r="J727" s="3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</row>
    <row r="728" spans="1:28" ht="15.75" customHeight="1">
      <c r="A728" s="152"/>
      <c r="B728" s="234"/>
      <c r="C728" s="32"/>
      <c r="D728" s="32"/>
      <c r="E728" s="152"/>
      <c r="F728" s="152"/>
      <c r="G728" s="152"/>
      <c r="H728" s="32"/>
      <c r="I728" s="32"/>
      <c r="J728" s="3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</row>
    <row r="729" spans="1:28" ht="15.75" customHeight="1">
      <c r="A729" s="152"/>
      <c r="B729" s="234"/>
      <c r="C729" s="32"/>
      <c r="D729" s="32"/>
      <c r="E729" s="152"/>
      <c r="F729" s="152"/>
      <c r="G729" s="152"/>
      <c r="H729" s="32"/>
      <c r="I729" s="32"/>
      <c r="J729" s="3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</row>
    <row r="730" spans="1:28" ht="15.75" customHeight="1">
      <c r="A730" s="152"/>
      <c r="B730" s="234"/>
      <c r="C730" s="32"/>
      <c r="D730" s="32"/>
      <c r="E730" s="152"/>
      <c r="F730" s="152"/>
      <c r="G730" s="152"/>
      <c r="H730" s="32"/>
      <c r="I730" s="32"/>
      <c r="J730" s="3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</row>
    <row r="731" spans="1:28" ht="15.75" customHeight="1">
      <c r="A731" s="152"/>
      <c r="B731" s="234"/>
      <c r="C731" s="32"/>
      <c r="D731" s="32"/>
      <c r="E731" s="152"/>
      <c r="F731" s="152"/>
      <c r="G731" s="152"/>
      <c r="H731" s="32"/>
      <c r="I731" s="32"/>
      <c r="J731" s="3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</row>
    <row r="732" spans="1:28" ht="15.75" customHeight="1">
      <c r="A732" s="152"/>
      <c r="B732" s="234"/>
      <c r="C732" s="32"/>
      <c r="D732" s="32"/>
      <c r="E732" s="152"/>
      <c r="F732" s="152"/>
      <c r="G732" s="152"/>
      <c r="H732" s="32"/>
      <c r="I732" s="32"/>
      <c r="J732" s="3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</row>
    <row r="733" spans="1:28" ht="15.75" customHeight="1">
      <c r="A733" s="152"/>
      <c r="B733" s="234"/>
      <c r="C733" s="32"/>
      <c r="D733" s="32"/>
      <c r="E733" s="152"/>
      <c r="F733" s="152"/>
      <c r="G733" s="152"/>
      <c r="H733" s="32"/>
      <c r="I733" s="32"/>
      <c r="J733" s="3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</row>
    <row r="734" spans="1:28" ht="15.75" customHeight="1">
      <c r="A734" s="152"/>
      <c r="B734" s="234"/>
      <c r="C734" s="32"/>
      <c r="D734" s="32"/>
      <c r="E734" s="152"/>
      <c r="F734" s="152"/>
      <c r="G734" s="152"/>
      <c r="H734" s="32"/>
      <c r="I734" s="32"/>
      <c r="J734" s="3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</row>
    <row r="735" spans="1:28" ht="15.75" customHeight="1">
      <c r="A735" s="152"/>
      <c r="B735" s="234"/>
      <c r="C735" s="32"/>
      <c r="D735" s="32"/>
      <c r="E735" s="152"/>
      <c r="F735" s="152"/>
      <c r="G735" s="152"/>
      <c r="H735" s="32"/>
      <c r="I735" s="32"/>
      <c r="J735" s="3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</row>
    <row r="736" spans="1:28" ht="15.75" customHeight="1">
      <c r="A736" s="152"/>
      <c r="B736" s="234"/>
      <c r="C736" s="32"/>
      <c r="D736" s="32"/>
      <c r="E736" s="152"/>
      <c r="F736" s="152"/>
      <c r="G736" s="152"/>
      <c r="H736" s="32"/>
      <c r="I736" s="32"/>
      <c r="J736" s="3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</row>
    <row r="737" spans="1:28" ht="15.75" customHeight="1">
      <c r="A737" s="152"/>
      <c r="B737" s="234"/>
      <c r="C737" s="32"/>
      <c r="D737" s="32"/>
      <c r="E737" s="152"/>
      <c r="F737" s="152"/>
      <c r="G737" s="152"/>
      <c r="H737" s="32"/>
      <c r="I737" s="32"/>
      <c r="J737" s="3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</row>
    <row r="738" spans="1:28" ht="15.75" customHeight="1">
      <c r="A738" s="152"/>
      <c r="B738" s="234"/>
      <c r="C738" s="32"/>
      <c r="D738" s="32"/>
      <c r="E738" s="152"/>
      <c r="F738" s="152"/>
      <c r="G738" s="152"/>
      <c r="H738" s="32"/>
      <c r="I738" s="32"/>
      <c r="J738" s="3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</row>
    <row r="739" spans="1:28" ht="15.75" customHeight="1">
      <c r="A739" s="152"/>
      <c r="B739" s="234"/>
      <c r="C739" s="32"/>
      <c r="D739" s="32"/>
      <c r="E739" s="152"/>
      <c r="F739" s="152"/>
      <c r="G739" s="152"/>
      <c r="H739" s="32"/>
      <c r="I739" s="32"/>
      <c r="J739" s="3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</row>
    <row r="740" spans="1:28" ht="15.75" customHeight="1">
      <c r="A740" s="152"/>
      <c r="B740" s="234"/>
      <c r="C740" s="32"/>
      <c r="D740" s="32"/>
      <c r="E740" s="152"/>
      <c r="F740" s="152"/>
      <c r="G740" s="152"/>
      <c r="H740" s="32"/>
      <c r="I740" s="32"/>
      <c r="J740" s="3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</row>
    <row r="741" spans="1:28" ht="15.75" customHeight="1">
      <c r="A741" s="152"/>
      <c r="B741" s="234"/>
      <c r="C741" s="32"/>
      <c r="D741" s="32"/>
      <c r="E741" s="152"/>
      <c r="F741" s="152"/>
      <c r="G741" s="152"/>
      <c r="H741" s="32"/>
      <c r="I741" s="32"/>
      <c r="J741" s="3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</row>
    <row r="742" spans="1:28" ht="15.75" customHeight="1">
      <c r="A742" s="152"/>
      <c r="B742" s="234"/>
      <c r="C742" s="32"/>
      <c r="D742" s="32"/>
      <c r="E742" s="152"/>
      <c r="F742" s="152"/>
      <c r="G742" s="152"/>
      <c r="H742" s="32"/>
      <c r="I742" s="32"/>
      <c r="J742" s="3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</row>
    <row r="743" spans="1:28" ht="15.75" customHeight="1">
      <c r="A743" s="152"/>
      <c r="B743" s="234"/>
      <c r="C743" s="32"/>
      <c r="D743" s="32"/>
      <c r="E743" s="152"/>
      <c r="F743" s="152"/>
      <c r="G743" s="152"/>
      <c r="H743" s="32"/>
      <c r="I743" s="32"/>
      <c r="J743" s="3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</row>
    <row r="744" spans="1:28" ht="15.75" customHeight="1">
      <c r="A744" s="152"/>
      <c r="B744" s="234"/>
      <c r="C744" s="32"/>
      <c r="D744" s="32"/>
      <c r="E744" s="152"/>
      <c r="F744" s="152"/>
      <c r="G744" s="152"/>
      <c r="H744" s="32"/>
      <c r="I744" s="32"/>
      <c r="J744" s="3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</row>
    <row r="745" spans="1:28" ht="15.75" customHeight="1">
      <c r="A745" s="152"/>
      <c r="B745" s="234"/>
      <c r="C745" s="32"/>
      <c r="D745" s="32"/>
      <c r="E745" s="152"/>
      <c r="F745" s="152"/>
      <c r="G745" s="152"/>
      <c r="H745" s="32"/>
      <c r="I745" s="32"/>
      <c r="J745" s="3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</row>
    <row r="746" spans="1:28" ht="15.75" customHeight="1">
      <c r="A746" s="152"/>
      <c r="B746" s="234"/>
      <c r="C746" s="32"/>
      <c r="D746" s="32"/>
      <c r="E746" s="152"/>
      <c r="F746" s="152"/>
      <c r="G746" s="152"/>
      <c r="H746" s="32"/>
      <c r="I746" s="32"/>
      <c r="J746" s="3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</row>
    <row r="747" spans="1:28" ht="15.75" customHeight="1">
      <c r="A747" s="152"/>
      <c r="B747" s="234"/>
      <c r="C747" s="32"/>
      <c r="D747" s="32"/>
      <c r="E747" s="152"/>
      <c r="F747" s="152"/>
      <c r="G747" s="152"/>
      <c r="H747" s="32"/>
      <c r="I747" s="32"/>
      <c r="J747" s="3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</row>
    <row r="748" spans="1:28" ht="15.75" customHeight="1">
      <c r="A748" s="152"/>
      <c r="B748" s="234"/>
      <c r="C748" s="32"/>
      <c r="D748" s="32"/>
      <c r="E748" s="152"/>
      <c r="F748" s="152"/>
      <c r="G748" s="152"/>
      <c r="H748" s="32"/>
      <c r="I748" s="32"/>
      <c r="J748" s="3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</row>
    <row r="749" spans="1:28" ht="15.75" customHeight="1">
      <c r="A749" s="152"/>
      <c r="B749" s="234"/>
      <c r="C749" s="32"/>
      <c r="D749" s="32"/>
      <c r="E749" s="152"/>
      <c r="F749" s="152"/>
      <c r="G749" s="152"/>
      <c r="H749" s="32"/>
      <c r="I749" s="32"/>
      <c r="J749" s="3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</row>
    <row r="750" spans="1:28" ht="15.75" customHeight="1">
      <c r="A750" s="152"/>
      <c r="B750" s="234"/>
      <c r="C750" s="32"/>
      <c r="D750" s="32"/>
      <c r="E750" s="152"/>
      <c r="F750" s="152"/>
      <c r="G750" s="152"/>
      <c r="H750" s="32"/>
      <c r="I750" s="32"/>
      <c r="J750" s="3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</row>
    <row r="751" spans="1:28" ht="15.75" customHeight="1">
      <c r="A751" s="152"/>
      <c r="B751" s="234"/>
      <c r="C751" s="32"/>
      <c r="D751" s="32"/>
      <c r="E751" s="152"/>
      <c r="F751" s="152"/>
      <c r="G751" s="152"/>
      <c r="H751" s="32"/>
      <c r="I751" s="32"/>
      <c r="J751" s="3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</row>
    <row r="752" spans="1:28" ht="15.75" customHeight="1">
      <c r="A752" s="152"/>
      <c r="B752" s="234"/>
      <c r="C752" s="32"/>
      <c r="D752" s="32"/>
      <c r="E752" s="152"/>
      <c r="F752" s="152"/>
      <c r="G752" s="152"/>
      <c r="H752" s="32"/>
      <c r="I752" s="32"/>
      <c r="J752" s="3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</row>
    <row r="753" spans="1:28" ht="15.75" customHeight="1">
      <c r="A753" s="152"/>
      <c r="B753" s="234"/>
      <c r="C753" s="32"/>
      <c r="D753" s="32"/>
      <c r="E753" s="152"/>
      <c r="F753" s="152"/>
      <c r="G753" s="152"/>
      <c r="H753" s="32"/>
      <c r="I753" s="32"/>
      <c r="J753" s="3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</row>
    <row r="754" spans="1:28" ht="15.75" customHeight="1">
      <c r="A754" s="152"/>
      <c r="B754" s="234"/>
      <c r="C754" s="32"/>
      <c r="D754" s="32"/>
      <c r="E754" s="152"/>
      <c r="F754" s="152"/>
      <c r="G754" s="152"/>
      <c r="H754" s="32"/>
      <c r="I754" s="32"/>
      <c r="J754" s="3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</row>
    <row r="755" spans="1:28" ht="15.75" customHeight="1">
      <c r="A755" s="152"/>
      <c r="B755" s="234"/>
      <c r="C755" s="32"/>
      <c r="D755" s="32"/>
      <c r="E755" s="152"/>
      <c r="F755" s="152"/>
      <c r="G755" s="152"/>
      <c r="H755" s="32"/>
      <c r="I755" s="32"/>
      <c r="J755" s="3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</row>
    <row r="756" spans="1:28" ht="13.2">
      <c r="A756" s="21"/>
      <c r="B756" s="235"/>
      <c r="C756" s="21"/>
      <c r="D756" s="21"/>
      <c r="E756" s="21"/>
      <c r="F756" s="21"/>
      <c r="G756" s="21"/>
      <c r="H756" s="91"/>
      <c r="I756" s="91"/>
      <c r="J756" s="9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3.2">
      <c r="A757" s="21"/>
      <c r="B757" s="235"/>
      <c r="C757" s="21"/>
      <c r="D757" s="21"/>
      <c r="E757" s="21"/>
      <c r="F757" s="21"/>
      <c r="G757" s="21"/>
      <c r="H757" s="91"/>
      <c r="I757" s="91"/>
      <c r="J757" s="9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3.2">
      <c r="A758" s="21"/>
      <c r="B758" s="235"/>
      <c r="C758" s="21"/>
      <c r="D758" s="21"/>
      <c r="E758" s="21"/>
      <c r="F758" s="21"/>
      <c r="G758" s="21"/>
      <c r="H758" s="91"/>
      <c r="I758" s="91"/>
      <c r="J758" s="9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3.2">
      <c r="A759" s="21"/>
      <c r="B759" s="235"/>
      <c r="C759" s="21"/>
      <c r="D759" s="21"/>
      <c r="E759" s="21"/>
      <c r="F759" s="21"/>
      <c r="G759" s="21"/>
      <c r="H759" s="91"/>
      <c r="I759" s="91"/>
      <c r="J759" s="9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3.2">
      <c r="A760" s="21"/>
      <c r="B760" s="235"/>
      <c r="C760" s="21"/>
      <c r="D760" s="21"/>
      <c r="E760" s="21"/>
      <c r="F760" s="21"/>
      <c r="G760" s="21"/>
      <c r="H760" s="91"/>
      <c r="I760" s="91"/>
      <c r="J760" s="9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3.2">
      <c r="A761" s="21"/>
      <c r="B761" s="235"/>
      <c r="C761" s="21"/>
      <c r="D761" s="21"/>
      <c r="E761" s="21"/>
      <c r="F761" s="21"/>
      <c r="G761" s="21"/>
      <c r="H761" s="91"/>
      <c r="I761" s="91"/>
      <c r="J761" s="9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3.2">
      <c r="A762" s="21"/>
      <c r="B762" s="235"/>
      <c r="C762" s="21"/>
      <c r="D762" s="21"/>
      <c r="E762" s="21"/>
      <c r="F762" s="21"/>
      <c r="G762" s="21"/>
      <c r="H762" s="91"/>
      <c r="I762" s="91"/>
      <c r="J762" s="9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3.2">
      <c r="A763" s="21"/>
      <c r="B763" s="235"/>
      <c r="C763" s="21"/>
      <c r="D763" s="21"/>
      <c r="E763" s="21"/>
      <c r="F763" s="21"/>
      <c r="G763" s="21"/>
      <c r="H763" s="91"/>
      <c r="I763" s="91"/>
      <c r="J763" s="9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3.2">
      <c r="A764" s="21"/>
      <c r="B764" s="235"/>
      <c r="C764" s="21"/>
      <c r="D764" s="21"/>
      <c r="E764" s="21"/>
      <c r="F764" s="21"/>
      <c r="G764" s="21"/>
      <c r="H764" s="91"/>
      <c r="I764" s="91"/>
      <c r="J764" s="9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3.2">
      <c r="A765" s="21"/>
      <c r="B765" s="235"/>
      <c r="C765" s="21"/>
      <c r="D765" s="21"/>
      <c r="E765" s="21"/>
      <c r="F765" s="21"/>
      <c r="G765" s="21"/>
      <c r="H765" s="91"/>
      <c r="I765" s="91"/>
      <c r="J765" s="9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3.2">
      <c r="A766" s="21"/>
      <c r="B766" s="235"/>
      <c r="C766" s="21"/>
      <c r="D766" s="21"/>
      <c r="E766" s="21"/>
      <c r="F766" s="21"/>
      <c r="G766" s="21"/>
      <c r="H766" s="91"/>
      <c r="I766" s="91"/>
      <c r="J766" s="9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3.2">
      <c r="A767" s="21"/>
      <c r="B767" s="235"/>
      <c r="C767" s="21"/>
      <c r="D767" s="21"/>
      <c r="E767" s="21"/>
      <c r="F767" s="21"/>
      <c r="G767" s="21"/>
      <c r="H767" s="91"/>
      <c r="I767" s="91"/>
      <c r="J767" s="9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3.2">
      <c r="A768" s="21"/>
      <c r="B768" s="235"/>
      <c r="C768" s="21"/>
      <c r="D768" s="21"/>
      <c r="E768" s="21"/>
      <c r="F768" s="21"/>
      <c r="G768" s="21"/>
      <c r="H768" s="91"/>
      <c r="I768" s="91"/>
      <c r="J768" s="9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3.2">
      <c r="A769" s="21"/>
      <c r="B769" s="235"/>
      <c r="C769" s="21"/>
      <c r="D769" s="21"/>
      <c r="E769" s="21"/>
      <c r="F769" s="21"/>
      <c r="G769" s="21"/>
      <c r="H769" s="91"/>
      <c r="I769" s="91"/>
      <c r="J769" s="9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3.2">
      <c r="A770" s="21"/>
      <c r="B770" s="235"/>
      <c r="C770" s="21"/>
      <c r="D770" s="21"/>
      <c r="E770" s="21"/>
      <c r="F770" s="21"/>
      <c r="G770" s="21"/>
      <c r="H770" s="91"/>
      <c r="I770" s="91"/>
      <c r="J770" s="9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3.2">
      <c r="A771" s="21"/>
      <c r="B771" s="235"/>
      <c r="C771" s="21"/>
      <c r="D771" s="21"/>
      <c r="E771" s="21"/>
      <c r="F771" s="21"/>
      <c r="G771" s="21"/>
      <c r="H771" s="91"/>
      <c r="I771" s="91"/>
      <c r="J771" s="9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3.2">
      <c r="A772" s="21"/>
      <c r="B772" s="235"/>
      <c r="C772" s="21"/>
      <c r="D772" s="21"/>
      <c r="E772" s="21"/>
      <c r="F772" s="21"/>
      <c r="G772" s="21"/>
      <c r="H772" s="91"/>
      <c r="I772" s="91"/>
      <c r="J772" s="9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3.2">
      <c r="A773" s="21"/>
      <c r="B773" s="235"/>
      <c r="C773" s="21"/>
      <c r="D773" s="21"/>
      <c r="E773" s="21"/>
      <c r="F773" s="21"/>
      <c r="G773" s="21"/>
      <c r="H773" s="91"/>
      <c r="I773" s="91"/>
      <c r="J773" s="9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3.2">
      <c r="A774" s="21"/>
      <c r="B774" s="235"/>
      <c r="C774" s="21"/>
      <c r="D774" s="21"/>
      <c r="E774" s="21"/>
      <c r="F774" s="21"/>
      <c r="G774" s="21"/>
      <c r="H774" s="91"/>
      <c r="I774" s="91"/>
      <c r="J774" s="9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3.2">
      <c r="A775" s="21"/>
      <c r="B775" s="235"/>
      <c r="C775" s="21"/>
      <c r="D775" s="21"/>
      <c r="E775" s="21"/>
      <c r="F775" s="21"/>
      <c r="G775" s="21"/>
      <c r="H775" s="91"/>
      <c r="I775" s="91"/>
      <c r="J775" s="9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3.2">
      <c r="A776" s="21"/>
      <c r="B776" s="235"/>
      <c r="C776" s="21"/>
      <c r="D776" s="21"/>
      <c r="E776" s="21"/>
      <c r="F776" s="21"/>
      <c r="G776" s="21"/>
      <c r="H776" s="91"/>
      <c r="I776" s="91"/>
      <c r="J776" s="9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3.2">
      <c r="A777" s="21"/>
      <c r="B777" s="235"/>
      <c r="C777" s="21"/>
      <c r="D777" s="21"/>
      <c r="E777" s="21"/>
      <c r="F777" s="21"/>
      <c r="G777" s="21"/>
      <c r="H777" s="91"/>
      <c r="I777" s="91"/>
      <c r="J777" s="9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3.2">
      <c r="A778" s="21"/>
      <c r="B778" s="235"/>
      <c r="C778" s="21"/>
      <c r="D778" s="21"/>
      <c r="E778" s="21"/>
      <c r="F778" s="21"/>
      <c r="G778" s="21"/>
      <c r="H778" s="91"/>
      <c r="I778" s="91"/>
      <c r="J778" s="9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3.2">
      <c r="A779" s="21"/>
      <c r="B779" s="235"/>
      <c r="C779" s="21"/>
      <c r="D779" s="21"/>
      <c r="E779" s="21"/>
      <c r="F779" s="21"/>
      <c r="G779" s="21"/>
      <c r="H779" s="91"/>
      <c r="I779" s="91"/>
      <c r="J779" s="9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3.2">
      <c r="A780" s="21"/>
      <c r="B780" s="235"/>
      <c r="C780" s="21"/>
      <c r="D780" s="21"/>
      <c r="E780" s="21"/>
      <c r="F780" s="21"/>
      <c r="G780" s="21"/>
      <c r="H780" s="91"/>
      <c r="I780" s="91"/>
      <c r="J780" s="9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3.2">
      <c r="A781" s="21"/>
      <c r="B781" s="235"/>
      <c r="C781" s="21"/>
      <c r="D781" s="21"/>
      <c r="E781" s="21"/>
      <c r="F781" s="21"/>
      <c r="G781" s="21"/>
      <c r="H781" s="91"/>
      <c r="I781" s="91"/>
      <c r="J781" s="9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3.2">
      <c r="A782" s="21"/>
      <c r="B782" s="235"/>
      <c r="C782" s="21"/>
      <c r="D782" s="21"/>
      <c r="E782" s="21"/>
      <c r="F782" s="21"/>
      <c r="G782" s="21"/>
      <c r="H782" s="91"/>
      <c r="I782" s="91"/>
      <c r="J782" s="9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3.2">
      <c r="A783" s="21"/>
      <c r="B783" s="235"/>
      <c r="C783" s="21"/>
      <c r="D783" s="21"/>
      <c r="E783" s="21"/>
      <c r="F783" s="21"/>
      <c r="G783" s="21"/>
      <c r="H783" s="91"/>
      <c r="I783" s="91"/>
      <c r="J783" s="9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3.2">
      <c r="A784" s="21"/>
      <c r="B784" s="235"/>
      <c r="C784" s="21"/>
      <c r="D784" s="21"/>
      <c r="E784" s="21"/>
      <c r="F784" s="21"/>
      <c r="G784" s="21"/>
      <c r="H784" s="91"/>
      <c r="I784" s="91"/>
      <c r="J784" s="9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3.2">
      <c r="A785" s="21"/>
      <c r="B785" s="235"/>
      <c r="C785" s="21"/>
      <c r="D785" s="21"/>
      <c r="E785" s="21"/>
      <c r="F785" s="21"/>
      <c r="G785" s="21"/>
      <c r="H785" s="91"/>
      <c r="I785" s="91"/>
      <c r="J785" s="9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3.2">
      <c r="A786" s="21"/>
      <c r="B786" s="235"/>
      <c r="C786" s="21"/>
      <c r="D786" s="21"/>
      <c r="E786" s="21"/>
      <c r="F786" s="21"/>
      <c r="G786" s="21"/>
      <c r="H786" s="91"/>
      <c r="I786" s="91"/>
      <c r="J786" s="9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3.2">
      <c r="A787" s="21"/>
      <c r="B787" s="235"/>
      <c r="C787" s="21"/>
      <c r="D787" s="21"/>
      <c r="E787" s="21"/>
      <c r="F787" s="21"/>
      <c r="G787" s="21"/>
      <c r="H787" s="91"/>
      <c r="I787" s="91"/>
      <c r="J787" s="9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3.2">
      <c r="A788" s="21"/>
      <c r="B788" s="235"/>
      <c r="C788" s="21"/>
      <c r="D788" s="21"/>
      <c r="E788" s="21"/>
      <c r="F788" s="21"/>
      <c r="G788" s="21"/>
      <c r="H788" s="91"/>
      <c r="I788" s="91"/>
      <c r="J788" s="9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3.2">
      <c r="A789" s="21"/>
      <c r="B789" s="235"/>
      <c r="C789" s="21"/>
      <c r="D789" s="21"/>
      <c r="E789" s="21"/>
      <c r="F789" s="21"/>
      <c r="G789" s="21"/>
      <c r="H789" s="91"/>
      <c r="I789" s="91"/>
      <c r="J789" s="9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3.2">
      <c r="A790" s="21"/>
      <c r="B790" s="235"/>
      <c r="C790" s="21"/>
      <c r="D790" s="21"/>
      <c r="E790" s="21"/>
      <c r="F790" s="21"/>
      <c r="G790" s="21"/>
      <c r="H790" s="91"/>
      <c r="I790" s="91"/>
      <c r="J790" s="9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3.2">
      <c r="A791" s="21"/>
      <c r="B791" s="235"/>
      <c r="C791" s="21"/>
      <c r="D791" s="21"/>
      <c r="E791" s="21"/>
      <c r="F791" s="21"/>
      <c r="G791" s="21"/>
      <c r="H791" s="91"/>
      <c r="I791" s="91"/>
      <c r="J791" s="9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3.2">
      <c r="A792" s="21"/>
      <c r="B792" s="235"/>
      <c r="C792" s="21"/>
      <c r="D792" s="21"/>
      <c r="E792" s="21"/>
      <c r="F792" s="21"/>
      <c r="G792" s="21"/>
      <c r="H792" s="91"/>
      <c r="I792" s="91"/>
      <c r="J792" s="9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3.2">
      <c r="A793" s="21"/>
      <c r="B793" s="235"/>
      <c r="C793" s="21"/>
      <c r="D793" s="21"/>
      <c r="E793" s="21"/>
      <c r="F793" s="21"/>
      <c r="G793" s="21"/>
      <c r="H793" s="91"/>
      <c r="I793" s="91"/>
      <c r="J793" s="9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3.2">
      <c r="A794" s="21"/>
      <c r="B794" s="235"/>
      <c r="C794" s="21"/>
      <c r="D794" s="21"/>
      <c r="E794" s="21"/>
      <c r="F794" s="21"/>
      <c r="G794" s="21"/>
      <c r="H794" s="91"/>
      <c r="I794" s="91"/>
      <c r="J794" s="9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3.2">
      <c r="A795" s="21"/>
      <c r="B795" s="235"/>
      <c r="C795" s="21"/>
      <c r="D795" s="21"/>
      <c r="E795" s="21"/>
      <c r="F795" s="21"/>
      <c r="G795" s="21"/>
      <c r="H795" s="91"/>
      <c r="I795" s="91"/>
      <c r="J795" s="9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3.2">
      <c r="A796" s="21"/>
      <c r="B796" s="235"/>
      <c r="C796" s="21"/>
      <c r="D796" s="21"/>
      <c r="E796" s="21"/>
      <c r="F796" s="21"/>
      <c r="G796" s="21"/>
      <c r="H796" s="91"/>
      <c r="I796" s="91"/>
      <c r="J796" s="9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3.2">
      <c r="A797" s="21"/>
      <c r="B797" s="235"/>
      <c r="C797" s="21"/>
      <c r="D797" s="21"/>
      <c r="E797" s="21"/>
      <c r="F797" s="21"/>
      <c r="G797" s="21"/>
      <c r="H797" s="91"/>
      <c r="I797" s="91"/>
      <c r="J797" s="9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3.2">
      <c r="A798" s="21"/>
      <c r="B798" s="235"/>
      <c r="C798" s="21"/>
      <c r="D798" s="21"/>
      <c r="E798" s="21"/>
      <c r="F798" s="21"/>
      <c r="G798" s="21"/>
      <c r="H798" s="91"/>
      <c r="I798" s="91"/>
      <c r="J798" s="9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3.2">
      <c r="A799" s="21"/>
      <c r="B799" s="235"/>
      <c r="C799" s="21"/>
      <c r="D799" s="21"/>
      <c r="E799" s="21"/>
      <c r="F799" s="21"/>
      <c r="G799" s="21"/>
      <c r="H799" s="91"/>
      <c r="I799" s="91"/>
      <c r="J799" s="9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3.2">
      <c r="A800" s="21"/>
      <c r="B800" s="235"/>
      <c r="C800" s="21"/>
      <c r="D800" s="21"/>
      <c r="E800" s="21"/>
      <c r="F800" s="21"/>
      <c r="G800" s="21"/>
      <c r="H800" s="91"/>
      <c r="I800" s="91"/>
      <c r="J800" s="9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3.2">
      <c r="A801" s="21"/>
      <c r="B801" s="235"/>
      <c r="C801" s="21"/>
      <c r="D801" s="21"/>
      <c r="E801" s="21"/>
      <c r="F801" s="21"/>
      <c r="G801" s="21"/>
      <c r="H801" s="91"/>
      <c r="I801" s="91"/>
      <c r="J801" s="9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3.2">
      <c r="A802" s="21"/>
      <c r="B802" s="235"/>
      <c r="C802" s="21"/>
      <c r="D802" s="21"/>
      <c r="E802" s="21"/>
      <c r="F802" s="21"/>
      <c r="G802" s="21"/>
      <c r="H802" s="91"/>
      <c r="I802" s="91"/>
      <c r="J802" s="9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3.2">
      <c r="A803" s="21"/>
      <c r="B803" s="235"/>
      <c r="C803" s="21"/>
      <c r="D803" s="21"/>
      <c r="E803" s="21"/>
      <c r="F803" s="21"/>
      <c r="G803" s="21"/>
      <c r="H803" s="91"/>
      <c r="I803" s="91"/>
      <c r="J803" s="9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3.2">
      <c r="A804" s="21"/>
      <c r="B804" s="235"/>
      <c r="C804" s="21"/>
      <c r="D804" s="21"/>
      <c r="E804" s="21"/>
      <c r="F804" s="21"/>
      <c r="G804" s="21"/>
      <c r="H804" s="91"/>
      <c r="I804" s="91"/>
      <c r="J804" s="9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3.2">
      <c r="A805" s="21"/>
      <c r="B805" s="235"/>
      <c r="C805" s="21"/>
      <c r="D805" s="21"/>
      <c r="E805" s="21"/>
      <c r="F805" s="21"/>
      <c r="G805" s="21"/>
      <c r="H805" s="91"/>
      <c r="I805" s="91"/>
      <c r="J805" s="9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3.2">
      <c r="A806" s="21"/>
      <c r="B806" s="235"/>
      <c r="C806" s="21"/>
      <c r="D806" s="21"/>
      <c r="E806" s="21"/>
      <c r="F806" s="21"/>
      <c r="G806" s="21"/>
      <c r="H806" s="91"/>
      <c r="I806" s="91"/>
      <c r="J806" s="9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3.2">
      <c r="A807" s="21"/>
      <c r="B807" s="235"/>
      <c r="C807" s="21"/>
      <c r="D807" s="21"/>
      <c r="E807" s="21"/>
      <c r="F807" s="21"/>
      <c r="G807" s="21"/>
      <c r="H807" s="91"/>
      <c r="I807" s="91"/>
      <c r="J807" s="9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3.2">
      <c r="A808" s="21"/>
      <c r="B808" s="235"/>
      <c r="C808" s="21"/>
      <c r="D808" s="21"/>
      <c r="E808" s="21"/>
      <c r="F808" s="21"/>
      <c r="G808" s="21"/>
      <c r="H808" s="91"/>
      <c r="I808" s="91"/>
      <c r="J808" s="9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3.2">
      <c r="A809" s="21"/>
      <c r="B809" s="235"/>
      <c r="C809" s="21"/>
      <c r="D809" s="21"/>
      <c r="E809" s="21"/>
      <c r="F809" s="21"/>
      <c r="G809" s="21"/>
      <c r="H809" s="91"/>
      <c r="I809" s="91"/>
      <c r="J809" s="9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3.2">
      <c r="A810" s="21"/>
      <c r="B810" s="235"/>
      <c r="C810" s="21"/>
      <c r="D810" s="21"/>
      <c r="E810" s="21"/>
      <c r="F810" s="21"/>
      <c r="G810" s="21"/>
      <c r="H810" s="91"/>
      <c r="I810" s="91"/>
      <c r="J810" s="9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3.2">
      <c r="A811" s="21"/>
      <c r="B811" s="235"/>
      <c r="C811" s="21"/>
      <c r="D811" s="21"/>
      <c r="E811" s="21"/>
      <c r="F811" s="21"/>
      <c r="G811" s="21"/>
      <c r="H811" s="91"/>
      <c r="I811" s="91"/>
      <c r="J811" s="9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3.2">
      <c r="A812" s="21"/>
      <c r="B812" s="235"/>
      <c r="C812" s="21"/>
      <c r="D812" s="21"/>
      <c r="E812" s="21"/>
      <c r="F812" s="21"/>
      <c r="G812" s="21"/>
      <c r="H812" s="91"/>
      <c r="I812" s="91"/>
      <c r="J812" s="9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3.2">
      <c r="A813" s="21"/>
      <c r="B813" s="235"/>
      <c r="C813" s="21"/>
      <c r="D813" s="21"/>
      <c r="E813" s="21"/>
      <c r="F813" s="21"/>
      <c r="G813" s="21"/>
      <c r="H813" s="91"/>
      <c r="I813" s="91"/>
      <c r="J813" s="9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3.2">
      <c r="A814" s="21"/>
      <c r="B814" s="235"/>
      <c r="C814" s="21"/>
      <c r="D814" s="21"/>
      <c r="E814" s="21"/>
      <c r="F814" s="21"/>
      <c r="G814" s="21"/>
      <c r="H814" s="91"/>
      <c r="I814" s="91"/>
      <c r="J814" s="9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3.2">
      <c r="A815" s="21"/>
      <c r="B815" s="235"/>
      <c r="C815" s="21"/>
      <c r="D815" s="21"/>
      <c r="E815" s="21"/>
      <c r="F815" s="21"/>
      <c r="G815" s="21"/>
      <c r="H815" s="91"/>
      <c r="I815" s="91"/>
      <c r="J815" s="9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3.2">
      <c r="A816" s="21"/>
      <c r="B816" s="235"/>
      <c r="C816" s="21"/>
      <c r="D816" s="21"/>
      <c r="E816" s="21"/>
      <c r="F816" s="21"/>
      <c r="G816" s="21"/>
      <c r="H816" s="91"/>
      <c r="I816" s="91"/>
      <c r="J816" s="9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3.2">
      <c r="A817" s="21"/>
      <c r="B817" s="235"/>
      <c r="C817" s="21"/>
      <c r="D817" s="21"/>
      <c r="E817" s="21"/>
      <c r="F817" s="21"/>
      <c r="G817" s="21"/>
      <c r="H817" s="91"/>
      <c r="I817" s="91"/>
      <c r="J817" s="9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3.2">
      <c r="A818" s="21"/>
      <c r="B818" s="235"/>
      <c r="C818" s="21"/>
      <c r="D818" s="21"/>
      <c r="E818" s="21"/>
      <c r="F818" s="21"/>
      <c r="G818" s="21"/>
      <c r="H818" s="91"/>
      <c r="I818" s="91"/>
      <c r="J818" s="9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3.2">
      <c r="A819" s="21"/>
      <c r="B819" s="235"/>
      <c r="C819" s="21"/>
      <c r="D819" s="21"/>
      <c r="E819" s="21"/>
      <c r="F819" s="21"/>
      <c r="G819" s="21"/>
      <c r="H819" s="91"/>
      <c r="I819" s="91"/>
      <c r="J819" s="9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3.2">
      <c r="A820" s="21"/>
      <c r="B820" s="235"/>
      <c r="C820" s="21"/>
      <c r="D820" s="21"/>
      <c r="E820" s="21"/>
      <c r="F820" s="21"/>
      <c r="G820" s="21"/>
      <c r="H820" s="91"/>
      <c r="I820" s="91"/>
      <c r="J820" s="9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3.2">
      <c r="A821" s="21"/>
      <c r="B821" s="235"/>
      <c r="C821" s="21"/>
      <c r="D821" s="21"/>
      <c r="E821" s="21"/>
      <c r="F821" s="21"/>
      <c r="G821" s="21"/>
      <c r="H821" s="91"/>
      <c r="I821" s="91"/>
      <c r="J821" s="9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3.2">
      <c r="A822" s="21"/>
      <c r="B822" s="235"/>
      <c r="C822" s="21"/>
      <c r="D822" s="21"/>
      <c r="E822" s="21"/>
      <c r="F822" s="21"/>
      <c r="G822" s="21"/>
      <c r="H822" s="91"/>
      <c r="I822" s="91"/>
      <c r="J822" s="9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3.2">
      <c r="A823" s="21"/>
      <c r="B823" s="235"/>
      <c r="C823" s="21"/>
      <c r="D823" s="21"/>
      <c r="E823" s="21"/>
      <c r="F823" s="21"/>
      <c r="G823" s="21"/>
      <c r="H823" s="91"/>
      <c r="I823" s="91"/>
      <c r="J823" s="9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3.2">
      <c r="A824" s="21"/>
      <c r="B824" s="235"/>
      <c r="C824" s="21"/>
      <c r="D824" s="21"/>
      <c r="E824" s="21"/>
      <c r="F824" s="21"/>
      <c r="G824" s="21"/>
      <c r="H824" s="91"/>
      <c r="I824" s="91"/>
      <c r="J824" s="9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3.2">
      <c r="A825" s="21"/>
      <c r="B825" s="235"/>
      <c r="C825" s="21"/>
      <c r="D825" s="21"/>
      <c r="E825" s="21"/>
      <c r="F825" s="21"/>
      <c r="G825" s="21"/>
      <c r="H825" s="91"/>
      <c r="I825" s="91"/>
      <c r="J825" s="9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3.2">
      <c r="A826" s="21"/>
      <c r="B826" s="235"/>
      <c r="C826" s="21"/>
      <c r="D826" s="21"/>
      <c r="E826" s="21"/>
      <c r="F826" s="21"/>
      <c r="G826" s="21"/>
      <c r="H826" s="91"/>
      <c r="I826" s="91"/>
      <c r="J826" s="9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3.2">
      <c r="A827" s="21"/>
      <c r="B827" s="235"/>
      <c r="C827" s="21"/>
      <c r="D827" s="21"/>
      <c r="E827" s="21"/>
      <c r="F827" s="21"/>
      <c r="G827" s="21"/>
      <c r="H827" s="91"/>
      <c r="I827" s="91"/>
      <c r="J827" s="9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3.2">
      <c r="A828" s="21"/>
      <c r="B828" s="235"/>
      <c r="C828" s="21"/>
      <c r="D828" s="21"/>
      <c r="E828" s="21"/>
      <c r="F828" s="21"/>
      <c r="G828" s="21"/>
      <c r="H828" s="91"/>
      <c r="I828" s="91"/>
      <c r="J828" s="9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3.2">
      <c r="A829" s="21"/>
      <c r="B829" s="235"/>
      <c r="C829" s="21"/>
      <c r="D829" s="21"/>
      <c r="E829" s="21"/>
      <c r="F829" s="21"/>
      <c r="G829" s="21"/>
      <c r="H829" s="91"/>
      <c r="I829" s="91"/>
      <c r="J829" s="9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3.2">
      <c r="A830" s="21"/>
      <c r="B830" s="235"/>
      <c r="C830" s="21"/>
      <c r="D830" s="21"/>
      <c r="E830" s="21"/>
      <c r="F830" s="21"/>
      <c r="G830" s="21"/>
      <c r="H830" s="91"/>
      <c r="I830" s="91"/>
      <c r="J830" s="9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3.2">
      <c r="A831" s="21"/>
      <c r="B831" s="235"/>
      <c r="C831" s="21"/>
      <c r="D831" s="21"/>
      <c r="E831" s="21"/>
      <c r="F831" s="21"/>
      <c r="G831" s="21"/>
      <c r="H831" s="91"/>
      <c r="I831" s="91"/>
      <c r="J831" s="9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3.2">
      <c r="A832" s="21"/>
      <c r="B832" s="235"/>
      <c r="C832" s="21"/>
      <c r="D832" s="21"/>
      <c r="E832" s="21"/>
      <c r="F832" s="21"/>
      <c r="G832" s="21"/>
      <c r="H832" s="91"/>
      <c r="I832" s="91"/>
      <c r="J832" s="9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3.2">
      <c r="A833" s="21"/>
      <c r="B833" s="235"/>
      <c r="C833" s="21"/>
      <c r="D833" s="21"/>
      <c r="E833" s="21"/>
      <c r="F833" s="21"/>
      <c r="G833" s="21"/>
      <c r="H833" s="91"/>
      <c r="I833" s="91"/>
      <c r="J833" s="9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3.2">
      <c r="A834" s="21"/>
      <c r="B834" s="235"/>
      <c r="C834" s="21"/>
      <c r="D834" s="21"/>
      <c r="E834" s="21"/>
      <c r="F834" s="21"/>
      <c r="G834" s="21"/>
      <c r="H834" s="91"/>
      <c r="I834" s="91"/>
      <c r="J834" s="9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3.2">
      <c r="A835" s="21"/>
      <c r="B835" s="235"/>
      <c r="C835" s="21"/>
      <c r="D835" s="21"/>
      <c r="E835" s="21"/>
      <c r="F835" s="21"/>
      <c r="G835" s="21"/>
      <c r="H835" s="91"/>
      <c r="I835" s="91"/>
      <c r="J835" s="9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3.2">
      <c r="A836" s="21"/>
      <c r="B836" s="235"/>
      <c r="C836" s="21"/>
      <c r="D836" s="21"/>
      <c r="E836" s="21"/>
      <c r="F836" s="21"/>
      <c r="G836" s="21"/>
      <c r="H836" s="91"/>
      <c r="I836" s="91"/>
      <c r="J836" s="9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3.2">
      <c r="A837" s="21"/>
      <c r="B837" s="235"/>
      <c r="C837" s="21"/>
      <c r="D837" s="21"/>
      <c r="E837" s="21"/>
      <c r="F837" s="21"/>
      <c r="G837" s="21"/>
      <c r="H837" s="91"/>
      <c r="I837" s="91"/>
      <c r="J837" s="9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3.2">
      <c r="A838" s="21"/>
      <c r="B838" s="235"/>
      <c r="C838" s="21"/>
      <c r="D838" s="21"/>
      <c r="E838" s="21"/>
      <c r="F838" s="21"/>
      <c r="G838" s="21"/>
      <c r="H838" s="91"/>
      <c r="I838" s="91"/>
      <c r="J838" s="9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3.2">
      <c r="A839" s="21"/>
      <c r="B839" s="235"/>
      <c r="C839" s="21"/>
      <c r="D839" s="21"/>
      <c r="E839" s="21"/>
      <c r="F839" s="21"/>
      <c r="G839" s="21"/>
      <c r="H839" s="91"/>
      <c r="I839" s="91"/>
      <c r="J839" s="9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3.2">
      <c r="A840" s="21"/>
      <c r="B840" s="235"/>
      <c r="C840" s="21"/>
      <c r="D840" s="21"/>
      <c r="E840" s="21"/>
      <c r="F840" s="21"/>
      <c r="G840" s="21"/>
      <c r="H840" s="91"/>
      <c r="I840" s="91"/>
      <c r="J840" s="9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3.2">
      <c r="A841" s="21"/>
      <c r="B841" s="235"/>
      <c r="C841" s="21"/>
      <c r="D841" s="21"/>
      <c r="E841" s="21"/>
      <c r="F841" s="21"/>
      <c r="G841" s="21"/>
      <c r="H841" s="91"/>
      <c r="I841" s="91"/>
      <c r="J841" s="9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3.2">
      <c r="A842" s="21"/>
      <c r="B842" s="235"/>
      <c r="C842" s="21"/>
      <c r="D842" s="21"/>
      <c r="E842" s="21"/>
      <c r="F842" s="21"/>
      <c r="G842" s="21"/>
      <c r="H842" s="91"/>
      <c r="I842" s="91"/>
      <c r="J842" s="9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3.2">
      <c r="A843" s="21"/>
      <c r="B843" s="235"/>
      <c r="C843" s="21"/>
      <c r="D843" s="21"/>
      <c r="E843" s="21"/>
      <c r="F843" s="21"/>
      <c r="G843" s="21"/>
      <c r="H843" s="91"/>
      <c r="I843" s="91"/>
      <c r="J843" s="9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3.2">
      <c r="A844" s="21"/>
      <c r="B844" s="235"/>
      <c r="C844" s="21"/>
      <c r="D844" s="21"/>
      <c r="E844" s="21"/>
      <c r="F844" s="21"/>
      <c r="G844" s="21"/>
      <c r="H844" s="91"/>
      <c r="I844" s="91"/>
      <c r="J844" s="9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3.2">
      <c r="A845" s="21"/>
      <c r="B845" s="235"/>
      <c r="C845" s="21"/>
      <c r="D845" s="21"/>
      <c r="E845" s="21"/>
      <c r="F845" s="21"/>
      <c r="G845" s="21"/>
      <c r="H845" s="91"/>
      <c r="I845" s="91"/>
      <c r="J845" s="9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3.2">
      <c r="A846" s="21"/>
      <c r="B846" s="235"/>
      <c r="C846" s="21"/>
      <c r="D846" s="21"/>
      <c r="E846" s="21"/>
      <c r="F846" s="21"/>
      <c r="G846" s="21"/>
      <c r="H846" s="91"/>
      <c r="I846" s="91"/>
      <c r="J846" s="9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3.2">
      <c r="A847" s="21"/>
      <c r="B847" s="235"/>
      <c r="C847" s="21"/>
      <c r="D847" s="21"/>
      <c r="E847" s="21"/>
      <c r="F847" s="21"/>
      <c r="G847" s="21"/>
      <c r="H847" s="91"/>
      <c r="I847" s="91"/>
      <c r="J847" s="9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3.2">
      <c r="A848" s="21"/>
      <c r="B848" s="235"/>
      <c r="C848" s="21"/>
      <c r="D848" s="21"/>
      <c r="E848" s="21"/>
      <c r="F848" s="21"/>
      <c r="G848" s="21"/>
      <c r="H848" s="91"/>
      <c r="I848" s="91"/>
      <c r="J848" s="9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3.2">
      <c r="A849" s="21"/>
      <c r="B849" s="235"/>
      <c r="C849" s="21"/>
      <c r="D849" s="21"/>
      <c r="E849" s="21"/>
      <c r="F849" s="21"/>
      <c r="G849" s="21"/>
      <c r="H849" s="91"/>
      <c r="I849" s="91"/>
      <c r="J849" s="9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3.2">
      <c r="A850" s="21"/>
      <c r="B850" s="235"/>
      <c r="C850" s="21"/>
      <c r="D850" s="21"/>
      <c r="E850" s="21"/>
      <c r="F850" s="21"/>
      <c r="G850" s="21"/>
      <c r="H850" s="91"/>
      <c r="I850" s="91"/>
      <c r="J850" s="9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3.2">
      <c r="A851" s="21"/>
      <c r="B851" s="235"/>
      <c r="C851" s="21"/>
      <c r="D851" s="21"/>
      <c r="E851" s="21"/>
      <c r="F851" s="21"/>
      <c r="G851" s="21"/>
      <c r="H851" s="91"/>
      <c r="I851" s="91"/>
      <c r="J851" s="9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3.2">
      <c r="A852" s="21"/>
      <c r="B852" s="235"/>
      <c r="C852" s="21"/>
      <c r="D852" s="21"/>
      <c r="E852" s="21"/>
      <c r="F852" s="21"/>
      <c r="G852" s="21"/>
      <c r="H852" s="91"/>
      <c r="I852" s="91"/>
      <c r="J852" s="9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3.2">
      <c r="A853" s="21"/>
      <c r="B853" s="235"/>
      <c r="C853" s="21"/>
      <c r="D853" s="21"/>
      <c r="E853" s="21"/>
      <c r="F853" s="21"/>
      <c r="G853" s="21"/>
      <c r="H853" s="91"/>
      <c r="I853" s="91"/>
      <c r="J853" s="9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3.2">
      <c r="A854" s="21"/>
      <c r="B854" s="235"/>
      <c r="C854" s="21"/>
      <c r="D854" s="21"/>
      <c r="E854" s="21"/>
      <c r="F854" s="21"/>
      <c r="G854" s="21"/>
      <c r="H854" s="91"/>
      <c r="I854" s="91"/>
      <c r="J854" s="9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3.2">
      <c r="A855" s="21"/>
      <c r="B855" s="235"/>
      <c r="C855" s="21"/>
      <c r="D855" s="21"/>
      <c r="E855" s="21"/>
      <c r="F855" s="21"/>
      <c r="G855" s="21"/>
      <c r="H855" s="91"/>
      <c r="I855" s="91"/>
      <c r="J855" s="9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3.2">
      <c r="A856" s="21"/>
      <c r="B856" s="235"/>
      <c r="C856" s="21"/>
      <c r="D856" s="21"/>
      <c r="E856" s="21"/>
      <c r="F856" s="21"/>
      <c r="G856" s="21"/>
      <c r="H856" s="91"/>
      <c r="I856" s="91"/>
      <c r="J856" s="9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3.2">
      <c r="A857" s="21"/>
      <c r="B857" s="235"/>
      <c r="C857" s="21"/>
      <c r="D857" s="21"/>
      <c r="E857" s="21"/>
      <c r="F857" s="21"/>
      <c r="G857" s="21"/>
      <c r="H857" s="91"/>
      <c r="I857" s="91"/>
      <c r="J857" s="9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3.2">
      <c r="A858" s="21"/>
      <c r="B858" s="235"/>
      <c r="C858" s="21"/>
      <c r="D858" s="21"/>
      <c r="E858" s="21"/>
      <c r="F858" s="21"/>
      <c r="G858" s="21"/>
      <c r="H858" s="91"/>
      <c r="I858" s="91"/>
      <c r="J858" s="9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3.2">
      <c r="A859" s="21"/>
      <c r="B859" s="235"/>
      <c r="C859" s="21"/>
      <c r="D859" s="21"/>
      <c r="E859" s="21"/>
      <c r="F859" s="21"/>
      <c r="G859" s="21"/>
      <c r="H859" s="91"/>
      <c r="I859" s="91"/>
      <c r="J859" s="9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3.2">
      <c r="A860" s="21"/>
      <c r="B860" s="235"/>
      <c r="C860" s="21"/>
      <c r="D860" s="21"/>
      <c r="E860" s="21"/>
      <c r="F860" s="21"/>
      <c r="G860" s="21"/>
      <c r="H860" s="91"/>
      <c r="I860" s="91"/>
      <c r="J860" s="9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3.2">
      <c r="A861" s="21"/>
      <c r="B861" s="235"/>
      <c r="C861" s="21"/>
      <c r="D861" s="21"/>
      <c r="E861" s="21"/>
      <c r="F861" s="21"/>
      <c r="G861" s="21"/>
      <c r="H861" s="91"/>
      <c r="I861" s="91"/>
      <c r="J861" s="9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3.2">
      <c r="A862" s="21"/>
      <c r="B862" s="235"/>
      <c r="C862" s="21"/>
      <c r="D862" s="21"/>
      <c r="E862" s="21"/>
      <c r="F862" s="21"/>
      <c r="G862" s="21"/>
      <c r="H862" s="91"/>
      <c r="I862" s="91"/>
      <c r="J862" s="9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3.2">
      <c r="A863" s="21"/>
      <c r="B863" s="235"/>
      <c r="C863" s="21"/>
      <c r="D863" s="21"/>
      <c r="E863" s="21"/>
      <c r="F863" s="21"/>
      <c r="G863" s="21"/>
      <c r="H863" s="91"/>
      <c r="I863" s="91"/>
      <c r="J863" s="9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3.2">
      <c r="A864" s="21"/>
      <c r="B864" s="235"/>
      <c r="C864" s="21"/>
      <c r="D864" s="21"/>
      <c r="E864" s="21"/>
      <c r="F864" s="21"/>
      <c r="G864" s="21"/>
      <c r="H864" s="91"/>
      <c r="I864" s="91"/>
      <c r="J864" s="9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3.2">
      <c r="A865" s="21"/>
      <c r="B865" s="235"/>
      <c r="C865" s="21"/>
      <c r="D865" s="21"/>
      <c r="E865" s="21"/>
      <c r="F865" s="21"/>
      <c r="G865" s="21"/>
      <c r="H865" s="91"/>
      <c r="I865" s="91"/>
      <c r="J865" s="9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3.2">
      <c r="A866" s="21"/>
      <c r="B866" s="235"/>
      <c r="C866" s="21"/>
      <c r="D866" s="21"/>
      <c r="E866" s="21"/>
      <c r="F866" s="21"/>
      <c r="G866" s="21"/>
      <c r="H866" s="91"/>
      <c r="I866" s="91"/>
      <c r="J866" s="9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3.2">
      <c r="A867" s="21"/>
      <c r="B867" s="235"/>
      <c r="C867" s="21"/>
      <c r="D867" s="21"/>
      <c r="E867" s="21"/>
      <c r="F867" s="21"/>
      <c r="G867" s="21"/>
      <c r="H867" s="91"/>
      <c r="I867" s="91"/>
      <c r="J867" s="9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3.2">
      <c r="A868" s="21"/>
      <c r="B868" s="235"/>
      <c r="C868" s="21"/>
      <c r="D868" s="21"/>
      <c r="E868" s="21"/>
      <c r="F868" s="21"/>
      <c r="G868" s="21"/>
      <c r="H868" s="91"/>
      <c r="I868" s="91"/>
      <c r="J868" s="9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3.2">
      <c r="A869" s="21"/>
      <c r="B869" s="235"/>
      <c r="C869" s="21"/>
      <c r="D869" s="21"/>
      <c r="E869" s="21"/>
      <c r="F869" s="21"/>
      <c r="G869" s="21"/>
      <c r="H869" s="91"/>
      <c r="I869" s="91"/>
      <c r="J869" s="9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3.2">
      <c r="A870" s="21"/>
      <c r="B870" s="235"/>
      <c r="C870" s="21"/>
      <c r="D870" s="21"/>
      <c r="E870" s="21"/>
      <c r="F870" s="21"/>
      <c r="G870" s="21"/>
      <c r="H870" s="91"/>
      <c r="I870" s="91"/>
      <c r="J870" s="9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3.2">
      <c r="A871" s="21"/>
      <c r="B871" s="235"/>
      <c r="C871" s="21"/>
      <c r="D871" s="21"/>
      <c r="E871" s="21"/>
      <c r="F871" s="21"/>
      <c r="G871" s="21"/>
      <c r="H871" s="91"/>
      <c r="I871" s="91"/>
      <c r="J871" s="9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3.2">
      <c r="A872" s="21"/>
      <c r="B872" s="235"/>
      <c r="C872" s="21"/>
      <c r="D872" s="21"/>
      <c r="E872" s="21"/>
      <c r="F872" s="21"/>
      <c r="G872" s="21"/>
      <c r="H872" s="91"/>
      <c r="I872" s="91"/>
      <c r="J872" s="9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3.2">
      <c r="A873" s="21"/>
      <c r="B873" s="235"/>
      <c r="C873" s="21"/>
      <c r="D873" s="21"/>
      <c r="E873" s="21"/>
      <c r="F873" s="21"/>
      <c r="G873" s="21"/>
      <c r="H873" s="91"/>
      <c r="I873" s="91"/>
      <c r="J873" s="9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3.2">
      <c r="A874" s="21"/>
      <c r="B874" s="235"/>
      <c r="C874" s="21"/>
      <c r="D874" s="21"/>
      <c r="E874" s="21"/>
      <c r="F874" s="21"/>
      <c r="G874" s="21"/>
      <c r="H874" s="91"/>
      <c r="I874" s="91"/>
      <c r="J874" s="9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3.2">
      <c r="A875" s="21"/>
      <c r="B875" s="235"/>
      <c r="C875" s="21"/>
      <c r="D875" s="21"/>
      <c r="E875" s="21"/>
      <c r="F875" s="21"/>
      <c r="G875" s="21"/>
      <c r="H875" s="91"/>
      <c r="I875" s="91"/>
      <c r="J875" s="9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3.2">
      <c r="A876" s="21"/>
      <c r="B876" s="235"/>
      <c r="C876" s="21"/>
      <c r="D876" s="21"/>
      <c r="E876" s="21"/>
      <c r="F876" s="21"/>
      <c r="G876" s="21"/>
      <c r="H876" s="91"/>
      <c r="I876" s="91"/>
      <c r="J876" s="9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3.2">
      <c r="A877" s="21"/>
      <c r="B877" s="235"/>
      <c r="C877" s="21"/>
      <c r="D877" s="21"/>
      <c r="E877" s="21"/>
      <c r="F877" s="21"/>
      <c r="G877" s="21"/>
      <c r="H877" s="91"/>
      <c r="I877" s="91"/>
      <c r="J877" s="9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3.2">
      <c r="A878" s="21"/>
      <c r="B878" s="235"/>
      <c r="C878" s="21"/>
      <c r="D878" s="21"/>
      <c r="E878" s="21"/>
      <c r="F878" s="21"/>
      <c r="G878" s="21"/>
      <c r="H878" s="91"/>
      <c r="I878" s="91"/>
      <c r="J878" s="9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3.2">
      <c r="A879" s="21"/>
      <c r="B879" s="235"/>
      <c r="C879" s="21"/>
      <c r="D879" s="21"/>
      <c r="E879" s="21"/>
      <c r="F879" s="21"/>
      <c r="G879" s="21"/>
      <c r="H879" s="91"/>
      <c r="I879" s="91"/>
      <c r="J879" s="9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3.2">
      <c r="A880" s="21"/>
      <c r="B880" s="235"/>
      <c r="C880" s="21"/>
      <c r="D880" s="21"/>
      <c r="E880" s="21"/>
      <c r="F880" s="21"/>
      <c r="G880" s="21"/>
      <c r="H880" s="91"/>
      <c r="I880" s="91"/>
      <c r="J880" s="9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3.2">
      <c r="A881" s="21"/>
      <c r="B881" s="235"/>
      <c r="C881" s="21"/>
      <c r="D881" s="21"/>
      <c r="E881" s="21"/>
      <c r="F881" s="21"/>
      <c r="G881" s="21"/>
      <c r="H881" s="91"/>
      <c r="I881" s="91"/>
      <c r="J881" s="9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3.2">
      <c r="A882" s="21"/>
      <c r="B882" s="235"/>
      <c r="C882" s="21"/>
      <c r="D882" s="21"/>
      <c r="E882" s="21"/>
      <c r="F882" s="21"/>
      <c r="G882" s="21"/>
      <c r="H882" s="91"/>
      <c r="I882" s="91"/>
      <c r="J882" s="9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3.2">
      <c r="A883" s="21"/>
      <c r="B883" s="235"/>
      <c r="C883" s="21"/>
      <c r="D883" s="21"/>
      <c r="E883" s="21"/>
      <c r="F883" s="21"/>
      <c r="G883" s="21"/>
      <c r="H883" s="91"/>
      <c r="I883" s="91"/>
      <c r="J883" s="9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3.2">
      <c r="A884" s="21"/>
      <c r="B884" s="235"/>
      <c r="C884" s="21"/>
      <c r="D884" s="21"/>
      <c r="E884" s="21"/>
      <c r="F884" s="21"/>
      <c r="G884" s="21"/>
      <c r="H884" s="91"/>
      <c r="I884" s="91"/>
      <c r="J884" s="9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3.2">
      <c r="A885" s="21"/>
      <c r="B885" s="235"/>
      <c r="C885" s="21"/>
      <c r="D885" s="21"/>
      <c r="E885" s="21"/>
      <c r="F885" s="21"/>
      <c r="G885" s="21"/>
      <c r="H885" s="91"/>
      <c r="I885" s="91"/>
      <c r="J885" s="9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3.2">
      <c r="A886" s="21"/>
      <c r="B886" s="235"/>
      <c r="C886" s="21"/>
      <c r="D886" s="21"/>
      <c r="E886" s="21"/>
      <c r="F886" s="21"/>
      <c r="G886" s="21"/>
      <c r="H886" s="91"/>
      <c r="I886" s="91"/>
      <c r="J886" s="9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3.2">
      <c r="A887" s="21"/>
      <c r="B887" s="235"/>
      <c r="C887" s="21"/>
      <c r="D887" s="21"/>
      <c r="E887" s="21"/>
      <c r="F887" s="21"/>
      <c r="G887" s="21"/>
      <c r="H887" s="91"/>
      <c r="I887" s="91"/>
      <c r="J887" s="9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3.2">
      <c r="A888" s="21"/>
      <c r="B888" s="235"/>
      <c r="C888" s="21"/>
      <c r="D888" s="21"/>
      <c r="E888" s="21"/>
      <c r="F888" s="21"/>
      <c r="G888" s="21"/>
      <c r="H888" s="91"/>
      <c r="I888" s="91"/>
      <c r="J888" s="9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3.2">
      <c r="A889" s="21"/>
      <c r="B889" s="235"/>
      <c r="C889" s="21"/>
      <c r="D889" s="21"/>
      <c r="E889" s="21"/>
      <c r="F889" s="21"/>
      <c r="G889" s="21"/>
      <c r="H889" s="91"/>
      <c r="I889" s="91"/>
      <c r="J889" s="9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3.2">
      <c r="A890" s="21"/>
      <c r="B890" s="235"/>
      <c r="C890" s="21"/>
      <c r="D890" s="21"/>
      <c r="E890" s="21"/>
      <c r="F890" s="21"/>
      <c r="G890" s="21"/>
      <c r="H890" s="91"/>
      <c r="I890" s="91"/>
      <c r="J890" s="9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3.2">
      <c r="A891" s="21"/>
      <c r="B891" s="235"/>
      <c r="C891" s="21"/>
      <c r="D891" s="21"/>
      <c r="E891" s="21"/>
      <c r="F891" s="21"/>
      <c r="G891" s="21"/>
      <c r="H891" s="91"/>
      <c r="I891" s="91"/>
      <c r="J891" s="9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3.2">
      <c r="A892" s="21"/>
      <c r="B892" s="235"/>
      <c r="C892" s="21"/>
      <c r="D892" s="21"/>
      <c r="E892" s="21"/>
      <c r="F892" s="21"/>
      <c r="G892" s="21"/>
      <c r="H892" s="91"/>
      <c r="I892" s="91"/>
      <c r="J892" s="9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3.2">
      <c r="A893" s="21"/>
      <c r="B893" s="235"/>
      <c r="C893" s="21"/>
      <c r="D893" s="21"/>
      <c r="E893" s="21"/>
      <c r="F893" s="21"/>
      <c r="G893" s="21"/>
      <c r="H893" s="91"/>
      <c r="I893" s="91"/>
      <c r="J893" s="9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3.2">
      <c r="A894" s="21"/>
      <c r="B894" s="235"/>
      <c r="C894" s="21"/>
      <c r="D894" s="21"/>
      <c r="E894" s="21"/>
      <c r="F894" s="21"/>
      <c r="G894" s="21"/>
      <c r="H894" s="91"/>
      <c r="I894" s="91"/>
      <c r="J894" s="9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3.2">
      <c r="A895" s="21"/>
      <c r="B895" s="235"/>
      <c r="C895" s="21"/>
      <c r="D895" s="21"/>
      <c r="E895" s="21"/>
      <c r="F895" s="21"/>
      <c r="G895" s="21"/>
      <c r="H895" s="91"/>
      <c r="I895" s="91"/>
      <c r="J895" s="9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3.2">
      <c r="A896" s="21"/>
      <c r="B896" s="235"/>
      <c r="C896" s="21"/>
      <c r="D896" s="21"/>
      <c r="E896" s="21"/>
      <c r="F896" s="21"/>
      <c r="G896" s="21"/>
      <c r="H896" s="91"/>
      <c r="I896" s="91"/>
      <c r="J896" s="9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3.2">
      <c r="A897" s="21"/>
      <c r="B897" s="235"/>
      <c r="C897" s="21"/>
      <c r="D897" s="21"/>
      <c r="E897" s="21"/>
      <c r="F897" s="21"/>
      <c r="G897" s="21"/>
      <c r="H897" s="91"/>
      <c r="I897" s="91"/>
      <c r="J897" s="9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3.2">
      <c r="A898" s="21"/>
      <c r="B898" s="235"/>
      <c r="C898" s="21"/>
      <c r="D898" s="21"/>
      <c r="E898" s="21"/>
      <c r="F898" s="21"/>
      <c r="G898" s="21"/>
      <c r="H898" s="91"/>
      <c r="I898" s="91"/>
      <c r="J898" s="9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3.2">
      <c r="A899" s="21"/>
      <c r="B899" s="235"/>
      <c r="C899" s="21"/>
      <c r="D899" s="21"/>
      <c r="E899" s="21"/>
      <c r="F899" s="21"/>
      <c r="G899" s="21"/>
      <c r="H899" s="91"/>
      <c r="I899" s="91"/>
      <c r="J899" s="9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3.2">
      <c r="A900" s="21"/>
      <c r="B900" s="235"/>
      <c r="C900" s="21"/>
      <c r="D900" s="21"/>
      <c r="E900" s="21"/>
      <c r="F900" s="21"/>
      <c r="G900" s="21"/>
      <c r="H900" s="91"/>
      <c r="I900" s="91"/>
      <c r="J900" s="9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3.2">
      <c r="A901" s="21"/>
      <c r="B901" s="235"/>
      <c r="C901" s="21"/>
      <c r="D901" s="21"/>
      <c r="E901" s="21"/>
      <c r="F901" s="21"/>
      <c r="G901" s="21"/>
      <c r="H901" s="91"/>
      <c r="I901" s="91"/>
      <c r="J901" s="9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3.2">
      <c r="A902" s="21"/>
      <c r="B902" s="235"/>
      <c r="C902" s="21"/>
      <c r="D902" s="21"/>
      <c r="E902" s="21"/>
      <c r="F902" s="21"/>
      <c r="G902" s="21"/>
      <c r="H902" s="91"/>
      <c r="I902" s="91"/>
      <c r="J902" s="9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3.2">
      <c r="A903" s="21"/>
      <c r="B903" s="235"/>
      <c r="C903" s="21"/>
      <c r="D903" s="21"/>
      <c r="E903" s="21"/>
      <c r="F903" s="21"/>
      <c r="G903" s="21"/>
      <c r="H903" s="91"/>
      <c r="I903" s="91"/>
      <c r="J903" s="9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3.2">
      <c r="A904" s="21"/>
      <c r="B904" s="235"/>
      <c r="C904" s="21"/>
      <c r="D904" s="21"/>
      <c r="E904" s="21"/>
      <c r="F904" s="21"/>
      <c r="G904" s="21"/>
      <c r="H904" s="91"/>
      <c r="I904" s="91"/>
      <c r="J904" s="9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3.2">
      <c r="A905" s="21"/>
      <c r="B905" s="235"/>
      <c r="C905" s="21"/>
      <c r="D905" s="21"/>
      <c r="E905" s="21"/>
      <c r="F905" s="21"/>
      <c r="G905" s="21"/>
      <c r="H905" s="91"/>
      <c r="I905" s="91"/>
      <c r="J905" s="9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3.2">
      <c r="A906" s="21"/>
      <c r="B906" s="235"/>
      <c r="C906" s="21"/>
      <c r="D906" s="21"/>
      <c r="E906" s="21"/>
      <c r="F906" s="21"/>
      <c r="G906" s="21"/>
      <c r="H906" s="91"/>
      <c r="I906" s="91"/>
      <c r="J906" s="9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3.2">
      <c r="A907" s="21"/>
      <c r="B907" s="235"/>
      <c r="C907" s="21"/>
      <c r="D907" s="21"/>
      <c r="E907" s="21"/>
      <c r="F907" s="21"/>
      <c r="G907" s="21"/>
      <c r="H907" s="91"/>
      <c r="I907" s="91"/>
      <c r="J907" s="9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3.2">
      <c r="A908" s="21"/>
      <c r="B908" s="235"/>
      <c r="C908" s="21"/>
      <c r="D908" s="21"/>
      <c r="E908" s="21"/>
      <c r="F908" s="21"/>
      <c r="G908" s="21"/>
      <c r="H908" s="91"/>
      <c r="I908" s="91"/>
      <c r="J908" s="9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3.2">
      <c r="A909" s="21"/>
      <c r="B909" s="235"/>
      <c r="C909" s="21"/>
      <c r="D909" s="21"/>
      <c r="E909" s="21"/>
      <c r="F909" s="21"/>
      <c r="G909" s="21"/>
      <c r="H909" s="91"/>
      <c r="I909" s="91"/>
      <c r="J909" s="9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3.2">
      <c r="A910" s="21"/>
      <c r="B910" s="235"/>
      <c r="C910" s="21"/>
      <c r="D910" s="21"/>
      <c r="E910" s="21"/>
      <c r="F910" s="21"/>
      <c r="G910" s="21"/>
      <c r="H910" s="91"/>
      <c r="I910" s="91"/>
      <c r="J910" s="9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3.2">
      <c r="A911" s="21"/>
      <c r="B911" s="235"/>
      <c r="C911" s="21"/>
      <c r="D911" s="21"/>
      <c r="E911" s="21"/>
      <c r="F911" s="21"/>
      <c r="G911" s="21"/>
      <c r="H911" s="91"/>
      <c r="I911" s="91"/>
      <c r="J911" s="9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3.2">
      <c r="A912" s="21"/>
      <c r="B912" s="235"/>
      <c r="C912" s="21"/>
      <c r="D912" s="21"/>
      <c r="E912" s="21"/>
      <c r="F912" s="21"/>
      <c r="G912" s="21"/>
      <c r="H912" s="91"/>
      <c r="I912" s="91"/>
      <c r="J912" s="9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3.2">
      <c r="A913" s="21"/>
      <c r="B913" s="235"/>
      <c r="C913" s="21"/>
      <c r="D913" s="21"/>
      <c r="E913" s="21"/>
      <c r="F913" s="21"/>
      <c r="G913" s="21"/>
      <c r="H913" s="91"/>
      <c r="I913" s="91"/>
      <c r="J913" s="9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3.2">
      <c r="A914" s="21"/>
      <c r="B914" s="235"/>
      <c r="C914" s="21"/>
      <c r="D914" s="21"/>
      <c r="E914" s="21"/>
      <c r="F914" s="21"/>
      <c r="G914" s="21"/>
      <c r="H914" s="91"/>
      <c r="I914" s="91"/>
      <c r="J914" s="9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3.2">
      <c r="A915" s="21"/>
      <c r="B915" s="235"/>
      <c r="C915" s="21"/>
      <c r="D915" s="21"/>
      <c r="E915" s="21"/>
      <c r="F915" s="21"/>
      <c r="G915" s="21"/>
      <c r="H915" s="91"/>
      <c r="I915" s="91"/>
      <c r="J915" s="9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3.2">
      <c r="A916" s="21"/>
      <c r="B916" s="235"/>
      <c r="C916" s="21"/>
      <c r="D916" s="21"/>
      <c r="E916" s="21"/>
      <c r="F916" s="21"/>
      <c r="G916" s="21"/>
      <c r="H916" s="91"/>
      <c r="I916" s="91"/>
      <c r="J916" s="9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3.2">
      <c r="A917" s="21"/>
      <c r="B917" s="235"/>
      <c r="C917" s="21"/>
      <c r="D917" s="21"/>
      <c r="E917" s="21"/>
      <c r="F917" s="21"/>
      <c r="G917" s="21"/>
      <c r="H917" s="91"/>
      <c r="I917" s="91"/>
      <c r="J917" s="9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3.2">
      <c r="A918" s="21"/>
      <c r="B918" s="235"/>
      <c r="C918" s="21"/>
      <c r="D918" s="21"/>
      <c r="E918" s="21"/>
      <c r="F918" s="21"/>
      <c r="G918" s="21"/>
      <c r="H918" s="91"/>
      <c r="I918" s="91"/>
      <c r="J918" s="9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3.2">
      <c r="A919" s="21"/>
      <c r="B919" s="235"/>
      <c r="C919" s="21"/>
      <c r="D919" s="21"/>
      <c r="E919" s="21"/>
      <c r="F919" s="21"/>
      <c r="G919" s="21"/>
      <c r="H919" s="91"/>
      <c r="I919" s="91"/>
      <c r="J919" s="9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3.2">
      <c r="A920" s="21"/>
      <c r="B920" s="235"/>
      <c r="C920" s="21"/>
      <c r="D920" s="21"/>
      <c r="E920" s="21"/>
      <c r="F920" s="21"/>
      <c r="G920" s="21"/>
      <c r="H920" s="91"/>
      <c r="I920" s="91"/>
      <c r="J920" s="9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3.2">
      <c r="A921" s="21"/>
      <c r="B921" s="235"/>
      <c r="C921" s="21"/>
      <c r="D921" s="21"/>
      <c r="E921" s="21"/>
      <c r="F921" s="21"/>
      <c r="G921" s="21"/>
      <c r="H921" s="91"/>
      <c r="I921" s="91"/>
      <c r="J921" s="9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3.2">
      <c r="A922" s="21"/>
      <c r="B922" s="235"/>
      <c r="C922" s="21"/>
      <c r="D922" s="21"/>
      <c r="E922" s="21"/>
      <c r="F922" s="21"/>
      <c r="G922" s="21"/>
      <c r="H922" s="91"/>
      <c r="I922" s="91"/>
      <c r="J922" s="9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3.2">
      <c r="A923" s="21"/>
      <c r="B923" s="235"/>
      <c r="C923" s="21"/>
      <c r="D923" s="21"/>
      <c r="E923" s="21"/>
      <c r="F923" s="21"/>
      <c r="G923" s="21"/>
      <c r="H923" s="91"/>
      <c r="I923" s="91"/>
      <c r="J923" s="9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3.2">
      <c r="A924" s="21"/>
      <c r="B924" s="235"/>
      <c r="C924" s="21"/>
      <c r="D924" s="21"/>
      <c r="E924" s="21"/>
      <c r="F924" s="21"/>
      <c r="G924" s="21"/>
      <c r="H924" s="91"/>
      <c r="I924" s="91"/>
      <c r="J924" s="9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3.2">
      <c r="A925" s="21"/>
      <c r="B925" s="235"/>
      <c r="C925" s="21"/>
      <c r="D925" s="21"/>
      <c r="E925" s="21"/>
      <c r="F925" s="21"/>
      <c r="G925" s="21"/>
      <c r="H925" s="91"/>
      <c r="I925" s="91"/>
      <c r="J925" s="9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3.2">
      <c r="A926" s="21"/>
      <c r="B926" s="235"/>
      <c r="C926" s="21"/>
      <c r="D926" s="21"/>
      <c r="E926" s="21"/>
      <c r="F926" s="21"/>
      <c r="G926" s="21"/>
      <c r="H926" s="91"/>
      <c r="I926" s="91"/>
      <c r="J926" s="9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3.2">
      <c r="A927" s="21"/>
      <c r="B927" s="235"/>
      <c r="C927" s="21"/>
      <c r="D927" s="21"/>
      <c r="E927" s="21"/>
      <c r="F927" s="21"/>
      <c r="G927" s="21"/>
      <c r="H927" s="91"/>
      <c r="I927" s="91"/>
      <c r="J927" s="9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3.2">
      <c r="A928" s="21"/>
      <c r="B928" s="235"/>
      <c r="C928" s="21"/>
      <c r="D928" s="21"/>
      <c r="E928" s="21"/>
      <c r="F928" s="21"/>
      <c r="G928" s="21"/>
      <c r="H928" s="91"/>
      <c r="I928" s="91"/>
      <c r="J928" s="9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3.2">
      <c r="A929" s="21"/>
      <c r="B929" s="235"/>
      <c r="C929" s="21"/>
      <c r="D929" s="21"/>
      <c r="E929" s="21"/>
      <c r="F929" s="21"/>
      <c r="G929" s="21"/>
      <c r="H929" s="91"/>
      <c r="I929" s="91"/>
      <c r="J929" s="9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3.2">
      <c r="A930" s="21"/>
      <c r="B930" s="235"/>
      <c r="C930" s="21"/>
      <c r="D930" s="21"/>
      <c r="E930" s="21"/>
      <c r="F930" s="21"/>
      <c r="G930" s="21"/>
      <c r="H930" s="91"/>
      <c r="I930" s="91"/>
      <c r="J930" s="9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3.2">
      <c r="A931" s="21"/>
      <c r="B931" s="235"/>
      <c r="C931" s="21"/>
      <c r="D931" s="21"/>
      <c r="E931" s="21"/>
      <c r="F931" s="21"/>
      <c r="G931" s="21"/>
      <c r="H931" s="91"/>
      <c r="I931" s="91"/>
      <c r="J931" s="9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3.2">
      <c r="A932" s="21"/>
      <c r="B932" s="235"/>
      <c r="C932" s="21"/>
      <c r="D932" s="21"/>
      <c r="E932" s="21"/>
      <c r="F932" s="21"/>
      <c r="G932" s="21"/>
      <c r="H932" s="91"/>
      <c r="I932" s="91"/>
      <c r="J932" s="9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3.2">
      <c r="A933" s="21"/>
      <c r="B933" s="235"/>
      <c r="C933" s="21"/>
      <c r="D933" s="21"/>
      <c r="E933" s="21"/>
      <c r="F933" s="21"/>
      <c r="G933" s="21"/>
      <c r="H933" s="91"/>
      <c r="I933" s="91"/>
      <c r="J933" s="9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3.2">
      <c r="A934" s="21"/>
      <c r="B934" s="235"/>
      <c r="C934" s="21"/>
      <c r="D934" s="21"/>
      <c r="E934" s="21"/>
      <c r="F934" s="21"/>
      <c r="G934" s="21"/>
      <c r="H934" s="91"/>
      <c r="I934" s="91"/>
      <c r="J934" s="9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3.2">
      <c r="A935" s="21"/>
      <c r="B935" s="235"/>
      <c r="C935" s="21"/>
      <c r="D935" s="21"/>
      <c r="E935" s="21"/>
      <c r="F935" s="21"/>
      <c r="G935" s="21"/>
      <c r="H935" s="91"/>
      <c r="I935" s="91"/>
      <c r="J935" s="9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3.2">
      <c r="A936" s="21"/>
      <c r="B936" s="235"/>
      <c r="C936" s="21"/>
      <c r="D936" s="21"/>
      <c r="E936" s="21"/>
      <c r="F936" s="21"/>
      <c r="G936" s="21"/>
      <c r="H936" s="91"/>
      <c r="I936" s="91"/>
      <c r="J936" s="9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3.2">
      <c r="A937" s="21"/>
      <c r="B937" s="235"/>
      <c r="C937" s="21"/>
      <c r="D937" s="21"/>
      <c r="E937" s="21"/>
      <c r="F937" s="21"/>
      <c r="G937" s="21"/>
      <c r="H937" s="91"/>
      <c r="I937" s="91"/>
      <c r="J937" s="9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3.2">
      <c r="A938" s="21"/>
      <c r="B938" s="235"/>
      <c r="C938" s="21"/>
      <c r="D938" s="21"/>
      <c r="E938" s="21"/>
      <c r="F938" s="21"/>
      <c r="G938" s="21"/>
      <c r="H938" s="91"/>
      <c r="I938" s="91"/>
      <c r="J938" s="9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3.2">
      <c r="A939" s="21"/>
      <c r="B939" s="235"/>
      <c r="C939" s="21"/>
      <c r="D939" s="21"/>
      <c r="E939" s="21"/>
      <c r="F939" s="21"/>
      <c r="G939" s="21"/>
      <c r="H939" s="91"/>
      <c r="I939" s="91"/>
      <c r="J939" s="9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3.2">
      <c r="A940" s="21"/>
      <c r="B940" s="235"/>
      <c r="C940" s="21"/>
      <c r="D940" s="21"/>
      <c r="E940" s="21"/>
      <c r="F940" s="21"/>
      <c r="G940" s="21"/>
      <c r="H940" s="91"/>
      <c r="I940" s="91"/>
      <c r="J940" s="9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3.2">
      <c r="A941" s="21"/>
      <c r="B941" s="235"/>
      <c r="C941" s="21"/>
      <c r="D941" s="21"/>
      <c r="E941" s="21"/>
      <c r="F941" s="21"/>
      <c r="G941" s="21"/>
      <c r="H941" s="91"/>
      <c r="I941" s="91"/>
      <c r="J941" s="9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3.2">
      <c r="A942" s="21"/>
      <c r="B942" s="235"/>
      <c r="C942" s="21"/>
      <c r="D942" s="21"/>
      <c r="E942" s="21"/>
      <c r="F942" s="21"/>
      <c r="G942" s="21"/>
      <c r="H942" s="91"/>
      <c r="I942" s="91"/>
      <c r="J942" s="9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3.2">
      <c r="A943" s="21"/>
      <c r="B943" s="235"/>
      <c r="C943" s="21"/>
      <c r="D943" s="21"/>
      <c r="E943" s="21"/>
      <c r="F943" s="21"/>
      <c r="G943" s="21"/>
      <c r="H943" s="91"/>
      <c r="I943" s="91"/>
      <c r="J943" s="9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3.2">
      <c r="A944" s="21"/>
      <c r="B944" s="235"/>
      <c r="C944" s="21"/>
      <c r="D944" s="21"/>
      <c r="E944" s="21"/>
      <c r="F944" s="21"/>
      <c r="G944" s="21"/>
      <c r="H944" s="91"/>
      <c r="I944" s="91"/>
      <c r="J944" s="9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3.2">
      <c r="A945" s="21"/>
      <c r="B945" s="235"/>
      <c r="C945" s="21"/>
      <c r="D945" s="21"/>
      <c r="E945" s="21"/>
      <c r="F945" s="21"/>
      <c r="G945" s="21"/>
      <c r="H945" s="91"/>
      <c r="I945" s="91"/>
      <c r="J945" s="9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3.2">
      <c r="A946" s="21"/>
      <c r="B946" s="235"/>
      <c r="C946" s="21"/>
      <c r="D946" s="21"/>
      <c r="E946" s="21"/>
      <c r="F946" s="21"/>
      <c r="G946" s="21"/>
      <c r="H946" s="91"/>
      <c r="I946" s="91"/>
      <c r="J946" s="9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3.2">
      <c r="A947" s="21"/>
      <c r="B947" s="235"/>
      <c r="C947" s="21"/>
      <c r="D947" s="21"/>
      <c r="E947" s="21"/>
      <c r="F947" s="21"/>
      <c r="G947" s="21"/>
      <c r="H947" s="91"/>
      <c r="I947" s="91"/>
      <c r="J947" s="9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3.2">
      <c r="A948" s="21"/>
      <c r="B948" s="235"/>
      <c r="C948" s="21"/>
      <c r="D948" s="21"/>
      <c r="E948" s="21"/>
      <c r="F948" s="21"/>
      <c r="G948" s="21"/>
      <c r="H948" s="91"/>
      <c r="I948" s="91"/>
      <c r="J948" s="9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3.2">
      <c r="A949" s="21"/>
      <c r="B949" s="235"/>
      <c r="C949" s="21"/>
      <c r="D949" s="21"/>
      <c r="E949" s="21"/>
      <c r="F949" s="21"/>
      <c r="G949" s="21"/>
      <c r="H949" s="91"/>
      <c r="I949" s="91"/>
      <c r="J949" s="9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3.2">
      <c r="A950" s="21"/>
      <c r="B950" s="235"/>
      <c r="C950" s="21"/>
      <c r="D950" s="21"/>
      <c r="E950" s="21"/>
      <c r="F950" s="21"/>
      <c r="G950" s="21"/>
      <c r="H950" s="91"/>
      <c r="I950" s="91"/>
      <c r="J950" s="9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3.2">
      <c r="A951" s="21"/>
      <c r="B951" s="235"/>
      <c r="C951" s="21"/>
      <c r="D951" s="21"/>
      <c r="E951" s="21"/>
      <c r="F951" s="21"/>
      <c r="G951" s="21"/>
      <c r="H951" s="91"/>
      <c r="I951" s="91"/>
      <c r="J951" s="9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3.2">
      <c r="A952" s="21"/>
      <c r="B952" s="235"/>
      <c r="C952" s="21"/>
      <c r="D952" s="21"/>
      <c r="E952" s="21"/>
      <c r="F952" s="21"/>
      <c r="G952" s="21"/>
      <c r="H952" s="91"/>
      <c r="I952" s="91"/>
      <c r="J952" s="9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3.2">
      <c r="A953" s="21"/>
      <c r="B953" s="235"/>
      <c r="C953" s="21"/>
      <c r="D953" s="21"/>
      <c r="E953" s="21"/>
      <c r="F953" s="21"/>
      <c r="G953" s="21"/>
      <c r="H953" s="91"/>
      <c r="I953" s="91"/>
      <c r="J953" s="9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3.2">
      <c r="A954" s="21"/>
      <c r="B954" s="235"/>
      <c r="C954" s="21"/>
      <c r="D954" s="21"/>
      <c r="E954" s="21"/>
      <c r="F954" s="21"/>
      <c r="G954" s="21"/>
      <c r="H954" s="91"/>
      <c r="I954" s="91"/>
      <c r="J954" s="9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3.2">
      <c r="A955" s="21"/>
      <c r="B955" s="235"/>
      <c r="C955" s="21"/>
      <c r="D955" s="21"/>
      <c r="E955" s="21"/>
      <c r="F955" s="21"/>
      <c r="G955" s="21"/>
      <c r="H955" s="91"/>
      <c r="I955" s="91"/>
      <c r="J955" s="9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3.2">
      <c r="A956" s="21"/>
      <c r="B956" s="235"/>
      <c r="C956" s="21"/>
      <c r="D956" s="21"/>
      <c r="E956" s="21"/>
      <c r="F956" s="21"/>
      <c r="G956" s="21"/>
      <c r="H956" s="91"/>
      <c r="I956" s="91"/>
      <c r="J956" s="9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3.2">
      <c r="A957" s="21"/>
      <c r="B957" s="235"/>
      <c r="C957" s="21"/>
      <c r="D957" s="21"/>
      <c r="E957" s="21"/>
      <c r="F957" s="21"/>
      <c r="G957" s="21"/>
      <c r="H957" s="91"/>
      <c r="I957" s="91"/>
      <c r="J957" s="9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3.2">
      <c r="A958" s="21"/>
      <c r="B958" s="235"/>
      <c r="C958" s="21"/>
      <c r="D958" s="21"/>
      <c r="E958" s="21"/>
      <c r="F958" s="21"/>
      <c r="G958" s="21"/>
      <c r="H958" s="91"/>
      <c r="I958" s="91"/>
      <c r="J958" s="9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3.2">
      <c r="A959" s="21"/>
      <c r="B959" s="235"/>
      <c r="C959" s="21"/>
      <c r="D959" s="21"/>
      <c r="E959" s="21"/>
      <c r="F959" s="21"/>
      <c r="G959" s="21"/>
      <c r="H959" s="91"/>
      <c r="I959" s="91"/>
      <c r="J959" s="9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3.2">
      <c r="A960" s="21"/>
      <c r="B960" s="235"/>
      <c r="C960" s="21"/>
      <c r="D960" s="21"/>
      <c r="E960" s="21"/>
      <c r="F960" s="21"/>
      <c r="G960" s="21"/>
      <c r="H960" s="91"/>
      <c r="I960" s="91"/>
      <c r="J960" s="9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3.2">
      <c r="A961" s="21"/>
      <c r="B961" s="235"/>
      <c r="C961" s="21"/>
      <c r="D961" s="21"/>
      <c r="E961" s="21"/>
      <c r="F961" s="21"/>
      <c r="G961" s="21"/>
      <c r="H961" s="91"/>
      <c r="I961" s="91"/>
      <c r="J961" s="9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3.2">
      <c r="A962" s="21"/>
      <c r="B962" s="235"/>
      <c r="C962" s="21"/>
      <c r="D962" s="21"/>
      <c r="E962" s="21"/>
      <c r="F962" s="21"/>
      <c r="G962" s="21"/>
      <c r="H962" s="91"/>
      <c r="I962" s="91"/>
      <c r="J962" s="9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3.2">
      <c r="A963" s="21"/>
      <c r="B963" s="235"/>
      <c r="C963" s="21"/>
      <c r="D963" s="21"/>
      <c r="E963" s="21"/>
      <c r="F963" s="21"/>
      <c r="G963" s="21"/>
      <c r="H963" s="91"/>
      <c r="I963" s="91"/>
      <c r="J963" s="9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3.2">
      <c r="A964" s="21"/>
      <c r="B964" s="235"/>
      <c r="C964" s="21"/>
      <c r="D964" s="21"/>
      <c r="E964" s="21"/>
      <c r="F964" s="21"/>
      <c r="G964" s="21"/>
      <c r="H964" s="91"/>
      <c r="I964" s="91"/>
      <c r="J964" s="9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3.2">
      <c r="A965" s="21"/>
      <c r="B965" s="235"/>
      <c r="C965" s="21"/>
      <c r="D965" s="21"/>
      <c r="E965" s="21"/>
      <c r="F965" s="21"/>
      <c r="G965" s="21"/>
      <c r="H965" s="91"/>
      <c r="I965" s="91"/>
      <c r="J965" s="9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3.2">
      <c r="A966" s="21"/>
      <c r="B966" s="235"/>
      <c r="C966" s="21"/>
      <c r="D966" s="21"/>
      <c r="E966" s="21"/>
      <c r="F966" s="21"/>
      <c r="G966" s="21"/>
      <c r="H966" s="91"/>
      <c r="I966" s="91"/>
      <c r="J966" s="9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3.2">
      <c r="A967" s="21"/>
      <c r="B967" s="235"/>
      <c r="C967" s="21"/>
      <c r="D967" s="21"/>
      <c r="E967" s="21"/>
      <c r="F967" s="21"/>
      <c r="G967" s="21"/>
      <c r="H967" s="91"/>
      <c r="I967" s="91"/>
      <c r="J967" s="9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3.2">
      <c r="A968" s="21"/>
      <c r="B968" s="235"/>
      <c r="C968" s="21"/>
      <c r="D968" s="21"/>
      <c r="E968" s="21"/>
      <c r="F968" s="21"/>
      <c r="G968" s="21"/>
      <c r="H968" s="91"/>
      <c r="I968" s="91"/>
      <c r="J968" s="9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3.2">
      <c r="A969" s="21"/>
      <c r="B969" s="235"/>
      <c r="C969" s="21"/>
      <c r="D969" s="21"/>
      <c r="E969" s="21"/>
      <c r="F969" s="21"/>
      <c r="G969" s="21"/>
      <c r="H969" s="91"/>
      <c r="I969" s="91"/>
      <c r="J969" s="9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3.2">
      <c r="A970" s="21"/>
      <c r="B970" s="235"/>
      <c r="C970" s="21"/>
      <c r="D970" s="21"/>
      <c r="E970" s="21"/>
      <c r="F970" s="21"/>
      <c r="G970" s="21"/>
      <c r="H970" s="91"/>
      <c r="I970" s="91"/>
      <c r="J970" s="9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3.2">
      <c r="A971" s="21"/>
      <c r="B971" s="235"/>
      <c r="C971" s="21"/>
      <c r="D971" s="21"/>
      <c r="E971" s="21"/>
      <c r="F971" s="21"/>
      <c r="G971" s="21"/>
      <c r="H971" s="91"/>
      <c r="I971" s="91"/>
      <c r="J971" s="9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3.2">
      <c r="A972" s="21"/>
      <c r="B972" s="235"/>
      <c r="C972" s="21"/>
      <c r="D972" s="21"/>
      <c r="E972" s="21"/>
      <c r="F972" s="21"/>
      <c r="G972" s="21"/>
      <c r="H972" s="91"/>
      <c r="I972" s="91"/>
      <c r="J972" s="9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3.2">
      <c r="A973" s="21"/>
      <c r="B973" s="235"/>
      <c r="C973" s="21"/>
      <c r="D973" s="21"/>
      <c r="E973" s="21"/>
      <c r="F973" s="21"/>
      <c r="G973" s="21"/>
      <c r="H973" s="91"/>
      <c r="I973" s="91"/>
      <c r="J973" s="9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</sheetData>
  <autoFilter ref="A2:AB3" xr:uid="{00000000-0009-0000-0000-000004000000}">
    <sortState xmlns:xlrd2="http://schemas.microsoft.com/office/spreadsheetml/2017/richdata2" ref="A2:AB3">
      <sortCondition ref="B2:B3"/>
    </sortState>
  </autoFilter>
  <customSheetViews>
    <customSheetView guid="{722831EC-C62E-4917-B486-B5A8E8CA3DA9}" filter="1" showAutoFilter="1">
      <pageMargins left="0.7" right="0.7" top="0.75" bottom="0.75" header="0.3" footer="0.3"/>
      <autoFilter ref="C1:C973" xr:uid="{B30BC439-843E-4559-BCC4-69B3821E9C6F}">
        <filterColumn colId="0">
          <filters>
            <filter val="Ann Mathews"/>
            <filter val="Dr Chanadrika N"/>
            <filter val="Dr K Meenakshi"/>
            <filter val="Dr K Meenakshi, Dr Hanumantha Ravi PVN"/>
            <filter val="Dr Meenakshi R Patil"/>
            <filter val="Dr Mohan N &amp; Prof.Sachin Aralikatti"/>
            <filter val="Dr Pappa M"/>
            <filter val="Dr Ramesh P"/>
            <filter val="Dr Ramesh P, Dr Geetanjali"/>
            <filter val="Dr S Senthil Velan"/>
            <filter val="Dr Sagar M B &amp;"/>
            <filter val="Dr Sagar M B &amp; Dr. Harish P"/>
            <filter val="Dr Sagar M B &amp; Dr. Vakula Rani"/>
            <filter val="Dr Sharmila K P"/>
            <filter val="Dr Sushma T V, Dr Sridhar N"/>
            <filter val="Dr Suvitha A"/>
            <filter val="Dr Vedavathi"/>
            <filter val="Dr, Harish P &amp; Dr. venkatesh Naik"/>
            <filter val="Dr, M. Poorani &amp; Dr. S. Seetha"/>
            <filter val="Dr, Vakula Rani J"/>
            <filter val="Dr. Abinash Panda"/>
            <filter val="Dr. Abinash Panda &amp; Dr. Susheel Kumar"/>
            <filter val="Dr. Abinash Panda, Dr. Sridhar N"/>
            <filter val="Dr. Chitra K, Dr. Viji K"/>
            <filter val="Dr. Dipansha Kumari"/>
            <filter val="Dr. Geetanjali"/>
            <filter val="Dr. Geetanjali , Dr. Ramesh"/>
            <filter val="Dr. Geetanjali, Prof. Ranjitha"/>
            <filter val="Dr. Gnaneswari Gnanaguru"/>
            <filter val="Dr. Harish P &amp; Dr. VenkateshNaik"/>
            <filter val="Dr. Jagadishwari"/>
            <filter val="Dr. Kanika Agrawal"/>
            <filter val="Dr. Kesavamoorthy R &amp; Navaneetha M"/>
            <filter val="Dr. Kesavamoorthy R."/>
            <filter val="Dr. Kesavamurthy, Dr Preethi Jacob"/>
            <filter val="Dr. Mahesh Kumar Jha &amp; Dr. Nidhi Vaishnav"/>
            <filter val="Dr. Meenakshi Patil &amp; Dr. P. Susheelkumar S."/>
            <filter val="Dr. Meenakshi Patil, Dr.Susheelkumar S, Dr. Richa Tenghse"/>
            <filter val="Dr. Nageswara Rao Atyam"/>
            <filter val="Dr. Narendra N and Venktesh Naik"/>
            <filter val="Dr. Naveen Kumar G N &amp; Dr. Susheel Kumar S"/>
            <filter val="Dr. P. Susheelkumar S &amp; Dr. Meenakshi R. Patil"/>
            <filter val="Dr. P. Susheelkumar S &amp; Dr. Viji K"/>
            <filter val="Dr. P. Susheelkumar S.  &amp;           Dr. Venkateswaran K"/>
            <filter val="Dr. Parthasarathy P &amp; Dr. Venkatesh M"/>
            <filter val="Dr. Preethi Sheba Hepsiba &amp; Smitha N"/>
            <filter val="Dr. Preethi Sheba Hepsiba (PI), Dr. Sanchari Saha (Co-PI)"/>
            <filter val="Dr. Ramesh P"/>
            <filter val="Dr. Rangeet Mitra"/>
            <filter val="Dr. Richa Tenghse, Dr. Meenakshi Patil, Dr.Susheelkumar S"/>
            <filter val="Dr. Rinisha Bagaria &amp;                Dr. Shanthi M B"/>
            <filter val="Dr. Sagar Baligidad, Dr. Niranjan L"/>
            <filter val="Dr. Sagar M B"/>
            <filter val="Dr. Sagar M Baligidad"/>
            <filter val="Dr. Sharmila K.P"/>
            <filter val="Dr. Srividya R"/>
            <filter val="Dr. Srividya R and Prof. Nidhi Joshi"/>
            <filter val="Dr. Srividya R and prof.Nidhi joshi"/>
            <filter val="Dr. Suruchi"/>
            <filter val="Dr. Suruchi  &amp; Dr. Adwitiya Sinha"/>
            <filter val="Dr. Suruchi Sabherwal &amp; Prof . Jayashree M"/>
            <filter val="Dr. Susheelamma K H"/>
            <filter val="Dr. Sushma T V &amp; Dr. Susmitha A"/>
            <filter val="Dr. Venkatesh M &amp; Dr. Parthasarathy P"/>
            <filter val="Dr. VenkateshNaik and Dr. Narendra N"/>
            <filter val="Dr. Venkateswaran K &amp; Dr. Abinash Panda"/>
            <filter val="Dr. Viji K, Dr. Chitra K"/>
            <filter val="Dr.A.Suvitha"/>
            <filter val="Dr.Archie Thakur"/>
            <filter val="Dr.Ciyamala Kushbu S"/>
            <filter val="Dr.Dipansha Kumari"/>
            <filter val="Dr.Gomathi.T"/>
            <filter val="Dr.K.Rajalakshmi"/>
            <filter val="Dr.K.Rajalakshmi, Dr. Gomathi T, Dr. Ilango V and Prof. Moumita Roy"/>
            <filter val="Dr.Niranjan L"/>
            <filter val="Dr.Parthasarathy P &amp; Dr.Venkatesh M"/>
            <filter val="Dr.Sam Gilvine Samuvel and Mr. Vijay Anand"/>
            <filter val="Dr.Sanchari Saha (PI), Prof. Smitha N (co-PI)"/>
            <filter val="Dr.Seetha"/>
            <filter val="Dr.Shivakumar"/>
            <filter val="Dr.Sridevi S &amp; Dr.Pappa M"/>
            <filter val="Dr.V.Ilango"/>
            <filter val="Dr.Vakula Rani"/>
            <filter val="Dr.Vakula Rani                                                           Dr.Sagar-Co-PI                                       Prof. Pooja Srivastav"/>
            <filter val="Dr.Venkateshwaran,Dr.Niranjan L,Dr.Sridhar N"/>
            <filter val="Dr.Viji &amp; Prof.Anju Das"/>
            <filter val="Dr.Viji K &amp; Dr. Susheelkumar"/>
            <filter val="Eisha Akanksha"/>
            <filter val="Jayashree M"/>
            <filter val="K Meenakshi"/>
            <filter val="Krishna Sowjanya K (PI)_x000a_Dr. V N Manju (Co-PI)"/>
            <filter val="Mentor: Dr. Kesavamoorthy R.  Team Leader: Bellamkonda Meghana (1CR21CS048). Team Members:  Anusha M (1CR21CS036), Aditi (1CR21CS008) and Kavya Manne (1CR21IS076)"/>
            <filter val="Mentor: Dr. Kesavamoorthy R. Team Leader:  Anusha M (1CR21CS036)_x000a_Team Members: Aditi (1CR21CS008) and Kavya Manne (1CR21IS076)"/>
            <filter val="Mentor: Dr. Kesavamoorthy R. Team Leader: Aranya Bandhu (1CR23AD021)"/>
            <filter val="Mentor: Dr. Kesavamoorthy R. Team Leader: Yashica G (1CR23AI143)_x000a_Team Members: Prakshi Lakhchaura (1CR23AI083), Safa Mariyah (1CR23AI105), Sannah Sharma (1CR23AI110)"/>
            <filter val="Ms. Priyanka S Talekar                                                  Ms.Anshika Shukla"/>
            <filter val="Ms.Anshika Shukla,                                                   Ms. Priyanka S Talekar"/>
            <filter val="Ms.Anshika Shukla, Ms. Priyanka S Talekar"/>
            <filter val="Name of Faculty"/>
            <filter val="Navaneetha M"/>
            <filter val="Navaneetha M,                             Dr. kesavamoorthy R."/>
            <filter val="Navaneetha M, Dr. Shanthi M B"/>
            <filter val="Navaneetha M,Dr. V, N Manju"/>
            <filter val="Navaneetha N"/>
            <filter val="Prof. Dhivya R_x000a_Prof. Komala Devi K"/>
            <filter val="Prof. Jayashree &amp; Dr. Suruchi"/>
            <filter val="Prof. Komala Devi K_x000a_Prof. Dhivya R"/>
            <filter val="Prof. Krishna Sowjanya K (PI) &amp; Dr. V N Manju (CO-PI)"/>
            <filter val="Prof. Narendra N &amp; Prof. Puneeth Kumar N"/>
            <filter val="Prof.Anju Das and Dr.Viji"/>
            <filter val="Prof.Arvind R"/>
            <filter val="Prof.Arvind R and Prof.Sugunadevi C"/>
            <filter val="Prof.Jayasree, Dr.Seetha"/>
            <filter val="Prof.Varsha"/>
            <filter val="Rajni Tiwari"/>
            <filter val="Rencita Maria Colaco"/>
            <filter val="Savitha N J_x000a_Dr. Jayanthi N"/>
            <filter val="Savitha NJ (PI)_x000a_Sagarika Behera (Co-PI)"/>
            <filter val="Shilpa Mangesh Pande"/>
            <filter val="Smitha N"/>
            <filter val="Smitha N(PI) &amp; Dr Sanchari Saha(Co-PI)"/>
            <filter val="Sreedevi N"/>
            <filter val="Sugunadevi C"/>
            <filter val="SUshma B"/>
            <filter val="VENKATESWARAN K, Sridhar N, Niranajan L"/>
          </filters>
        </filterColumn>
      </autoFilter>
    </customSheetView>
  </customSheetViews>
  <hyperlinks>
    <hyperlink ref="A2" r:id="rId1" xr:uid="{00000000-0004-0000-0400-000000000000}"/>
    <hyperlink ref="N41" r:id="rId2" xr:uid="{00000000-0004-0000-0400-000001000000}"/>
    <hyperlink ref="G74" r:id="rId3" xr:uid="{00000000-0004-0000-0400-000002000000}"/>
    <hyperlink ref="G76" r:id="rId4" xr:uid="{00000000-0004-0000-0400-000003000000}"/>
    <hyperlink ref="N117" r:id="rId5" xr:uid="{00000000-0004-0000-0400-000004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99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33203125" customWidth="1"/>
    <col min="3" max="3" width="15.21875" customWidth="1"/>
    <col min="4" max="4" width="30" customWidth="1"/>
    <col min="5" max="7" width="17.77734375" customWidth="1"/>
    <col min="8" max="8" width="13.33203125" customWidth="1"/>
    <col min="9" max="9" width="32.6640625" customWidth="1"/>
    <col min="10" max="10" width="32.33203125" customWidth="1"/>
    <col min="11" max="11" width="22.88671875" customWidth="1"/>
  </cols>
  <sheetData>
    <row r="1" spans="1:30" ht="57" customHeight="1">
      <c r="A1" s="318" t="s">
        <v>2688</v>
      </c>
      <c r="B1" s="319" t="s">
        <v>77</v>
      </c>
      <c r="C1" s="319" t="s">
        <v>79</v>
      </c>
      <c r="D1" s="319" t="s">
        <v>2910</v>
      </c>
      <c r="E1" s="320" t="s">
        <v>2911</v>
      </c>
      <c r="F1" s="239" t="s">
        <v>2692</v>
      </c>
      <c r="G1" s="320" t="s">
        <v>2912</v>
      </c>
      <c r="H1" s="321" t="s">
        <v>2913</v>
      </c>
      <c r="I1" s="320" t="s">
        <v>2914</v>
      </c>
      <c r="J1" s="320" t="s">
        <v>2915</v>
      </c>
      <c r="K1" s="321" t="s">
        <v>2696</v>
      </c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</row>
    <row r="2" spans="1:30" ht="42.75" customHeight="1">
      <c r="A2" s="323">
        <v>1</v>
      </c>
      <c r="B2" s="37" t="s">
        <v>1709</v>
      </c>
      <c r="C2" s="246" t="s">
        <v>17</v>
      </c>
      <c r="D2" s="37" t="s">
        <v>2916</v>
      </c>
      <c r="E2" s="37" t="s">
        <v>2917</v>
      </c>
      <c r="F2" s="250">
        <v>153</v>
      </c>
      <c r="G2" s="251">
        <v>23050</v>
      </c>
      <c r="H2" s="22" t="s">
        <v>108</v>
      </c>
      <c r="I2" s="37" t="s">
        <v>2700</v>
      </c>
      <c r="J2" s="252">
        <v>45536</v>
      </c>
      <c r="K2" s="324" t="s">
        <v>2918</v>
      </c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</row>
    <row r="3" spans="1:30" ht="30.75" customHeight="1">
      <c r="A3" s="323">
        <v>2</v>
      </c>
      <c r="B3" s="27" t="s">
        <v>2919</v>
      </c>
      <c r="C3" s="27" t="s">
        <v>24</v>
      </c>
      <c r="D3" s="43" t="s">
        <v>2920</v>
      </c>
      <c r="E3" s="27" t="s">
        <v>47</v>
      </c>
      <c r="F3" s="27">
        <v>200</v>
      </c>
      <c r="G3" s="27">
        <v>11000</v>
      </c>
      <c r="H3" s="27" t="s">
        <v>108</v>
      </c>
      <c r="I3" s="43" t="s">
        <v>2921</v>
      </c>
      <c r="J3" s="43" t="s">
        <v>2922</v>
      </c>
      <c r="K3" s="325" t="s">
        <v>2923</v>
      </c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</row>
    <row r="4" spans="1:30" ht="15.75" customHeight="1">
      <c r="A4" s="323">
        <v>3</v>
      </c>
      <c r="B4" s="323" t="s">
        <v>2924</v>
      </c>
      <c r="C4" s="323" t="s">
        <v>2254</v>
      </c>
      <c r="D4" s="323" t="s">
        <v>2925</v>
      </c>
      <c r="E4" s="323">
        <v>200</v>
      </c>
      <c r="F4" s="323">
        <v>10</v>
      </c>
      <c r="G4" s="323">
        <v>2000</v>
      </c>
      <c r="H4" s="323" t="s">
        <v>108</v>
      </c>
      <c r="I4" s="323"/>
      <c r="J4" s="326">
        <v>45627</v>
      </c>
      <c r="K4" s="327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</row>
    <row r="5" spans="1:30" ht="15.75" customHeight="1">
      <c r="A5" s="323">
        <v>4</v>
      </c>
      <c r="B5" s="323" t="s">
        <v>2926</v>
      </c>
      <c r="C5" s="323" t="s">
        <v>25</v>
      </c>
      <c r="D5" s="323" t="s">
        <v>2927</v>
      </c>
      <c r="E5" s="323">
        <v>200</v>
      </c>
      <c r="F5" s="323">
        <v>1</v>
      </c>
      <c r="G5" s="323">
        <v>0</v>
      </c>
      <c r="H5" s="323" t="s">
        <v>108</v>
      </c>
      <c r="I5" s="323" t="s">
        <v>2928</v>
      </c>
      <c r="J5" s="323"/>
      <c r="K5" s="327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</row>
    <row r="6" spans="1:30" ht="15.75" customHeight="1">
      <c r="A6" s="323">
        <v>5</v>
      </c>
      <c r="B6" s="323" t="s">
        <v>2924</v>
      </c>
      <c r="C6" s="323" t="s">
        <v>2254</v>
      </c>
      <c r="D6" s="323" t="s">
        <v>2925</v>
      </c>
      <c r="E6" s="323">
        <v>200</v>
      </c>
      <c r="F6" s="323">
        <v>10</v>
      </c>
      <c r="G6" s="323">
        <v>2000</v>
      </c>
      <c r="H6" s="323" t="s">
        <v>108</v>
      </c>
      <c r="I6" s="323"/>
      <c r="J6" s="326">
        <v>45658</v>
      </c>
      <c r="K6" s="327"/>
      <c r="L6" s="328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</row>
    <row r="7" spans="1:30" ht="36.75" customHeight="1">
      <c r="A7" s="323">
        <v>6</v>
      </c>
      <c r="B7" s="22" t="s">
        <v>2929</v>
      </c>
      <c r="C7" s="22" t="s">
        <v>24</v>
      </c>
      <c r="D7" s="22" t="s">
        <v>2930</v>
      </c>
      <c r="E7" s="22" t="s">
        <v>47</v>
      </c>
      <c r="F7" s="22">
        <v>100</v>
      </c>
      <c r="G7" s="22">
        <v>40000</v>
      </c>
      <c r="H7" s="22" t="s">
        <v>108</v>
      </c>
      <c r="I7" s="43" t="s">
        <v>2921</v>
      </c>
      <c r="J7" s="329">
        <v>45682</v>
      </c>
      <c r="K7" s="57"/>
      <c r="L7" s="322"/>
      <c r="M7" s="322"/>
      <c r="N7" s="322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322"/>
      <c r="AD7" s="322"/>
    </row>
    <row r="8" spans="1:30" ht="54" customHeight="1">
      <c r="A8" s="243">
        <v>7</v>
      </c>
      <c r="B8" s="243" t="s">
        <v>2931</v>
      </c>
      <c r="C8" s="243" t="s">
        <v>15</v>
      </c>
      <c r="D8" s="243" t="s">
        <v>2932</v>
      </c>
      <c r="E8" s="243">
        <v>500</v>
      </c>
      <c r="F8" s="243">
        <v>61</v>
      </c>
      <c r="G8" s="330">
        <v>30500</v>
      </c>
      <c r="H8" s="243" t="s">
        <v>108</v>
      </c>
      <c r="I8" s="243" t="s">
        <v>2933</v>
      </c>
      <c r="J8" s="331">
        <v>45689</v>
      </c>
      <c r="K8" s="79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</row>
    <row r="9" spans="1:30" ht="15.75" customHeight="1">
      <c r="A9" s="323">
        <v>8</v>
      </c>
      <c r="B9" s="323" t="s">
        <v>2924</v>
      </c>
      <c r="C9" s="323" t="s">
        <v>2254</v>
      </c>
      <c r="D9" s="323" t="s">
        <v>2925</v>
      </c>
      <c r="E9" s="323">
        <v>200</v>
      </c>
      <c r="F9" s="323"/>
      <c r="G9" s="323">
        <v>30000</v>
      </c>
      <c r="H9" s="243" t="s">
        <v>108</v>
      </c>
      <c r="I9" s="323"/>
      <c r="J9" s="326">
        <v>45717</v>
      </c>
      <c r="K9" s="327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</row>
    <row r="10" spans="1:30" ht="33.75" customHeight="1">
      <c r="A10" s="323">
        <v>9</v>
      </c>
      <c r="B10" s="323" t="s">
        <v>2934</v>
      </c>
      <c r="C10" s="323" t="s">
        <v>2935</v>
      </c>
      <c r="D10" s="323" t="s">
        <v>2936</v>
      </c>
      <c r="E10" s="323">
        <v>200</v>
      </c>
      <c r="F10" s="323">
        <v>62</v>
      </c>
      <c r="G10" s="323">
        <v>12000</v>
      </c>
      <c r="H10" s="323"/>
      <c r="I10" s="327" t="s">
        <v>2937</v>
      </c>
      <c r="J10" s="326">
        <v>45717</v>
      </c>
      <c r="K10" s="327"/>
      <c r="L10" s="32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</row>
    <row r="11" spans="1:30" ht="15.75" customHeight="1">
      <c r="A11" s="323">
        <v>10</v>
      </c>
      <c r="B11" s="332" t="s">
        <v>1100</v>
      </c>
      <c r="C11" s="83" t="s">
        <v>24</v>
      </c>
      <c r="D11" s="84" t="s">
        <v>2938</v>
      </c>
      <c r="E11" s="84" t="s">
        <v>47</v>
      </c>
      <c r="F11" s="83">
        <v>200</v>
      </c>
      <c r="G11" s="83">
        <v>12000</v>
      </c>
      <c r="H11" s="83" t="s">
        <v>108</v>
      </c>
      <c r="I11" s="84" t="s">
        <v>2939</v>
      </c>
      <c r="J11" s="268" t="s">
        <v>2940</v>
      </c>
      <c r="K11" s="333" t="s">
        <v>2941</v>
      </c>
      <c r="L11" s="334" t="s">
        <v>2942</v>
      </c>
      <c r="M11" s="88"/>
      <c r="N11" s="335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</row>
    <row r="12" spans="1:30" ht="15.75" customHeight="1">
      <c r="A12" s="336">
        <v>11</v>
      </c>
      <c r="B12" s="337" t="s">
        <v>2931</v>
      </c>
      <c r="C12" s="337" t="s">
        <v>15</v>
      </c>
      <c r="D12" s="337" t="s">
        <v>2943</v>
      </c>
      <c r="E12" s="336" t="s">
        <v>100</v>
      </c>
      <c r="F12" s="336" t="s">
        <v>100</v>
      </c>
      <c r="G12" s="338">
        <v>28000</v>
      </c>
      <c r="H12" s="336" t="s">
        <v>108</v>
      </c>
      <c r="I12" s="337" t="s">
        <v>2944</v>
      </c>
      <c r="J12" s="336" t="s">
        <v>2945</v>
      </c>
      <c r="K12" s="339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</row>
    <row r="13" spans="1:30" ht="15.75" customHeight="1">
      <c r="A13" s="243">
        <v>12</v>
      </c>
      <c r="B13" s="37" t="s">
        <v>1709</v>
      </c>
      <c r="C13" s="323" t="s">
        <v>17</v>
      </c>
      <c r="D13" s="323" t="s">
        <v>2946</v>
      </c>
      <c r="E13" s="323" t="s">
        <v>100</v>
      </c>
      <c r="F13" s="323">
        <v>40</v>
      </c>
      <c r="G13" s="323">
        <v>10000</v>
      </c>
      <c r="H13" s="323" t="s">
        <v>108</v>
      </c>
      <c r="I13" s="323" t="s">
        <v>2947</v>
      </c>
      <c r="J13" s="323"/>
      <c r="K13" s="324" t="s">
        <v>2948</v>
      </c>
      <c r="L13" s="322"/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  <c r="AA13" s="322"/>
      <c r="AB13" s="322"/>
      <c r="AC13" s="322"/>
      <c r="AD13" s="322"/>
    </row>
    <row r="14" spans="1:30" ht="15.75" customHeight="1">
      <c r="A14" s="323">
        <v>13</v>
      </c>
      <c r="B14" s="37" t="s">
        <v>1709</v>
      </c>
      <c r="C14" s="323" t="s">
        <v>17</v>
      </c>
      <c r="D14" s="323" t="s">
        <v>2946</v>
      </c>
      <c r="E14" s="323" t="s">
        <v>100</v>
      </c>
      <c r="F14" s="323">
        <v>35</v>
      </c>
      <c r="G14" s="323">
        <v>6000</v>
      </c>
      <c r="H14" s="323" t="s">
        <v>108</v>
      </c>
      <c r="I14" s="323" t="s">
        <v>2949</v>
      </c>
      <c r="J14" s="323"/>
      <c r="K14" s="324" t="s">
        <v>2950</v>
      </c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  <c r="AA14" s="322"/>
      <c r="AB14" s="322"/>
      <c r="AC14" s="322"/>
      <c r="AD14" s="322"/>
    </row>
    <row r="15" spans="1:30" ht="15.75" customHeight="1">
      <c r="A15" s="323">
        <v>14</v>
      </c>
      <c r="B15" s="37" t="s">
        <v>1709</v>
      </c>
      <c r="C15" s="323" t="s">
        <v>17</v>
      </c>
      <c r="D15" s="323" t="s">
        <v>2946</v>
      </c>
      <c r="E15" s="323" t="s">
        <v>100</v>
      </c>
      <c r="F15" s="323">
        <v>35</v>
      </c>
      <c r="G15" s="323">
        <v>6000</v>
      </c>
      <c r="H15" s="323" t="s">
        <v>108</v>
      </c>
      <c r="I15" s="323" t="s">
        <v>2951</v>
      </c>
      <c r="J15" s="323"/>
      <c r="K15" s="324" t="s">
        <v>2952</v>
      </c>
      <c r="L15" s="322"/>
      <c r="M15" s="322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  <c r="AA15" s="322"/>
      <c r="AB15" s="322"/>
      <c r="AC15" s="322"/>
      <c r="AD15" s="322"/>
    </row>
    <row r="16" spans="1:30" ht="27" customHeight="1">
      <c r="A16" s="323">
        <v>15</v>
      </c>
      <c r="B16" s="27" t="s">
        <v>1100</v>
      </c>
      <c r="C16" s="27" t="s">
        <v>24</v>
      </c>
      <c r="D16" s="43" t="s">
        <v>2938</v>
      </c>
      <c r="E16" s="43" t="s">
        <v>47</v>
      </c>
      <c r="F16" s="43">
        <v>600</v>
      </c>
      <c r="G16" s="27">
        <v>40000</v>
      </c>
      <c r="H16" s="27" t="s">
        <v>2953</v>
      </c>
      <c r="I16" s="43" t="s">
        <v>2939</v>
      </c>
      <c r="J16" s="23" t="s">
        <v>2954</v>
      </c>
      <c r="K16" s="47" t="s">
        <v>2955</v>
      </c>
      <c r="L16" s="50" t="s">
        <v>2956</v>
      </c>
      <c r="M16" s="22" t="s">
        <v>2957</v>
      </c>
      <c r="N16" s="23" t="s">
        <v>124</v>
      </c>
      <c r="O16" s="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  <c r="AA16" s="322"/>
      <c r="AB16" s="322"/>
      <c r="AC16" s="322"/>
      <c r="AD16" s="322"/>
    </row>
    <row r="17" spans="1:30" ht="15.75" customHeight="1">
      <c r="A17" s="336">
        <v>16</v>
      </c>
      <c r="B17" s="27" t="s">
        <v>282</v>
      </c>
      <c r="C17" s="27" t="s">
        <v>24</v>
      </c>
      <c r="D17" s="27" t="s">
        <v>2958</v>
      </c>
      <c r="E17" s="27" t="s">
        <v>100</v>
      </c>
      <c r="F17" s="27">
        <v>15</v>
      </c>
      <c r="G17" s="27">
        <v>8000</v>
      </c>
      <c r="H17" s="27">
        <v>0</v>
      </c>
      <c r="I17" s="27" t="s">
        <v>2959</v>
      </c>
      <c r="J17" s="341">
        <v>45778</v>
      </c>
      <c r="K17" s="46" t="s">
        <v>2960</v>
      </c>
      <c r="L17" s="27"/>
      <c r="M17" s="27"/>
      <c r="N17" s="27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322"/>
      <c r="AD17" s="322"/>
    </row>
    <row r="18" spans="1:30" ht="22.5" customHeight="1">
      <c r="A18" s="243">
        <v>17</v>
      </c>
      <c r="B18" s="323" t="s">
        <v>1731</v>
      </c>
      <c r="C18" s="323" t="s">
        <v>17</v>
      </c>
      <c r="D18" s="323" t="s">
        <v>2946</v>
      </c>
      <c r="E18" s="323" t="s">
        <v>100</v>
      </c>
      <c r="F18" s="323" t="s">
        <v>2961</v>
      </c>
      <c r="G18" s="323">
        <v>15000</v>
      </c>
      <c r="H18" s="323" t="s">
        <v>108</v>
      </c>
      <c r="I18" s="27" t="s">
        <v>2962</v>
      </c>
      <c r="J18" s="342">
        <v>45717</v>
      </c>
      <c r="K18" s="343" t="s">
        <v>2963</v>
      </c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  <c r="AB18" s="322"/>
      <c r="AC18" s="322"/>
      <c r="AD18" s="322"/>
    </row>
    <row r="19" spans="1:30" ht="24.75" customHeight="1">
      <c r="A19" s="323">
        <v>18</v>
      </c>
      <c r="B19" s="323" t="s">
        <v>1731</v>
      </c>
      <c r="C19" s="323" t="s">
        <v>17</v>
      </c>
      <c r="D19" s="323" t="s">
        <v>2946</v>
      </c>
      <c r="E19" s="323" t="s">
        <v>100</v>
      </c>
      <c r="F19" s="323" t="s">
        <v>2961</v>
      </c>
      <c r="G19" s="323">
        <v>10000</v>
      </c>
      <c r="H19" s="323" t="s">
        <v>108</v>
      </c>
      <c r="I19" s="27" t="s">
        <v>2964</v>
      </c>
      <c r="J19" s="342">
        <v>45748</v>
      </c>
      <c r="K19" s="343" t="s">
        <v>2965</v>
      </c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322"/>
      <c r="AB19" s="322"/>
      <c r="AC19" s="322"/>
      <c r="AD19" s="322"/>
    </row>
    <row r="20" spans="1:30" ht="15.75" customHeight="1">
      <c r="A20" s="323">
        <v>19</v>
      </c>
      <c r="B20" s="344" t="s">
        <v>951</v>
      </c>
      <c r="C20" s="323" t="s">
        <v>17</v>
      </c>
      <c r="D20" s="323" t="s">
        <v>2946</v>
      </c>
      <c r="E20" s="323" t="s">
        <v>100</v>
      </c>
      <c r="F20" s="323" t="s">
        <v>2817</v>
      </c>
      <c r="G20" s="323">
        <v>15000</v>
      </c>
      <c r="H20" s="323" t="s">
        <v>322</v>
      </c>
      <c r="I20" s="323" t="s">
        <v>2966</v>
      </c>
      <c r="J20" s="23" t="s">
        <v>2967</v>
      </c>
      <c r="K20" s="288" t="s">
        <v>2968</v>
      </c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  <c r="AA20" s="322"/>
      <c r="AB20" s="322"/>
      <c r="AC20" s="322"/>
      <c r="AD20" s="322"/>
    </row>
    <row r="21" spans="1:30" ht="15.75" customHeight="1">
      <c r="A21" s="323">
        <v>20</v>
      </c>
      <c r="B21" s="41" t="s">
        <v>2820</v>
      </c>
      <c r="C21" s="323" t="s">
        <v>17</v>
      </c>
      <c r="D21" s="323" t="s">
        <v>2946</v>
      </c>
      <c r="E21" s="323" t="s">
        <v>100</v>
      </c>
      <c r="F21" s="323" t="s">
        <v>2817</v>
      </c>
      <c r="G21" s="323">
        <v>15000</v>
      </c>
      <c r="H21" s="323" t="s">
        <v>322</v>
      </c>
      <c r="I21" s="323" t="s">
        <v>2966</v>
      </c>
      <c r="J21" s="23" t="s">
        <v>2967</v>
      </c>
      <c r="K21" s="345" t="s">
        <v>2969</v>
      </c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322"/>
      <c r="AD21" s="322"/>
    </row>
    <row r="22" spans="1:30" ht="28.5" customHeight="1">
      <c r="A22" s="323">
        <v>21</v>
      </c>
      <c r="B22" s="323" t="s">
        <v>2970</v>
      </c>
      <c r="C22" s="323" t="s">
        <v>17</v>
      </c>
      <c r="D22" s="323" t="s">
        <v>2946</v>
      </c>
      <c r="E22" s="323">
        <v>500</v>
      </c>
      <c r="F22" s="323">
        <v>44</v>
      </c>
      <c r="G22" s="323">
        <v>22000</v>
      </c>
      <c r="H22" s="323" t="s">
        <v>322</v>
      </c>
      <c r="I22" s="323" t="s">
        <v>2751</v>
      </c>
      <c r="J22" s="326">
        <v>45689</v>
      </c>
      <c r="K22" s="288" t="s">
        <v>2971</v>
      </c>
      <c r="L22" s="322"/>
      <c r="M22" s="322"/>
      <c r="N22" s="322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322"/>
      <c r="AD22" s="322"/>
    </row>
    <row r="23" spans="1:30" ht="15.75" customHeight="1">
      <c r="A23" s="323">
        <v>22</v>
      </c>
      <c r="B23" s="323" t="s">
        <v>961</v>
      </c>
      <c r="C23" s="323" t="s">
        <v>17</v>
      </c>
      <c r="D23" s="323" t="s">
        <v>2946</v>
      </c>
      <c r="E23" s="323">
        <v>1000</v>
      </c>
      <c r="F23" s="323">
        <v>11</v>
      </c>
      <c r="G23" s="323">
        <v>11000</v>
      </c>
      <c r="H23" s="323" t="s">
        <v>322</v>
      </c>
      <c r="I23" s="323" t="s">
        <v>2966</v>
      </c>
      <c r="J23" s="323" t="s">
        <v>2679</v>
      </c>
      <c r="K23" s="288" t="s">
        <v>2972</v>
      </c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  <c r="AA23" s="322"/>
      <c r="AB23" s="322"/>
      <c r="AC23" s="322"/>
      <c r="AD23" s="322"/>
    </row>
    <row r="24" spans="1:30" ht="15.75" customHeight="1">
      <c r="A24" s="323">
        <v>23</v>
      </c>
      <c r="B24" s="346" t="s">
        <v>1069</v>
      </c>
      <c r="C24" s="323" t="s">
        <v>18</v>
      </c>
      <c r="D24" s="323" t="s">
        <v>2973</v>
      </c>
      <c r="E24" s="323" t="s">
        <v>100</v>
      </c>
      <c r="F24" s="323" t="s">
        <v>100</v>
      </c>
      <c r="G24" s="60">
        <v>10000</v>
      </c>
      <c r="H24" s="323" t="s">
        <v>322</v>
      </c>
      <c r="I24" s="323" t="s">
        <v>2974</v>
      </c>
      <c r="J24" s="347">
        <v>45809</v>
      </c>
      <c r="K24" s="348" t="s">
        <v>2975</v>
      </c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  <c r="AB24" s="322"/>
      <c r="AC24" s="322"/>
      <c r="AD24" s="322"/>
    </row>
    <row r="25" spans="1:30" ht="30.75" customHeight="1">
      <c r="A25" s="323">
        <v>24</v>
      </c>
      <c r="B25" s="196" t="s">
        <v>2976</v>
      </c>
      <c r="C25" s="77" t="s">
        <v>16</v>
      </c>
      <c r="D25" s="196" t="s">
        <v>2977</v>
      </c>
      <c r="E25" s="77">
        <v>1000</v>
      </c>
      <c r="F25" s="210">
        <v>28</v>
      </c>
      <c r="G25" s="210">
        <v>28000</v>
      </c>
      <c r="H25" s="323" t="s">
        <v>322</v>
      </c>
      <c r="I25" s="196" t="s">
        <v>2978</v>
      </c>
      <c r="J25" s="196" t="s">
        <v>2979</v>
      </c>
      <c r="K25" s="349" t="s">
        <v>2980</v>
      </c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</row>
    <row r="26" spans="1:30" ht="39.75" customHeight="1">
      <c r="A26" s="323">
        <v>25</v>
      </c>
      <c r="B26" s="196" t="s">
        <v>2976</v>
      </c>
      <c r="C26" s="77" t="s">
        <v>16</v>
      </c>
      <c r="D26" s="196" t="s">
        <v>2977</v>
      </c>
      <c r="E26" s="77" t="s">
        <v>100</v>
      </c>
      <c r="F26" s="210" t="s">
        <v>100</v>
      </c>
      <c r="G26" s="210">
        <v>63000</v>
      </c>
      <c r="H26" s="323" t="s">
        <v>322</v>
      </c>
      <c r="I26" s="196" t="s">
        <v>2981</v>
      </c>
      <c r="J26" s="350">
        <v>45809</v>
      </c>
      <c r="K26" s="349" t="s">
        <v>2982</v>
      </c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</row>
    <row r="27" spans="1:30" ht="15.75" customHeight="1">
      <c r="A27" s="323">
        <v>26</v>
      </c>
      <c r="B27" s="351" t="s">
        <v>258</v>
      </c>
      <c r="C27" s="22" t="s">
        <v>21</v>
      </c>
      <c r="D27" s="352" t="s">
        <v>2983</v>
      </c>
      <c r="E27" s="22">
        <v>200</v>
      </c>
      <c r="F27" s="353">
        <v>22</v>
      </c>
      <c r="G27" s="352">
        <v>4400</v>
      </c>
      <c r="H27" s="323" t="s">
        <v>322</v>
      </c>
      <c r="I27" s="354" t="s">
        <v>2984</v>
      </c>
      <c r="J27" s="354" t="s">
        <v>2985</v>
      </c>
      <c r="K27" s="355" t="s">
        <v>2986</v>
      </c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2"/>
    </row>
    <row r="28" spans="1:30" ht="15.75" customHeight="1">
      <c r="A28" s="323">
        <v>27</v>
      </c>
      <c r="B28" s="351" t="s">
        <v>1637</v>
      </c>
      <c r="C28" s="323" t="s">
        <v>1289</v>
      </c>
      <c r="D28" s="204" t="s">
        <v>2886</v>
      </c>
      <c r="E28" s="27" t="s">
        <v>100</v>
      </c>
      <c r="F28" s="323" t="s">
        <v>100</v>
      </c>
      <c r="G28" s="352">
        <v>3000</v>
      </c>
      <c r="H28" s="323" t="s">
        <v>322</v>
      </c>
      <c r="I28" s="354" t="s">
        <v>2987</v>
      </c>
      <c r="J28" s="356" t="s">
        <v>1964</v>
      </c>
      <c r="K28" s="357" t="s">
        <v>2988</v>
      </c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</row>
    <row r="29" spans="1:30" ht="15.75" customHeight="1">
      <c r="A29" s="323">
        <v>28</v>
      </c>
      <c r="B29" s="28" t="s">
        <v>2989</v>
      </c>
      <c r="C29" s="323" t="s">
        <v>1289</v>
      </c>
      <c r="D29" s="204" t="s">
        <v>2886</v>
      </c>
      <c r="E29" s="27" t="s">
        <v>100</v>
      </c>
      <c r="F29" s="323" t="s">
        <v>100</v>
      </c>
      <c r="G29" s="358">
        <v>15000</v>
      </c>
      <c r="H29" s="323" t="s">
        <v>322</v>
      </c>
      <c r="I29" s="354" t="s">
        <v>2987</v>
      </c>
      <c r="J29" s="356" t="s">
        <v>1964</v>
      </c>
      <c r="K29" s="53" t="s">
        <v>2990</v>
      </c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</row>
    <row r="30" spans="1:30" ht="15.75" customHeight="1">
      <c r="A30" s="323">
        <v>29</v>
      </c>
      <c r="B30" s="28" t="s">
        <v>2991</v>
      </c>
      <c r="C30" s="323" t="s">
        <v>1289</v>
      </c>
      <c r="D30" s="358" t="s">
        <v>2992</v>
      </c>
      <c r="E30" s="27" t="s">
        <v>100</v>
      </c>
      <c r="F30" s="323" t="s">
        <v>100</v>
      </c>
      <c r="G30" s="359">
        <v>124500</v>
      </c>
      <c r="H30" s="323" t="s">
        <v>322</v>
      </c>
      <c r="I30" s="358" t="s">
        <v>2993</v>
      </c>
      <c r="J30" s="356" t="s">
        <v>1964</v>
      </c>
      <c r="K30" s="360" t="s">
        <v>2994</v>
      </c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2"/>
      <c r="AD30" s="322"/>
    </row>
    <row r="31" spans="1:30" ht="15.75" customHeight="1">
      <c r="A31" s="323">
        <v>30</v>
      </c>
      <c r="B31" s="361" t="s">
        <v>623</v>
      </c>
      <c r="C31" s="361" t="s">
        <v>17</v>
      </c>
      <c r="D31" s="323" t="s">
        <v>2946</v>
      </c>
      <c r="E31" s="361" t="s">
        <v>2995</v>
      </c>
      <c r="F31" s="323">
        <v>33</v>
      </c>
      <c r="G31" s="361">
        <v>33000</v>
      </c>
      <c r="H31" s="361" t="s">
        <v>322</v>
      </c>
      <c r="I31" s="323" t="s">
        <v>2996</v>
      </c>
      <c r="J31" s="323" t="s">
        <v>2679</v>
      </c>
      <c r="K31" s="345" t="s">
        <v>2997</v>
      </c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  <c r="AC31" s="322"/>
      <c r="AD31" s="322"/>
    </row>
    <row r="32" spans="1:30" ht="44.25" customHeight="1">
      <c r="A32" s="323">
        <v>31</v>
      </c>
      <c r="B32" s="361" t="s">
        <v>623</v>
      </c>
      <c r="C32" s="361" t="s">
        <v>17</v>
      </c>
      <c r="D32" s="323" t="s">
        <v>2946</v>
      </c>
      <c r="E32" s="361" t="s">
        <v>2995</v>
      </c>
      <c r="F32" s="323">
        <v>30</v>
      </c>
      <c r="G32" s="361">
        <v>30000</v>
      </c>
      <c r="H32" s="361" t="s">
        <v>322</v>
      </c>
      <c r="I32" s="323" t="s">
        <v>2996</v>
      </c>
      <c r="J32" s="323" t="s">
        <v>2679</v>
      </c>
      <c r="K32" s="345" t="s">
        <v>2998</v>
      </c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  <c r="AB32" s="322"/>
      <c r="AC32" s="322"/>
      <c r="AD32" s="322"/>
    </row>
    <row r="33" spans="1:30" ht="38.25" customHeight="1">
      <c r="A33" s="323">
        <v>32</v>
      </c>
      <c r="B33" s="27" t="s">
        <v>1138</v>
      </c>
      <c r="C33" s="27" t="s">
        <v>24</v>
      </c>
      <c r="D33" s="43" t="s">
        <v>2920</v>
      </c>
      <c r="E33" s="27" t="s">
        <v>100</v>
      </c>
      <c r="F33" s="27" t="s">
        <v>100</v>
      </c>
      <c r="G33" s="27">
        <v>26500</v>
      </c>
      <c r="H33" s="27" t="s">
        <v>108</v>
      </c>
      <c r="I33" s="43" t="s">
        <v>2999</v>
      </c>
      <c r="J33" s="341">
        <v>45778</v>
      </c>
      <c r="K33" s="47" t="s">
        <v>3000</v>
      </c>
      <c r="L33" s="44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  <c r="AA33" s="322"/>
      <c r="AB33" s="322"/>
      <c r="AC33" s="322"/>
      <c r="AD33" s="322"/>
    </row>
    <row r="34" spans="1:30" ht="15.75" customHeight="1">
      <c r="A34" s="323">
        <v>33</v>
      </c>
      <c r="B34" s="362" t="s">
        <v>767</v>
      </c>
      <c r="C34" s="362" t="s">
        <v>15</v>
      </c>
      <c r="D34" s="362" t="s">
        <v>3001</v>
      </c>
      <c r="E34" s="362" t="s">
        <v>100</v>
      </c>
      <c r="F34" s="362" t="s">
        <v>100</v>
      </c>
      <c r="G34" s="363">
        <v>2000</v>
      </c>
      <c r="H34" s="362" t="s">
        <v>322</v>
      </c>
      <c r="I34" s="362" t="s">
        <v>3002</v>
      </c>
      <c r="J34" s="362" t="s">
        <v>3003</v>
      </c>
      <c r="K34" s="364" t="s">
        <v>3004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</row>
    <row r="35" spans="1:30" ht="40.5" customHeight="1">
      <c r="A35" s="323">
        <v>34</v>
      </c>
      <c r="B35" s="241" t="s">
        <v>3005</v>
      </c>
      <c r="C35" s="241" t="s">
        <v>15</v>
      </c>
      <c r="D35" s="241" t="s">
        <v>3006</v>
      </c>
      <c r="E35" s="241">
        <v>300</v>
      </c>
      <c r="F35" s="241">
        <v>197</v>
      </c>
      <c r="G35" s="241">
        <v>59000</v>
      </c>
      <c r="H35" s="241" t="s">
        <v>108</v>
      </c>
      <c r="I35" s="243" t="s">
        <v>3007</v>
      </c>
      <c r="J35" s="241" t="s">
        <v>3008</v>
      </c>
      <c r="K35" s="365" t="s">
        <v>3009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</row>
    <row r="36" spans="1:30" ht="15.75" customHeight="1">
      <c r="A36" s="323">
        <v>35</v>
      </c>
      <c r="B36" s="241" t="s">
        <v>3010</v>
      </c>
      <c r="C36" s="241" t="s">
        <v>15</v>
      </c>
      <c r="D36" s="241" t="s">
        <v>3011</v>
      </c>
      <c r="E36" s="241" t="s">
        <v>100</v>
      </c>
      <c r="F36" s="241" t="s">
        <v>100</v>
      </c>
      <c r="G36" s="366">
        <v>33000</v>
      </c>
      <c r="H36" s="241" t="s">
        <v>322</v>
      </c>
      <c r="I36" s="243" t="s">
        <v>3012</v>
      </c>
      <c r="J36" s="367">
        <v>45809</v>
      </c>
      <c r="K36" s="365" t="s">
        <v>3013</v>
      </c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</row>
    <row r="37" spans="1:30" ht="15.75" customHeight="1">
      <c r="A37" s="323">
        <v>36</v>
      </c>
      <c r="B37" s="241" t="s">
        <v>1160</v>
      </c>
      <c r="C37" s="241" t="s">
        <v>15</v>
      </c>
      <c r="D37" s="241" t="s">
        <v>3011</v>
      </c>
      <c r="E37" s="241" t="s">
        <v>100</v>
      </c>
      <c r="F37" s="241" t="s">
        <v>100</v>
      </c>
      <c r="G37" s="241">
        <v>1500</v>
      </c>
      <c r="H37" s="241" t="s">
        <v>322</v>
      </c>
      <c r="I37" s="243" t="s">
        <v>3014</v>
      </c>
      <c r="J37" s="367">
        <v>45809</v>
      </c>
      <c r="K37" s="365" t="s">
        <v>3015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</row>
    <row r="38" spans="1:30" ht="15.75" customHeight="1">
      <c r="A38" s="323">
        <v>37</v>
      </c>
      <c r="B38" s="241" t="s">
        <v>2109</v>
      </c>
      <c r="C38" s="241" t="s">
        <v>15</v>
      </c>
      <c r="D38" s="243" t="s">
        <v>3016</v>
      </c>
      <c r="E38" s="241" t="s">
        <v>100</v>
      </c>
      <c r="F38" s="241" t="s">
        <v>100</v>
      </c>
      <c r="G38" s="241">
        <v>10000</v>
      </c>
      <c r="H38" s="241" t="s">
        <v>108</v>
      </c>
      <c r="I38" s="241" t="s">
        <v>3017</v>
      </c>
      <c r="J38" s="367">
        <v>45717</v>
      </c>
      <c r="K38" s="368" t="s">
        <v>3018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</row>
    <row r="39" spans="1:30" ht="15.75" customHeight="1">
      <c r="A39" s="323">
        <v>38</v>
      </c>
      <c r="B39" s="241" t="s">
        <v>1189</v>
      </c>
      <c r="C39" s="241" t="s">
        <v>15</v>
      </c>
      <c r="D39" s="241" t="s">
        <v>3011</v>
      </c>
      <c r="E39" s="241" t="s">
        <v>100</v>
      </c>
      <c r="F39" s="241" t="s">
        <v>100</v>
      </c>
      <c r="G39" s="241">
        <v>1500</v>
      </c>
      <c r="H39" s="241" t="s">
        <v>322</v>
      </c>
      <c r="I39" s="243" t="s">
        <v>3014</v>
      </c>
      <c r="J39" s="367">
        <v>45809</v>
      </c>
      <c r="K39" s="365" t="s">
        <v>3019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</row>
    <row r="40" spans="1:30" ht="15.75" customHeight="1">
      <c r="A40" s="323">
        <v>39</v>
      </c>
      <c r="B40" s="241" t="s">
        <v>1194</v>
      </c>
      <c r="C40" s="241" t="s">
        <v>15</v>
      </c>
      <c r="D40" s="241" t="s">
        <v>3020</v>
      </c>
      <c r="E40" s="241" t="s">
        <v>100</v>
      </c>
      <c r="F40" s="241" t="s">
        <v>100</v>
      </c>
      <c r="G40" s="241">
        <v>11000</v>
      </c>
      <c r="H40" s="241" t="s">
        <v>322</v>
      </c>
      <c r="I40" s="243" t="s">
        <v>3021</v>
      </c>
      <c r="J40" s="367">
        <v>45809</v>
      </c>
      <c r="K40" s="369" t="s">
        <v>3022</v>
      </c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 spans="1:30" ht="15.75" customHeight="1">
      <c r="A41" s="323">
        <v>40</v>
      </c>
      <c r="B41" s="241" t="s">
        <v>1176</v>
      </c>
      <c r="C41" s="241" t="s">
        <v>15</v>
      </c>
      <c r="D41" s="241" t="s">
        <v>3011</v>
      </c>
      <c r="E41" s="241" t="s">
        <v>100</v>
      </c>
      <c r="F41" s="241" t="s">
        <v>100</v>
      </c>
      <c r="G41" s="241">
        <v>37500</v>
      </c>
      <c r="H41" s="241" t="s">
        <v>322</v>
      </c>
      <c r="I41" s="79" t="s">
        <v>3023</v>
      </c>
      <c r="J41" s="367">
        <v>45809</v>
      </c>
      <c r="K41" s="365" t="s">
        <v>3024</v>
      </c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 spans="1:30" ht="15.75" customHeight="1">
      <c r="A42" s="323">
        <v>41</v>
      </c>
      <c r="B42" s="241" t="s">
        <v>1597</v>
      </c>
      <c r="C42" s="241" t="s">
        <v>15</v>
      </c>
      <c r="D42" s="241" t="s">
        <v>3025</v>
      </c>
      <c r="E42" s="243" t="s">
        <v>2890</v>
      </c>
      <c r="F42" s="241">
        <v>5</v>
      </c>
      <c r="G42" s="241">
        <v>2100</v>
      </c>
      <c r="H42" s="241" t="s">
        <v>322</v>
      </c>
      <c r="I42" s="370" t="s">
        <v>3026</v>
      </c>
      <c r="J42" s="367">
        <v>45809</v>
      </c>
      <c r="K42" s="365" t="s">
        <v>3027</v>
      </c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 spans="1:30" ht="15.75" customHeight="1">
      <c r="A43" s="323">
        <v>42</v>
      </c>
      <c r="B43" s="241" t="s">
        <v>1194</v>
      </c>
      <c r="C43" s="241" t="s">
        <v>15</v>
      </c>
      <c r="D43" s="241" t="s">
        <v>3020</v>
      </c>
      <c r="E43" s="241" t="s">
        <v>100</v>
      </c>
      <c r="F43" s="242"/>
      <c r="G43" s="241">
        <v>14000</v>
      </c>
      <c r="H43" s="241" t="s">
        <v>322</v>
      </c>
      <c r="I43" s="241" t="s">
        <v>3021</v>
      </c>
      <c r="J43" s="367">
        <v>45809</v>
      </c>
      <c r="K43" s="369" t="s">
        <v>3028</v>
      </c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</row>
    <row r="44" spans="1:30" ht="15.75" customHeight="1">
      <c r="A44" s="323">
        <v>43</v>
      </c>
      <c r="B44" s="241" t="s">
        <v>1268</v>
      </c>
      <c r="C44" s="241" t="s">
        <v>15</v>
      </c>
      <c r="D44" s="241" t="s">
        <v>2936</v>
      </c>
      <c r="E44" s="241" t="s">
        <v>100</v>
      </c>
      <c r="F44" s="241">
        <v>62</v>
      </c>
      <c r="G44" s="241">
        <v>12201</v>
      </c>
      <c r="H44" s="241" t="s">
        <v>322</v>
      </c>
      <c r="I44" s="241" t="s">
        <v>3029</v>
      </c>
      <c r="J44" s="367">
        <v>45717</v>
      </c>
      <c r="K44" s="368" t="s">
        <v>3030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</row>
    <row r="45" spans="1:30" ht="15.75" customHeight="1">
      <c r="A45" s="323">
        <v>44</v>
      </c>
      <c r="B45" s="241" t="s">
        <v>1268</v>
      </c>
      <c r="C45" s="241" t="s">
        <v>15</v>
      </c>
      <c r="D45" s="241" t="s">
        <v>2936</v>
      </c>
      <c r="E45" s="241" t="s">
        <v>100</v>
      </c>
      <c r="F45" s="241" t="s">
        <v>100</v>
      </c>
      <c r="G45" s="241">
        <v>3120</v>
      </c>
      <c r="H45" s="241" t="s">
        <v>322</v>
      </c>
      <c r="I45" s="241" t="s">
        <v>3031</v>
      </c>
      <c r="J45" s="367">
        <v>45809</v>
      </c>
      <c r="K45" s="368" t="s">
        <v>3032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</row>
    <row r="46" spans="1:30" ht="15.75" customHeight="1">
      <c r="A46" s="241">
        <v>45</v>
      </c>
      <c r="B46" s="241" t="s">
        <v>556</v>
      </c>
      <c r="C46" s="241" t="s">
        <v>15</v>
      </c>
      <c r="D46" s="241" t="s">
        <v>3011</v>
      </c>
      <c r="E46" s="241" t="s">
        <v>100</v>
      </c>
      <c r="F46" s="241" t="s">
        <v>100</v>
      </c>
      <c r="G46" s="241">
        <v>1500</v>
      </c>
      <c r="H46" s="241" t="s">
        <v>322</v>
      </c>
      <c r="I46" s="243" t="s">
        <v>3014</v>
      </c>
      <c r="J46" s="367">
        <v>45809</v>
      </c>
      <c r="K46" s="368" t="s">
        <v>3033</v>
      </c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</row>
    <row r="47" spans="1:30" ht="15.75" customHeight="1">
      <c r="A47" s="361"/>
      <c r="B47" s="361"/>
      <c r="C47" s="361"/>
      <c r="D47" s="361"/>
      <c r="E47" s="361"/>
      <c r="F47" s="361"/>
      <c r="G47" s="371">
        <f>SUM(G2:G46)</f>
        <v>874371</v>
      </c>
      <c r="H47" s="361"/>
      <c r="I47" s="361"/>
      <c r="J47" s="361"/>
      <c r="K47" s="37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322"/>
      <c r="AD47" s="322"/>
    </row>
    <row r="48" spans="1:30" ht="15.75" customHeight="1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7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2"/>
    </row>
    <row r="49" spans="1:30" ht="15.75" customHeight="1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7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  <c r="AA49" s="322"/>
      <c r="AB49" s="322"/>
      <c r="AC49" s="322"/>
      <c r="AD49" s="322"/>
    </row>
    <row r="50" spans="1:30" ht="15.75" customHeight="1">
      <c r="A50" s="361"/>
      <c r="B50" s="361"/>
      <c r="C50" s="361"/>
      <c r="D50" s="361"/>
      <c r="E50" s="361"/>
      <c r="F50" s="361"/>
      <c r="G50" s="361"/>
      <c r="H50" s="361"/>
      <c r="I50" s="361"/>
      <c r="J50" s="361"/>
      <c r="K50" s="37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/>
      <c r="AD50" s="322"/>
    </row>
    <row r="51" spans="1:30" ht="15.75" customHeight="1">
      <c r="A51" s="361"/>
      <c r="B51" s="361"/>
      <c r="C51" s="361"/>
      <c r="D51" s="361"/>
      <c r="E51" s="361"/>
      <c r="F51" s="361"/>
      <c r="G51" s="361"/>
      <c r="H51" s="361"/>
      <c r="I51" s="361"/>
      <c r="J51" s="361"/>
      <c r="K51" s="37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/>
      <c r="AD51" s="322"/>
    </row>
    <row r="52" spans="1:30" ht="15.75" customHeight="1">
      <c r="A52" s="361"/>
      <c r="B52" s="361"/>
      <c r="C52" s="361"/>
      <c r="D52" s="361"/>
      <c r="E52" s="361"/>
      <c r="F52" s="361"/>
      <c r="G52" s="361"/>
      <c r="H52" s="361"/>
      <c r="I52" s="361"/>
      <c r="J52" s="361"/>
      <c r="K52" s="37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322"/>
      <c r="AD52" s="322"/>
    </row>
    <row r="53" spans="1:30" ht="15.75" customHeight="1">
      <c r="A53" s="361"/>
      <c r="B53" s="361"/>
      <c r="C53" s="361"/>
      <c r="D53" s="361"/>
      <c r="E53" s="361"/>
      <c r="F53" s="361"/>
      <c r="G53" s="361"/>
      <c r="H53" s="361"/>
      <c r="I53" s="361"/>
      <c r="J53" s="361"/>
      <c r="K53" s="37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</row>
    <row r="54" spans="1:30" ht="15.75" customHeight="1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7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2"/>
    </row>
    <row r="55" spans="1:30" ht="15.75" customHeight="1">
      <c r="A55" s="361"/>
      <c r="B55" s="361"/>
      <c r="C55" s="361"/>
      <c r="D55" s="361"/>
      <c r="E55" s="361"/>
      <c r="F55" s="361"/>
      <c r="G55" s="361"/>
      <c r="H55" s="361"/>
      <c r="I55" s="361"/>
      <c r="J55" s="361"/>
      <c r="K55" s="37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</row>
    <row r="56" spans="1:30" ht="15.75" customHeight="1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7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2"/>
      <c r="AB56" s="322"/>
      <c r="AC56" s="322"/>
      <c r="AD56" s="322"/>
    </row>
    <row r="57" spans="1:30" ht="15.75" customHeight="1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7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</row>
    <row r="58" spans="1:30" ht="15.75" customHeight="1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7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322"/>
      <c r="AD58" s="322"/>
    </row>
    <row r="59" spans="1:30" ht="15.75" customHeight="1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7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322"/>
      <c r="AD59" s="322"/>
    </row>
    <row r="60" spans="1:30" ht="15.75" customHeight="1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7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322"/>
      <c r="AD60" s="322"/>
    </row>
    <row r="61" spans="1:30" ht="15.75" customHeight="1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7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322"/>
      <c r="AD61" s="322"/>
    </row>
    <row r="62" spans="1:30" ht="15.75" customHeight="1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7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  <c r="AC62" s="322"/>
      <c r="AD62" s="322"/>
    </row>
    <row r="63" spans="1:30" ht="15.75" customHeight="1">
      <c r="A63" s="361"/>
      <c r="B63" s="361"/>
      <c r="C63" s="361"/>
      <c r="D63" s="361"/>
      <c r="E63" s="361"/>
      <c r="F63" s="361"/>
      <c r="G63" s="361"/>
      <c r="H63" s="361"/>
      <c r="I63" s="361"/>
      <c r="J63" s="361"/>
      <c r="K63" s="37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  <c r="AA63" s="322"/>
      <c r="AB63" s="322"/>
      <c r="AC63" s="322"/>
      <c r="AD63" s="322"/>
    </row>
    <row r="64" spans="1:30" ht="15.75" customHeight="1">
      <c r="A64" s="361"/>
      <c r="B64" s="361"/>
      <c r="C64" s="361"/>
      <c r="D64" s="361"/>
      <c r="E64" s="361"/>
      <c r="F64" s="361"/>
      <c r="G64" s="361"/>
      <c r="H64" s="361"/>
      <c r="I64" s="361"/>
      <c r="J64" s="361"/>
      <c r="K64" s="37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  <c r="AA64" s="322"/>
      <c r="AB64" s="322"/>
      <c r="AC64" s="322"/>
      <c r="AD64" s="322"/>
    </row>
    <row r="65" spans="1:30" ht="15.75" customHeight="1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7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  <c r="AA65" s="322"/>
      <c r="AB65" s="322"/>
      <c r="AC65" s="322"/>
      <c r="AD65" s="322"/>
    </row>
    <row r="66" spans="1:30" ht="15.75" customHeight="1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7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  <c r="AA66" s="322"/>
      <c r="AB66" s="322"/>
      <c r="AC66" s="322"/>
      <c r="AD66" s="322"/>
    </row>
    <row r="67" spans="1:30" ht="15.75" customHeight="1">
      <c r="A67" s="361"/>
      <c r="B67" s="361"/>
      <c r="C67" s="361"/>
      <c r="D67" s="361"/>
      <c r="E67" s="361"/>
      <c r="F67" s="361"/>
      <c r="G67" s="361"/>
      <c r="H67" s="361"/>
      <c r="I67" s="361"/>
      <c r="J67" s="361"/>
      <c r="K67" s="37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  <c r="AA67" s="322"/>
      <c r="AB67" s="322"/>
      <c r="AC67" s="322"/>
      <c r="AD67" s="322"/>
    </row>
    <row r="68" spans="1:30" ht="15.75" customHeight="1">
      <c r="A68" s="361"/>
      <c r="B68" s="361"/>
      <c r="C68" s="361"/>
      <c r="D68" s="361"/>
      <c r="E68" s="361"/>
      <c r="F68" s="361"/>
      <c r="G68" s="361"/>
      <c r="H68" s="361"/>
      <c r="I68" s="361"/>
      <c r="J68" s="361"/>
      <c r="K68" s="37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  <c r="AA68" s="322"/>
      <c r="AB68" s="322"/>
      <c r="AC68" s="322"/>
      <c r="AD68" s="322"/>
    </row>
    <row r="69" spans="1:30" ht="15.75" customHeight="1">
      <c r="A69" s="361"/>
      <c r="B69" s="361"/>
      <c r="C69" s="361"/>
      <c r="D69" s="361"/>
      <c r="E69" s="361"/>
      <c r="F69" s="361"/>
      <c r="G69" s="361"/>
      <c r="H69" s="361"/>
      <c r="I69" s="361"/>
      <c r="J69" s="361"/>
      <c r="K69" s="37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  <c r="AA69" s="322"/>
      <c r="AB69" s="322"/>
      <c r="AC69" s="322"/>
      <c r="AD69" s="322"/>
    </row>
    <row r="70" spans="1:30" ht="15.75" customHeight="1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7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  <c r="AA70" s="322"/>
      <c r="AB70" s="322"/>
      <c r="AC70" s="322"/>
      <c r="AD70" s="322"/>
    </row>
    <row r="71" spans="1:30" ht="15.75" customHeight="1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7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  <c r="AB71" s="322"/>
      <c r="AC71" s="322"/>
      <c r="AD71" s="322"/>
    </row>
    <row r="72" spans="1:30" ht="15.75" customHeight="1">
      <c r="A72" s="361"/>
      <c r="B72" s="361"/>
      <c r="C72" s="361"/>
      <c r="D72" s="361"/>
      <c r="E72" s="361"/>
      <c r="F72" s="361"/>
      <c r="G72" s="361"/>
      <c r="H72" s="361"/>
      <c r="I72" s="361"/>
      <c r="J72" s="361"/>
      <c r="K72" s="37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  <c r="AA72" s="322"/>
      <c r="AB72" s="322"/>
      <c r="AC72" s="322"/>
      <c r="AD72" s="322"/>
    </row>
    <row r="73" spans="1:30" ht="15.75" customHeight="1">
      <c r="A73" s="361"/>
      <c r="B73" s="361"/>
      <c r="C73" s="361"/>
      <c r="D73" s="361"/>
      <c r="E73" s="361"/>
      <c r="F73" s="361"/>
      <c r="G73" s="361"/>
      <c r="H73" s="361"/>
      <c r="I73" s="361"/>
      <c r="J73" s="361"/>
      <c r="K73" s="372"/>
      <c r="L73" s="322"/>
      <c r="M73" s="322"/>
      <c r="N73" s="322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  <c r="AA73" s="322"/>
      <c r="AB73" s="322"/>
      <c r="AC73" s="322"/>
      <c r="AD73" s="322"/>
    </row>
    <row r="74" spans="1:30" ht="15.75" customHeight="1">
      <c r="A74" s="361"/>
      <c r="B74" s="361"/>
      <c r="C74" s="361"/>
      <c r="D74" s="361"/>
      <c r="E74" s="361"/>
      <c r="F74" s="361"/>
      <c r="G74" s="361"/>
      <c r="H74" s="361"/>
      <c r="I74" s="361"/>
      <c r="J74" s="361"/>
      <c r="K74" s="37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322"/>
      <c r="AB74" s="322"/>
      <c r="AC74" s="322"/>
      <c r="AD74" s="322"/>
    </row>
    <row r="75" spans="1:30" ht="15.75" customHeight="1">
      <c r="A75" s="361"/>
      <c r="B75" s="361"/>
      <c r="C75" s="361"/>
      <c r="D75" s="361"/>
      <c r="E75" s="361"/>
      <c r="F75" s="361"/>
      <c r="G75" s="361"/>
      <c r="H75" s="361"/>
      <c r="I75" s="361"/>
      <c r="J75" s="361"/>
      <c r="K75" s="37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  <c r="AA75" s="322"/>
      <c r="AB75" s="322"/>
      <c r="AC75" s="322"/>
      <c r="AD75" s="322"/>
    </row>
    <row r="76" spans="1:30" ht="15.75" customHeight="1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7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  <c r="AA76" s="322"/>
      <c r="AB76" s="322"/>
      <c r="AC76" s="322"/>
      <c r="AD76" s="322"/>
    </row>
    <row r="77" spans="1:30" ht="15.75" customHeight="1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7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  <c r="AA77" s="322"/>
      <c r="AB77" s="322"/>
      <c r="AC77" s="322"/>
      <c r="AD77" s="322"/>
    </row>
    <row r="78" spans="1:30" ht="15.75" customHeight="1">
      <c r="A78" s="361"/>
      <c r="B78" s="361"/>
      <c r="C78" s="361"/>
      <c r="D78" s="361"/>
      <c r="E78" s="361"/>
      <c r="F78" s="361"/>
      <c r="G78" s="361"/>
      <c r="H78" s="361"/>
      <c r="I78" s="361"/>
      <c r="J78" s="361"/>
      <c r="K78" s="37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  <c r="AA78" s="322"/>
      <c r="AB78" s="322"/>
      <c r="AC78" s="322"/>
      <c r="AD78" s="322"/>
    </row>
    <row r="79" spans="1:30" ht="15.75" customHeight="1">
      <c r="A79" s="361"/>
      <c r="B79" s="361"/>
      <c r="C79" s="361"/>
      <c r="D79" s="361"/>
      <c r="E79" s="361"/>
      <c r="F79" s="361"/>
      <c r="G79" s="361"/>
      <c r="H79" s="361"/>
      <c r="I79" s="361"/>
      <c r="J79" s="361"/>
      <c r="K79" s="37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  <c r="AA79" s="322"/>
      <c r="AB79" s="322"/>
      <c r="AC79" s="322"/>
      <c r="AD79" s="322"/>
    </row>
    <row r="80" spans="1:30" ht="15.75" customHeight="1">
      <c r="A80" s="361"/>
      <c r="B80" s="361"/>
      <c r="C80" s="361"/>
      <c r="D80" s="361"/>
      <c r="E80" s="361"/>
      <c r="F80" s="361"/>
      <c r="G80" s="361"/>
      <c r="H80" s="361"/>
      <c r="I80" s="361"/>
      <c r="J80" s="361"/>
      <c r="K80" s="37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322"/>
      <c r="AB80" s="322"/>
      <c r="AC80" s="322"/>
      <c r="AD80" s="322"/>
    </row>
    <row r="81" spans="1:30" ht="15.75" customHeight="1">
      <c r="A81" s="361"/>
      <c r="B81" s="361"/>
      <c r="C81" s="361"/>
      <c r="D81" s="361"/>
      <c r="E81" s="361"/>
      <c r="F81" s="361"/>
      <c r="G81" s="361"/>
      <c r="H81" s="361"/>
      <c r="I81" s="361"/>
      <c r="J81" s="361"/>
      <c r="K81" s="37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  <c r="AA81" s="322"/>
      <c r="AB81" s="322"/>
      <c r="AC81" s="322"/>
      <c r="AD81" s="322"/>
    </row>
    <row r="82" spans="1:30" ht="15.75" customHeight="1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7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  <c r="AA82" s="322"/>
      <c r="AB82" s="322"/>
      <c r="AC82" s="322"/>
      <c r="AD82" s="322"/>
    </row>
    <row r="83" spans="1:30" ht="15.75" customHeight="1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7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  <c r="AA83" s="322"/>
      <c r="AB83" s="322"/>
      <c r="AC83" s="322"/>
      <c r="AD83" s="322"/>
    </row>
    <row r="84" spans="1:30" ht="15.75" customHeight="1">
      <c r="A84" s="361"/>
      <c r="B84" s="361"/>
      <c r="C84" s="361"/>
      <c r="D84" s="361"/>
      <c r="E84" s="361"/>
      <c r="F84" s="361"/>
      <c r="G84" s="361"/>
      <c r="H84" s="361"/>
      <c r="I84" s="361"/>
      <c r="J84" s="361"/>
      <c r="K84" s="37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  <c r="AA84" s="322"/>
      <c r="AB84" s="322"/>
      <c r="AC84" s="322"/>
      <c r="AD84" s="322"/>
    </row>
    <row r="85" spans="1:30" ht="15.75" customHeight="1">
      <c r="A85" s="361"/>
      <c r="B85" s="361"/>
      <c r="C85" s="361"/>
      <c r="D85" s="361"/>
      <c r="E85" s="361"/>
      <c r="F85" s="361"/>
      <c r="G85" s="361"/>
      <c r="H85" s="361"/>
      <c r="I85" s="361"/>
      <c r="J85" s="361"/>
      <c r="K85" s="37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322"/>
      <c r="AB85" s="322"/>
      <c r="AC85" s="322"/>
      <c r="AD85" s="322"/>
    </row>
    <row r="86" spans="1:30" ht="15.75" customHeight="1">
      <c r="A86" s="361"/>
      <c r="B86" s="361"/>
      <c r="C86" s="361"/>
      <c r="D86" s="361"/>
      <c r="E86" s="361"/>
      <c r="F86" s="361"/>
      <c r="G86" s="361"/>
      <c r="H86" s="361"/>
      <c r="I86" s="361"/>
      <c r="J86" s="361"/>
      <c r="K86" s="37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  <c r="AA86" s="322"/>
      <c r="AB86" s="322"/>
      <c r="AC86" s="322"/>
      <c r="AD86" s="322"/>
    </row>
    <row r="87" spans="1:30" ht="15.75" customHeight="1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7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  <c r="AB87" s="322"/>
      <c r="AC87" s="322"/>
      <c r="AD87" s="322"/>
    </row>
    <row r="88" spans="1:30" ht="15.75" customHeight="1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7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  <c r="AA88" s="322"/>
      <c r="AB88" s="322"/>
      <c r="AC88" s="322"/>
      <c r="AD88" s="322"/>
    </row>
    <row r="89" spans="1:30" ht="15.75" customHeight="1">
      <c r="A89" s="361"/>
      <c r="B89" s="361"/>
      <c r="C89" s="361"/>
      <c r="D89" s="361"/>
      <c r="E89" s="361"/>
      <c r="F89" s="361"/>
      <c r="G89" s="361"/>
      <c r="H89" s="361"/>
      <c r="I89" s="361"/>
      <c r="J89" s="361"/>
      <c r="K89" s="37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  <c r="AA89" s="322"/>
      <c r="AB89" s="322"/>
      <c r="AC89" s="322"/>
      <c r="AD89" s="322"/>
    </row>
    <row r="90" spans="1:30" ht="15.75" customHeight="1">
      <c r="A90" s="361"/>
      <c r="B90" s="361"/>
      <c r="C90" s="361"/>
      <c r="D90" s="361"/>
      <c r="E90" s="361"/>
      <c r="F90" s="361"/>
      <c r="G90" s="361"/>
      <c r="H90" s="361"/>
      <c r="I90" s="361"/>
      <c r="J90" s="361"/>
      <c r="K90" s="37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  <c r="AA90" s="322"/>
      <c r="AB90" s="322"/>
      <c r="AC90" s="322"/>
      <c r="AD90" s="322"/>
    </row>
    <row r="91" spans="1:30" ht="15.75" customHeight="1">
      <c r="A91" s="361"/>
      <c r="B91" s="361"/>
      <c r="C91" s="361"/>
      <c r="D91" s="361"/>
      <c r="E91" s="361"/>
      <c r="F91" s="361"/>
      <c r="G91" s="361"/>
      <c r="H91" s="361"/>
      <c r="I91" s="361"/>
      <c r="J91" s="361"/>
      <c r="K91" s="37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322"/>
      <c r="AB91" s="322"/>
      <c r="AC91" s="322"/>
      <c r="AD91" s="322"/>
    </row>
    <row r="92" spans="1:30" ht="15.75" customHeight="1">
      <c r="A92" s="361"/>
      <c r="B92" s="361"/>
      <c r="C92" s="361"/>
      <c r="D92" s="361"/>
      <c r="E92" s="361"/>
      <c r="F92" s="361"/>
      <c r="G92" s="361"/>
      <c r="H92" s="361"/>
      <c r="I92" s="361"/>
      <c r="J92" s="361"/>
      <c r="K92" s="37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  <c r="AA92" s="322"/>
      <c r="AB92" s="322"/>
      <c r="AC92" s="322"/>
      <c r="AD92" s="322"/>
    </row>
    <row r="93" spans="1:30" ht="15.75" customHeight="1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7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  <c r="AA93" s="322"/>
      <c r="AB93" s="322"/>
      <c r="AC93" s="322"/>
      <c r="AD93" s="322"/>
    </row>
    <row r="94" spans="1:30" ht="15.75" customHeight="1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7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  <c r="AA94" s="322"/>
      <c r="AB94" s="322"/>
      <c r="AC94" s="322"/>
      <c r="AD94" s="322"/>
    </row>
    <row r="95" spans="1:30" ht="15.75" customHeight="1">
      <c r="A95" s="361"/>
      <c r="B95" s="361"/>
      <c r="C95" s="361"/>
      <c r="D95" s="361"/>
      <c r="E95" s="361"/>
      <c r="F95" s="361"/>
      <c r="G95" s="361"/>
      <c r="H95" s="361"/>
      <c r="I95" s="361"/>
      <c r="J95" s="361"/>
      <c r="K95" s="37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  <c r="AA95" s="322"/>
      <c r="AB95" s="322"/>
      <c r="AC95" s="322"/>
      <c r="AD95" s="322"/>
    </row>
    <row r="96" spans="1:30" ht="15.75" customHeight="1">
      <c r="A96" s="361"/>
      <c r="B96" s="361"/>
      <c r="C96" s="361"/>
      <c r="D96" s="361"/>
      <c r="E96" s="361"/>
      <c r="F96" s="361"/>
      <c r="G96" s="361"/>
      <c r="H96" s="361"/>
      <c r="I96" s="361"/>
      <c r="J96" s="361"/>
      <c r="K96" s="37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  <c r="AA96" s="322"/>
      <c r="AB96" s="322"/>
      <c r="AC96" s="322"/>
      <c r="AD96" s="322"/>
    </row>
    <row r="97" spans="1:30" ht="15.75" customHeight="1">
      <c r="A97" s="361"/>
      <c r="B97" s="361"/>
      <c r="C97" s="361"/>
      <c r="D97" s="361"/>
      <c r="E97" s="361"/>
      <c r="F97" s="361"/>
      <c r="G97" s="361"/>
      <c r="H97" s="361"/>
      <c r="I97" s="361"/>
      <c r="J97" s="361"/>
      <c r="K97" s="37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  <c r="AA97" s="322"/>
      <c r="AB97" s="322"/>
      <c r="AC97" s="322"/>
      <c r="AD97" s="322"/>
    </row>
    <row r="98" spans="1:30" ht="15.75" customHeight="1">
      <c r="A98" s="361"/>
      <c r="B98" s="361"/>
      <c r="C98" s="361"/>
      <c r="D98" s="361"/>
      <c r="E98" s="361"/>
      <c r="F98" s="361"/>
      <c r="G98" s="361"/>
      <c r="H98" s="361"/>
      <c r="I98" s="361"/>
      <c r="J98" s="361"/>
      <c r="K98" s="37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  <c r="AA98" s="322"/>
      <c r="AB98" s="322"/>
      <c r="AC98" s="322"/>
      <c r="AD98" s="322"/>
    </row>
    <row r="99" spans="1:30" ht="15.75" customHeight="1">
      <c r="A99" s="361"/>
      <c r="B99" s="361"/>
      <c r="C99" s="361"/>
      <c r="D99" s="361"/>
      <c r="E99" s="361"/>
      <c r="F99" s="361"/>
      <c r="G99" s="361"/>
      <c r="H99" s="361"/>
      <c r="I99" s="361"/>
      <c r="J99" s="361"/>
      <c r="K99" s="37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  <c r="AA99" s="322"/>
      <c r="AB99" s="322"/>
      <c r="AC99" s="322"/>
      <c r="AD99" s="322"/>
    </row>
    <row r="100" spans="1:30" ht="15.75" customHeight="1">
      <c r="A100" s="361"/>
      <c r="B100" s="361"/>
      <c r="C100" s="361"/>
      <c r="D100" s="361"/>
      <c r="E100" s="361"/>
      <c r="F100" s="361"/>
      <c r="G100" s="361"/>
      <c r="H100" s="361"/>
      <c r="I100" s="361"/>
      <c r="J100" s="361"/>
      <c r="K100" s="37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  <c r="AA100" s="322"/>
      <c r="AB100" s="322"/>
      <c r="AC100" s="322"/>
      <c r="AD100" s="322"/>
    </row>
    <row r="101" spans="1:30" ht="15.75" customHeight="1">
      <c r="A101" s="361"/>
      <c r="B101" s="361"/>
      <c r="C101" s="361"/>
      <c r="D101" s="361"/>
      <c r="E101" s="361"/>
      <c r="F101" s="361"/>
      <c r="G101" s="361"/>
      <c r="H101" s="361"/>
      <c r="I101" s="361"/>
      <c r="J101" s="361"/>
      <c r="K101" s="37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</row>
    <row r="102" spans="1:30" ht="15.75" customHeight="1">
      <c r="A102" s="361"/>
      <c r="B102" s="361"/>
      <c r="C102" s="361"/>
      <c r="D102" s="361"/>
      <c r="E102" s="361"/>
      <c r="F102" s="361"/>
      <c r="G102" s="361"/>
      <c r="H102" s="361"/>
      <c r="I102" s="361"/>
      <c r="J102" s="361"/>
      <c r="K102" s="37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  <c r="AA102" s="322"/>
      <c r="AB102" s="322"/>
      <c r="AC102" s="322"/>
      <c r="AD102" s="322"/>
    </row>
    <row r="103" spans="1:30" ht="15.75" customHeight="1">
      <c r="A103" s="361"/>
      <c r="B103" s="361"/>
      <c r="C103" s="361"/>
      <c r="D103" s="361"/>
      <c r="E103" s="361"/>
      <c r="F103" s="361"/>
      <c r="G103" s="361"/>
      <c r="H103" s="361"/>
      <c r="I103" s="361"/>
      <c r="J103" s="361"/>
      <c r="K103" s="37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  <c r="AA103" s="322"/>
      <c r="AB103" s="322"/>
      <c r="AC103" s="322"/>
      <c r="AD103" s="322"/>
    </row>
    <row r="104" spans="1:30" ht="15.75" customHeight="1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7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  <c r="AA104" s="322"/>
      <c r="AB104" s="322"/>
      <c r="AC104" s="322"/>
      <c r="AD104" s="322"/>
    </row>
    <row r="105" spans="1:30" ht="15.75" customHeight="1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7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  <c r="AB105" s="322"/>
      <c r="AC105" s="322"/>
      <c r="AD105" s="322"/>
    </row>
    <row r="106" spans="1:30" ht="15.75" customHeight="1">
      <c r="A106" s="361"/>
      <c r="B106" s="361"/>
      <c r="C106" s="361"/>
      <c r="D106" s="361"/>
      <c r="E106" s="361"/>
      <c r="F106" s="361"/>
      <c r="G106" s="361"/>
      <c r="H106" s="361"/>
      <c r="I106" s="361"/>
      <c r="J106" s="361"/>
      <c r="K106" s="37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322"/>
      <c r="AD106" s="322"/>
    </row>
    <row r="107" spans="1:30" ht="15.75" customHeight="1">
      <c r="A107" s="361"/>
      <c r="B107" s="361"/>
      <c r="C107" s="361"/>
      <c r="D107" s="361"/>
      <c r="E107" s="361"/>
      <c r="F107" s="361"/>
      <c r="G107" s="361"/>
      <c r="H107" s="361"/>
      <c r="I107" s="361"/>
      <c r="J107" s="361"/>
      <c r="K107" s="37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322"/>
      <c r="AD107" s="322"/>
    </row>
    <row r="108" spans="1:30" ht="15.75" customHeight="1">
      <c r="A108" s="361"/>
      <c r="B108" s="361"/>
      <c r="C108" s="361"/>
      <c r="D108" s="361"/>
      <c r="E108" s="361"/>
      <c r="F108" s="361"/>
      <c r="G108" s="361"/>
      <c r="H108" s="361"/>
      <c r="I108" s="361"/>
      <c r="J108" s="361"/>
      <c r="K108" s="37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322"/>
      <c r="AD108" s="322"/>
    </row>
    <row r="109" spans="1:30" ht="15.75" customHeight="1">
      <c r="A109" s="361"/>
      <c r="B109" s="361"/>
      <c r="C109" s="361"/>
      <c r="D109" s="361"/>
      <c r="E109" s="361"/>
      <c r="F109" s="361"/>
      <c r="G109" s="361"/>
      <c r="H109" s="361"/>
      <c r="I109" s="361"/>
      <c r="J109" s="361"/>
      <c r="K109" s="37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  <c r="AB109" s="322"/>
      <c r="AC109" s="322"/>
      <c r="AD109" s="322"/>
    </row>
    <row r="110" spans="1:30" ht="15.75" customHeight="1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7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  <c r="AA110" s="322"/>
      <c r="AB110" s="322"/>
      <c r="AC110" s="322"/>
      <c r="AD110" s="322"/>
    </row>
    <row r="111" spans="1:30" ht="15.75" customHeight="1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7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  <c r="AA111" s="322"/>
      <c r="AB111" s="322"/>
      <c r="AC111" s="322"/>
      <c r="AD111" s="322"/>
    </row>
    <row r="112" spans="1:30" ht="15.75" customHeight="1">
      <c r="A112" s="361"/>
      <c r="B112" s="361"/>
      <c r="C112" s="361"/>
      <c r="D112" s="361"/>
      <c r="E112" s="361"/>
      <c r="F112" s="361"/>
      <c r="G112" s="361"/>
      <c r="H112" s="361"/>
      <c r="I112" s="361"/>
      <c r="J112" s="361"/>
      <c r="K112" s="37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22"/>
      <c r="AB112" s="322"/>
      <c r="AC112" s="322"/>
      <c r="AD112" s="322"/>
    </row>
    <row r="113" spans="1:30" ht="15.75" customHeight="1">
      <c r="A113" s="361"/>
      <c r="B113" s="361"/>
      <c r="C113" s="361"/>
      <c r="D113" s="361"/>
      <c r="E113" s="361"/>
      <c r="F113" s="361"/>
      <c r="G113" s="361"/>
      <c r="H113" s="361"/>
      <c r="I113" s="361"/>
      <c r="J113" s="361"/>
      <c r="K113" s="37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  <c r="AA113" s="322"/>
      <c r="AB113" s="322"/>
      <c r="AC113" s="322"/>
      <c r="AD113" s="322"/>
    </row>
    <row r="114" spans="1:30" ht="15.75" customHeight="1">
      <c r="A114" s="361"/>
      <c r="B114" s="361"/>
      <c r="C114" s="361"/>
      <c r="D114" s="361"/>
      <c r="E114" s="361"/>
      <c r="F114" s="361"/>
      <c r="G114" s="361"/>
      <c r="H114" s="361"/>
      <c r="I114" s="361"/>
      <c r="J114" s="361"/>
      <c r="K114" s="37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  <c r="AB114" s="322"/>
      <c r="AC114" s="322"/>
      <c r="AD114" s="322"/>
    </row>
    <row r="115" spans="1:30" ht="15.75" customHeight="1">
      <c r="A115" s="361"/>
      <c r="B115" s="361"/>
      <c r="C115" s="361"/>
      <c r="D115" s="361"/>
      <c r="E115" s="361"/>
      <c r="F115" s="361"/>
      <c r="G115" s="361"/>
      <c r="H115" s="361"/>
      <c r="I115" s="361"/>
      <c r="J115" s="361"/>
      <c r="K115" s="37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  <c r="AB115" s="322"/>
      <c r="AC115" s="322"/>
      <c r="AD115" s="322"/>
    </row>
    <row r="116" spans="1:30" ht="15.75" customHeight="1">
      <c r="A116" s="361"/>
      <c r="B116" s="361"/>
      <c r="C116" s="361"/>
      <c r="D116" s="361"/>
      <c r="E116" s="361"/>
      <c r="F116" s="361"/>
      <c r="G116" s="361"/>
      <c r="H116" s="361"/>
      <c r="I116" s="361"/>
      <c r="J116" s="361"/>
      <c r="K116" s="37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322"/>
      <c r="AD116" s="322"/>
    </row>
    <row r="117" spans="1:30" ht="15.75" customHeight="1">
      <c r="A117" s="361"/>
      <c r="B117" s="361"/>
      <c r="C117" s="361"/>
      <c r="D117" s="361"/>
      <c r="E117" s="361"/>
      <c r="F117" s="361"/>
      <c r="G117" s="361"/>
      <c r="H117" s="361"/>
      <c r="I117" s="361"/>
      <c r="J117" s="361"/>
      <c r="K117" s="37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  <c r="AA117" s="322"/>
      <c r="AB117" s="322"/>
      <c r="AC117" s="322"/>
      <c r="AD117" s="322"/>
    </row>
    <row r="118" spans="1:30" ht="15.75" customHeight="1">
      <c r="A118" s="361"/>
      <c r="B118" s="361"/>
      <c r="C118" s="361"/>
      <c r="D118" s="361"/>
      <c r="E118" s="361"/>
      <c r="F118" s="361"/>
      <c r="G118" s="361"/>
      <c r="H118" s="361"/>
      <c r="I118" s="361"/>
      <c r="J118" s="361"/>
      <c r="K118" s="37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  <c r="AA118" s="322"/>
      <c r="AB118" s="322"/>
      <c r="AC118" s="322"/>
      <c r="AD118" s="322"/>
    </row>
    <row r="119" spans="1:30" ht="15.75" customHeight="1">
      <c r="A119" s="361"/>
      <c r="B119" s="361"/>
      <c r="C119" s="361"/>
      <c r="D119" s="361"/>
      <c r="E119" s="361"/>
      <c r="F119" s="361"/>
      <c r="G119" s="361"/>
      <c r="H119" s="361"/>
      <c r="I119" s="361"/>
      <c r="J119" s="361"/>
      <c r="K119" s="37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  <c r="AB119" s="322"/>
      <c r="AC119" s="322"/>
      <c r="AD119" s="322"/>
    </row>
    <row r="120" spans="1:30" ht="15.75" customHeight="1">
      <c r="A120" s="361"/>
      <c r="B120" s="361"/>
      <c r="C120" s="361"/>
      <c r="D120" s="361"/>
      <c r="E120" s="361"/>
      <c r="F120" s="361"/>
      <c r="G120" s="361"/>
      <c r="H120" s="361"/>
      <c r="I120" s="361"/>
      <c r="J120" s="361"/>
      <c r="K120" s="37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322"/>
      <c r="AD120" s="322"/>
    </row>
    <row r="121" spans="1:30" ht="15.75" customHeight="1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7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  <c r="AB121" s="322"/>
      <c r="AC121" s="322"/>
      <c r="AD121" s="322"/>
    </row>
    <row r="122" spans="1:30" ht="15.75" customHeight="1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7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  <c r="AB122" s="322"/>
      <c r="AC122" s="322"/>
      <c r="AD122" s="322"/>
    </row>
    <row r="123" spans="1:30" ht="15.75" customHeight="1">
      <c r="A123" s="361"/>
      <c r="B123" s="361"/>
      <c r="C123" s="361"/>
      <c r="D123" s="361"/>
      <c r="E123" s="361"/>
      <c r="F123" s="361"/>
      <c r="G123" s="361"/>
      <c r="H123" s="361"/>
      <c r="I123" s="361"/>
      <c r="J123" s="361"/>
      <c r="K123" s="37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  <c r="AA123" s="322"/>
      <c r="AB123" s="322"/>
      <c r="AC123" s="322"/>
      <c r="AD123" s="322"/>
    </row>
    <row r="124" spans="1:30" ht="15.75" customHeight="1">
      <c r="A124" s="361"/>
      <c r="B124" s="361"/>
      <c r="C124" s="361"/>
      <c r="D124" s="361"/>
      <c r="E124" s="361"/>
      <c r="F124" s="361"/>
      <c r="G124" s="361"/>
      <c r="H124" s="361"/>
      <c r="I124" s="361"/>
      <c r="J124" s="361"/>
      <c r="K124" s="37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  <c r="AA124" s="322"/>
      <c r="AB124" s="322"/>
      <c r="AC124" s="322"/>
      <c r="AD124" s="322"/>
    </row>
    <row r="125" spans="1:30" ht="15.75" customHeight="1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7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  <c r="AA125" s="322"/>
      <c r="AB125" s="322"/>
      <c r="AC125" s="322"/>
      <c r="AD125" s="322"/>
    </row>
    <row r="126" spans="1:30" ht="15.75" customHeight="1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7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322"/>
      <c r="AB126" s="322"/>
      <c r="AC126" s="322"/>
      <c r="AD126" s="322"/>
    </row>
    <row r="127" spans="1:30" ht="15.75" customHeight="1">
      <c r="A127" s="361"/>
      <c r="B127" s="361"/>
      <c r="C127" s="361"/>
      <c r="D127" s="361"/>
      <c r="E127" s="361"/>
      <c r="F127" s="361"/>
      <c r="G127" s="361"/>
      <c r="H127" s="361"/>
      <c r="I127" s="361"/>
      <c r="J127" s="361"/>
      <c r="K127" s="37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  <c r="AB127" s="322"/>
      <c r="AC127" s="322"/>
      <c r="AD127" s="322"/>
    </row>
    <row r="128" spans="1:30" ht="15.75" customHeight="1">
      <c r="A128" s="361"/>
      <c r="B128" s="361"/>
      <c r="C128" s="361"/>
      <c r="D128" s="361"/>
      <c r="E128" s="361"/>
      <c r="F128" s="361"/>
      <c r="G128" s="361"/>
      <c r="H128" s="361"/>
      <c r="I128" s="361"/>
      <c r="J128" s="361"/>
      <c r="K128" s="37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  <c r="AB128" s="322"/>
      <c r="AC128" s="322"/>
      <c r="AD128" s="322"/>
    </row>
    <row r="129" spans="1:30" ht="15.75" customHeight="1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7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322"/>
      <c r="AD129" s="322"/>
    </row>
    <row r="130" spans="1:30" ht="15.75" customHeight="1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7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  <c r="AA130" s="322"/>
      <c r="AB130" s="322"/>
      <c r="AC130" s="322"/>
      <c r="AD130" s="322"/>
    </row>
    <row r="131" spans="1:30" ht="15.75" customHeight="1">
      <c r="A131" s="361"/>
      <c r="B131" s="361"/>
      <c r="C131" s="361"/>
      <c r="D131" s="361"/>
      <c r="E131" s="361"/>
      <c r="F131" s="361"/>
      <c r="G131" s="361"/>
      <c r="H131" s="361"/>
      <c r="I131" s="361"/>
      <c r="J131" s="361"/>
      <c r="K131" s="37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  <c r="AA131" s="322"/>
      <c r="AB131" s="322"/>
      <c r="AC131" s="322"/>
      <c r="AD131" s="322"/>
    </row>
    <row r="132" spans="1:30" ht="15.75" customHeight="1">
      <c r="A132" s="361"/>
      <c r="B132" s="361"/>
      <c r="C132" s="361"/>
      <c r="D132" s="361"/>
      <c r="E132" s="361"/>
      <c r="F132" s="361"/>
      <c r="G132" s="361"/>
      <c r="H132" s="361"/>
      <c r="I132" s="361"/>
      <c r="J132" s="361"/>
      <c r="K132" s="37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  <c r="AA132" s="322"/>
      <c r="AB132" s="322"/>
      <c r="AC132" s="322"/>
      <c r="AD132" s="322"/>
    </row>
    <row r="133" spans="1:30" ht="15.75" customHeight="1">
      <c r="A133" s="361"/>
      <c r="B133" s="361"/>
      <c r="C133" s="361"/>
      <c r="D133" s="361"/>
      <c r="E133" s="361"/>
      <c r="F133" s="361"/>
      <c r="G133" s="361"/>
      <c r="H133" s="361"/>
      <c r="I133" s="361"/>
      <c r="J133" s="361"/>
      <c r="K133" s="37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  <c r="AA133" s="322"/>
      <c r="AB133" s="322"/>
      <c r="AC133" s="322"/>
      <c r="AD133" s="322"/>
    </row>
    <row r="134" spans="1:30" ht="15.75" customHeight="1">
      <c r="A134" s="361"/>
      <c r="B134" s="361"/>
      <c r="C134" s="361"/>
      <c r="D134" s="361"/>
      <c r="E134" s="361"/>
      <c r="F134" s="361"/>
      <c r="G134" s="361"/>
      <c r="H134" s="361"/>
      <c r="I134" s="361"/>
      <c r="J134" s="361"/>
      <c r="K134" s="37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  <c r="AB134" s="322"/>
      <c r="AC134" s="322"/>
      <c r="AD134" s="322"/>
    </row>
    <row r="135" spans="1:30" ht="15.75" customHeight="1">
      <c r="A135" s="361"/>
      <c r="B135" s="361"/>
      <c r="C135" s="361"/>
      <c r="D135" s="361"/>
      <c r="E135" s="361"/>
      <c r="F135" s="361"/>
      <c r="G135" s="361"/>
      <c r="H135" s="361"/>
      <c r="I135" s="361"/>
      <c r="J135" s="361"/>
      <c r="K135" s="37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  <c r="AB135" s="322"/>
      <c r="AC135" s="322"/>
      <c r="AD135" s="322"/>
    </row>
    <row r="136" spans="1:30" ht="15.75" customHeight="1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7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322"/>
      <c r="AD136" s="322"/>
    </row>
    <row r="137" spans="1:30" ht="15.75" customHeight="1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7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  <c r="AB137" s="322"/>
      <c r="AC137" s="322"/>
      <c r="AD137" s="322"/>
    </row>
    <row r="138" spans="1:30" ht="15.75" customHeight="1">
      <c r="A138" s="361"/>
      <c r="B138" s="361"/>
      <c r="C138" s="361"/>
      <c r="D138" s="361"/>
      <c r="E138" s="361"/>
      <c r="F138" s="361"/>
      <c r="G138" s="361"/>
      <c r="H138" s="361"/>
      <c r="I138" s="361"/>
      <c r="J138" s="361"/>
      <c r="K138" s="37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  <c r="AB138" s="322"/>
      <c r="AC138" s="322"/>
      <c r="AD138" s="322"/>
    </row>
    <row r="139" spans="1:30" ht="15.75" customHeight="1">
      <c r="A139" s="361"/>
      <c r="B139" s="361"/>
      <c r="C139" s="361"/>
      <c r="D139" s="361"/>
      <c r="E139" s="361"/>
      <c r="F139" s="361"/>
      <c r="G139" s="361"/>
      <c r="H139" s="361"/>
      <c r="I139" s="361"/>
      <c r="J139" s="361"/>
      <c r="K139" s="37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322"/>
      <c r="AD139" s="322"/>
    </row>
    <row r="140" spans="1:30" ht="15.75" customHeight="1">
      <c r="A140" s="361"/>
      <c r="B140" s="361"/>
      <c r="C140" s="361"/>
      <c r="D140" s="361"/>
      <c r="E140" s="361"/>
      <c r="F140" s="361"/>
      <c r="G140" s="361"/>
      <c r="H140" s="361"/>
      <c r="I140" s="361"/>
      <c r="J140" s="361"/>
      <c r="K140" s="37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  <c r="AB140" s="322"/>
      <c r="AC140" s="322"/>
      <c r="AD140" s="322"/>
    </row>
    <row r="141" spans="1:30" ht="15.75" customHeight="1">
      <c r="A141" s="361"/>
      <c r="B141" s="361"/>
      <c r="C141" s="361"/>
      <c r="D141" s="361"/>
      <c r="E141" s="361"/>
      <c r="F141" s="361"/>
      <c r="G141" s="361"/>
      <c r="H141" s="361"/>
      <c r="I141" s="361"/>
      <c r="J141" s="361"/>
      <c r="K141" s="37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322"/>
      <c r="AD141" s="322"/>
    </row>
    <row r="142" spans="1:30" ht="15.75" customHeight="1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7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322"/>
      <c r="AD142" s="322"/>
    </row>
    <row r="143" spans="1:30" ht="15.75" customHeight="1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7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322"/>
      <c r="AD143" s="322"/>
    </row>
    <row r="144" spans="1:30" ht="15.75" customHeight="1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7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322"/>
      <c r="AD144" s="322"/>
    </row>
    <row r="145" spans="1:30" ht="15.75" customHeight="1">
      <c r="A145" s="361"/>
      <c r="B145" s="361"/>
      <c r="C145" s="361"/>
      <c r="D145" s="361"/>
      <c r="E145" s="361"/>
      <c r="F145" s="361"/>
      <c r="G145" s="361"/>
      <c r="H145" s="361"/>
      <c r="I145" s="361"/>
      <c r="J145" s="361"/>
      <c r="K145" s="37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  <c r="AB145" s="322"/>
      <c r="AC145" s="322"/>
      <c r="AD145" s="322"/>
    </row>
    <row r="146" spans="1:30" ht="15.75" customHeight="1">
      <c r="A146" s="361"/>
      <c r="B146" s="361"/>
      <c r="C146" s="361"/>
      <c r="D146" s="361"/>
      <c r="E146" s="361"/>
      <c r="F146" s="361"/>
      <c r="G146" s="361"/>
      <c r="H146" s="361"/>
      <c r="I146" s="361"/>
      <c r="J146" s="361"/>
      <c r="K146" s="37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  <c r="AB146" s="322"/>
      <c r="AC146" s="322"/>
      <c r="AD146" s="322"/>
    </row>
    <row r="147" spans="1:30" ht="15.75" customHeight="1">
      <c r="A147" s="361"/>
      <c r="B147" s="361"/>
      <c r="C147" s="361"/>
      <c r="D147" s="361"/>
      <c r="E147" s="361"/>
      <c r="F147" s="361"/>
      <c r="G147" s="361"/>
      <c r="H147" s="361"/>
      <c r="I147" s="361"/>
      <c r="J147" s="361"/>
      <c r="K147" s="37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  <c r="AB147" s="322"/>
      <c r="AC147" s="322"/>
      <c r="AD147" s="322"/>
    </row>
    <row r="148" spans="1:30" ht="15.75" customHeight="1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7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  <c r="AB148" s="322"/>
      <c r="AC148" s="322"/>
      <c r="AD148" s="322"/>
    </row>
    <row r="149" spans="1:30" ht="15.75" customHeight="1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7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  <c r="AB149" s="322"/>
      <c r="AC149" s="322"/>
      <c r="AD149" s="322"/>
    </row>
    <row r="150" spans="1:30" ht="15.75" customHeight="1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7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  <c r="AB150" s="322"/>
      <c r="AC150" s="322"/>
      <c r="AD150" s="322"/>
    </row>
    <row r="151" spans="1:30" ht="15.75" customHeight="1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7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  <c r="AB151" s="322"/>
      <c r="AC151" s="322"/>
      <c r="AD151" s="322"/>
    </row>
    <row r="152" spans="1:30" ht="15.75" customHeight="1">
      <c r="A152" s="361"/>
      <c r="B152" s="361"/>
      <c r="C152" s="361"/>
      <c r="D152" s="361"/>
      <c r="E152" s="361"/>
      <c r="F152" s="361"/>
      <c r="G152" s="361"/>
      <c r="H152" s="361"/>
      <c r="I152" s="361"/>
      <c r="J152" s="361"/>
      <c r="K152" s="37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  <c r="AB152" s="322"/>
      <c r="AC152" s="322"/>
      <c r="AD152" s="322"/>
    </row>
    <row r="153" spans="1:30" ht="15.75" customHeight="1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7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  <c r="AB153" s="322"/>
      <c r="AC153" s="322"/>
      <c r="AD153" s="322"/>
    </row>
    <row r="154" spans="1:30" ht="15.75" customHeight="1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7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  <c r="AB154" s="322"/>
      <c r="AC154" s="322"/>
      <c r="AD154" s="322"/>
    </row>
    <row r="155" spans="1:30" ht="15.75" customHeight="1">
      <c r="A155" s="361"/>
      <c r="B155" s="361"/>
      <c r="C155" s="361"/>
      <c r="D155" s="361"/>
      <c r="E155" s="361"/>
      <c r="F155" s="361"/>
      <c r="G155" s="361"/>
      <c r="H155" s="361"/>
      <c r="I155" s="361"/>
      <c r="J155" s="361"/>
      <c r="K155" s="37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322"/>
      <c r="AD155" s="322"/>
    </row>
    <row r="156" spans="1:30" ht="15.75" customHeight="1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7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  <c r="AB156" s="322"/>
      <c r="AC156" s="322"/>
      <c r="AD156" s="322"/>
    </row>
    <row r="157" spans="1:30" ht="15.75" customHeight="1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7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  <c r="AB157" s="322"/>
      <c r="AC157" s="322"/>
      <c r="AD157" s="322"/>
    </row>
    <row r="158" spans="1:30" ht="15.75" customHeight="1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7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  <c r="AB158" s="322"/>
      <c r="AC158" s="322"/>
      <c r="AD158" s="322"/>
    </row>
    <row r="159" spans="1:30" ht="15.75" customHeight="1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7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  <c r="AB159" s="322"/>
      <c r="AC159" s="322"/>
      <c r="AD159" s="322"/>
    </row>
    <row r="160" spans="1:30" ht="15.75" customHeight="1">
      <c r="A160" s="361"/>
      <c r="B160" s="361"/>
      <c r="C160" s="361"/>
      <c r="D160" s="361"/>
      <c r="E160" s="361"/>
      <c r="F160" s="361"/>
      <c r="G160" s="361"/>
      <c r="H160" s="361"/>
      <c r="I160" s="361"/>
      <c r="J160" s="361"/>
      <c r="K160" s="37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  <c r="AB160" s="322"/>
      <c r="AC160" s="322"/>
      <c r="AD160" s="322"/>
    </row>
    <row r="161" spans="1:30" ht="15.75" customHeight="1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7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  <c r="AB161" s="322"/>
      <c r="AC161" s="322"/>
      <c r="AD161" s="322"/>
    </row>
    <row r="162" spans="1:30" ht="15.75" customHeight="1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7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322"/>
      <c r="AD162" s="322"/>
    </row>
    <row r="163" spans="1:30" ht="15.75" customHeight="1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7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  <c r="AA163" s="322"/>
      <c r="AB163" s="322"/>
      <c r="AC163" s="322"/>
      <c r="AD163" s="322"/>
    </row>
    <row r="164" spans="1:30" ht="15.75" customHeight="1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7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  <c r="AA164" s="322"/>
      <c r="AB164" s="322"/>
      <c r="AC164" s="322"/>
      <c r="AD164" s="322"/>
    </row>
    <row r="165" spans="1:30" ht="15.75" customHeight="1">
      <c r="A165" s="361"/>
      <c r="B165" s="361"/>
      <c r="C165" s="361"/>
      <c r="D165" s="361"/>
      <c r="E165" s="361"/>
      <c r="F165" s="361"/>
      <c r="G165" s="361"/>
      <c r="H165" s="361"/>
      <c r="I165" s="361"/>
      <c r="J165" s="361"/>
      <c r="K165" s="37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322"/>
      <c r="AB165" s="322"/>
      <c r="AC165" s="322"/>
      <c r="AD165" s="322"/>
    </row>
    <row r="166" spans="1:30" ht="15.75" customHeight="1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7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  <c r="AB166" s="322"/>
      <c r="AC166" s="322"/>
      <c r="AD166" s="322"/>
    </row>
    <row r="167" spans="1:30" ht="15.75" customHeight="1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7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322"/>
      <c r="AD167" s="322"/>
    </row>
    <row r="168" spans="1:30" ht="15.75" customHeight="1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7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  <c r="AB168" s="322"/>
      <c r="AC168" s="322"/>
      <c r="AD168" s="322"/>
    </row>
    <row r="169" spans="1:30" ht="15.75" customHeight="1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7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  <c r="AB169" s="322"/>
      <c r="AC169" s="322"/>
      <c r="AD169" s="322"/>
    </row>
    <row r="170" spans="1:30" ht="15.75" customHeight="1">
      <c r="A170" s="361"/>
      <c r="B170" s="361"/>
      <c r="C170" s="361"/>
      <c r="D170" s="361"/>
      <c r="E170" s="361"/>
      <c r="F170" s="361"/>
      <c r="G170" s="361"/>
      <c r="H170" s="361"/>
      <c r="I170" s="361"/>
      <c r="J170" s="361"/>
      <c r="K170" s="37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  <c r="AB170" s="322"/>
      <c r="AC170" s="322"/>
      <c r="AD170" s="322"/>
    </row>
    <row r="171" spans="1:30" ht="15.75" customHeight="1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7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  <c r="AB171" s="322"/>
      <c r="AC171" s="322"/>
      <c r="AD171" s="322"/>
    </row>
    <row r="172" spans="1:30" ht="15.75" customHeight="1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7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322"/>
      <c r="AD172" s="322"/>
    </row>
    <row r="173" spans="1:30" ht="15.75" customHeight="1">
      <c r="A173" s="361"/>
      <c r="B173" s="361"/>
      <c r="C173" s="361"/>
      <c r="D173" s="361"/>
      <c r="E173" s="361"/>
      <c r="F173" s="361"/>
      <c r="G173" s="361"/>
      <c r="H173" s="361"/>
      <c r="I173" s="361"/>
      <c r="J173" s="361"/>
      <c r="K173" s="37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  <c r="AB173" s="322"/>
      <c r="AC173" s="322"/>
      <c r="AD173" s="322"/>
    </row>
    <row r="174" spans="1:30" ht="15.75" customHeight="1">
      <c r="A174" s="361"/>
      <c r="B174" s="361"/>
      <c r="C174" s="361"/>
      <c r="D174" s="361"/>
      <c r="E174" s="361"/>
      <c r="F174" s="361"/>
      <c r="G174" s="361"/>
      <c r="H174" s="361"/>
      <c r="I174" s="361"/>
      <c r="J174" s="361"/>
      <c r="K174" s="37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  <c r="AB174" s="322"/>
      <c r="AC174" s="322"/>
      <c r="AD174" s="322"/>
    </row>
    <row r="175" spans="1:30" ht="15.75" customHeight="1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7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  <c r="AB175" s="322"/>
      <c r="AC175" s="322"/>
      <c r="AD175" s="322"/>
    </row>
    <row r="176" spans="1:30" ht="15.75" customHeight="1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7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322"/>
      <c r="AB176" s="322"/>
      <c r="AC176" s="322"/>
      <c r="AD176" s="322"/>
    </row>
    <row r="177" spans="1:30" ht="15.75" customHeight="1">
      <c r="A177" s="361"/>
      <c r="B177" s="361"/>
      <c r="C177" s="361"/>
      <c r="D177" s="361"/>
      <c r="E177" s="361"/>
      <c r="F177" s="361"/>
      <c r="G177" s="361"/>
      <c r="H177" s="361"/>
      <c r="I177" s="361"/>
      <c r="J177" s="361"/>
      <c r="K177" s="37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  <c r="AB177" s="322"/>
      <c r="AC177" s="322"/>
      <c r="AD177" s="322"/>
    </row>
    <row r="178" spans="1:30" ht="15.75" customHeight="1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7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  <c r="AB178" s="322"/>
      <c r="AC178" s="322"/>
      <c r="AD178" s="322"/>
    </row>
    <row r="179" spans="1:30" ht="15.75" customHeight="1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7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  <c r="AB179" s="322"/>
      <c r="AC179" s="322"/>
      <c r="AD179" s="322"/>
    </row>
    <row r="180" spans="1:30" ht="15.75" customHeight="1">
      <c r="A180" s="361"/>
      <c r="B180" s="361"/>
      <c r="C180" s="361"/>
      <c r="D180" s="361"/>
      <c r="E180" s="361"/>
      <c r="F180" s="361"/>
      <c r="G180" s="361"/>
      <c r="H180" s="361"/>
      <c r="I180" s="361"/>
      <c r="J180" s="361"/>
      <c r="K180" s="37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322"/>
      <c r="AD180" s="322"/>
    </row>
    <row r="181" spans="1:30" ht="15.75" customHeight="1">
      <c r="A181" s="361"/>
      <c r="B181" s="361"/>
      <c r="C181" s="361"/>
      <c r="D181" s="361"/>
      <c r="E181" s="361"/>
      <c r="F181" s="361"/>
      <c r="G181" s="361"/>
      <c r="H181" s="361"/>
      <c r="I181" s="361"/>
      <c r="J181" s="361"/>
      <c r="K181" s="37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  <c r="AB181" s="322"/>
      <c r="AC181" s="322"/>
      <c r="AD181" s="322"/>
    </row>
    <row r="182" spans="1:30" ht="15.75" customHeight="1">
      <c r="A182" s="361"/>
      <c r="B182" s="361"/>
      <c r="C182" s="361"/>
      <c r="D182" s="361"/>
      <c r="E182" s="361"/>
      <c r="F182" s="361"/>
      <c r="G182" s="361"/>
      <c r="H182" s="361"/>
      <c r="I182" s="361"/>
      <c r="J182" s="361"/>
      <c r="K182" s="37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  <c r="AB182" s="322"/>
      <c r="AC182" s="322"/>
      <c r="AD182" s="322"/>
    </row>
    <row r="183" spans="1:30" ht="15.75" customHeight="1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7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322"/>
      <c r="AD183" s="322"/>
    </row>
    <row r="184" spans="1:30" ht="15.75" customHeight="1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7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  <c r="AB184" s="322"/>
      <c r="AC184" s="322"/>
      <c r="AD184" s="322"/>
    </row>
    <row r="185" spans="1:30" ht="15.75" customHeight="1">
      <c r="A185" s="361"/>
      <c r="B185" s="361"/>
      <c r="C185" s="361"/>
      <c r="D185" s="361"/>
      <c r="E185" s="361"/>
      <c r="F185" s="361"/>
      <c r="G185" s="361"/>
      <c r="H185" s="361"/>
      <c r="I185" s="361"/>
      <c r="J185" s="361"/>
      <c r="K185" s="37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  <c r="AB185" s="322"/>
      <c r="AC185" s="322"/>
      <c r="AD185" s="322"/>
    </row>
    <row r="186" spans="1:30" ht="15.75" customHeight="1">
      <c r="A186" s="361"/>
      <c r="B186" s="361"/>
      <c r="C186" s="361"/>
      <c r="D186" s="361"/>
      <c r="E186" s="361"/>
      <c r="F186" s="361"/>
      <c r="G186" s="361"/>
      <c r="H186" s="361"/>
      <c r="I186" s="361"/>
      <c r="J186" s="361"/>
      <c r="K186" s="37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  <c r="AB186" s="322"/>
      <c r="AC186" s="322"/>
      <c r="AD186" s="322"/>
    </row>
    <row r="187" spans="1:30" ht="15.75" customHeight="1">
      <c r="A187" s="361"/>
      <c r="B187" s="361"/>
      <c r="C187" s="361"/>
      <c r="D187" s="361"/>
      <c r="E187" s="361"/>
      <c r="F187" s="361"/>
      <c r="G187" s="361"/>
      <c r="H187" s="361"/>
      <c r="I187" s="361"/>
      <c r="J187" s="361"/>
      <c r="K187" s="37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  <c r="AB187" s="322"/>
      <c r="AC187" s="322"/>
      <c r="AD187" s="322"/>
    </row>
    <row r="188" spans="1:30" ht="15.75" customHeight="1">
      <c r="A188" s="361"/>
      <c r="B188" s="361"/>
      <c r="C188" s="361"/>
      <c r="D188" s="361"/>
      <c r="E188" s="361"/>
      <c r="F188" s="361"/>
      <c r="G188" s="361"/>
      <c r="H188" s="361"/>
      <c r="I188" s="361"/>
      <c r="J188" s="361"/>
      <c r="K188" s="37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  <c r="AB188" s="322"/>
      <c r="AC188" s="322"/>
      <c r="AD188" s="322"/>
    </row>
    <row r="189" spans="1:30" ht="15.75" customHeight="1">
      <c r="A189" s="361"/>
      <c r="B189" s="361"/>
      <c r="C189" s="361"/>
      <c r="D189" s="361"/>
      <c r="E189" s="361"/>
      <c r="F189" s="361"/>
      <c r="G189" s="361"/>
      <c r="H189" s="361"/>
      <c r="I189" s="361"/>
      <c r="J189" s="361"/>
      <c r="K189" s="37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  <c r="AB189" s="322"/>
      <c r="AC189" s="322"/>
      <c r="AD189" s="322"/>
    </row>
    <row r="190" spans="1:30" ht="15.75" customHeight="1">
      <c r="A190" s="361"/>
      <c r="B190" s="361"/>
      <c r="C190" s="361"/>
      <c r="D190" s="361"/>
      <c r="E190" s="361"/>
      <c r="F190" s="361"/>
      <c r="G190" s="361"/>
      <c r="H190" s="361"/>
      <c r="I190" s="361"/>
      <c r="J190" s="361"/>
      <c r="K190" s="37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  <c r="AB190" s="322"/>
      <c r="AC190" s="322"/>
      <c r="AD190" s="322"/>
    </row>
    <row r="191" spans="1:30" ht="15.75" customHeight="1">
      <c r="A191" s="361"/>
      <c r="B191" s="361"/>
      <c r="C191" s="361"/>
      <c r="D191" s="361"/>
      <c r="E191" s="361"/>
      <c r="F191" s="361"/>
      <c r="G191" s="361"/>
      <c r="H191" s="361"/>
      <c r="I191" s="361"/>
      <c r="J191" s="361"/>
      <c r="K191" s="37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  <c r="AB191" s="322"/>
      <c r="AC191" s="322"/>
      <c r="AD191" s="322"/>
    </row>
    <row r="192" spans="1:30" ht="15.75" customHeight="1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7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322"/>
      <c r="AD192" s="322"/>
    </row>
    <row r="193" spans="1:30" ht="15.75" customHeight="1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7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  <c r="AB193" s="322"/>
      <c r="AC193" s="322"/>
      <c r="AD193" s="322"/>
    </row>
    <row r="194" spans="1:30" ht="15.75" customHeight="1">
      <c r="A194" s="361"/>
      <c r="B194" s="361"/>
      <c r="C194" s="361"/>
      <c r="D194" s="361"/>
      <c r="E194" s="361"/>
      <c r="F194" s="361"/>
      <c r="G194" s="361"/>
      <c r="H194" s="361"/>
      <c r="I194" s="361"/>
      <c r="J194" s="361"/>
      <c r="K194" s="37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  <c r="AA194" s="322"/>
      <c r="AB194" s="322"/>
      <c r="AC194" s="322"/>
      <c r="AD194" s="322"/>
    </row>
    <row r="195" spans="1:30" ht="15.75" customHeight="1">
      <c r="A195" s="361"/>
      <c r="B195" s="361"/>
      <c r="C195" s="361"/>
      <c r="D195" s="361"/>
      <c r="E195" s="361"/>
      <c r="F195" s="361"/>
      <c r="G195" s="361"/>
      <c r="H195" s="361"/>
      <c r="I195" s="361"/>
      <c r="J195" s="361"/>
      <c r="K195" s="37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  <c r="AA195" s="322"/>
      <c r="AB195" s="322"/>
      <c r="AC195" s="322"/>
      <c r="AD195" s="322"/>
    </row>
    <row r="196" spans="1:30" ht="15.75" customHeight="1">
      <c r="A196" s="361"/>
      <c r="B196" s="361"/>
      <c r="C196" s="361"/>
      <c r="D196" s="361"/>
      <c r="E196" s="361"/>
      <c r="F196" s="361"/>
      <c r="G196" s="361"/>
      <c r="H196" s="361"/>
      <c r="I196" s="361"/>
      <c r="J196" s="361"/>
      <c r="K196" s="37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  <c r="AA196" s="322"/>
      <c r="AB196" s="322"/>
      <c r="AC196" s="322"/>
      <c r="AD196" s="322"/>
    </row>
    <row r="197" spans="1:30" ht="15.75" customHeight="1">
      <c r="A197" s="361"/>
      <c r="B197" s="361"/>
      <c r="C197" s="361"/>
      <c r="D197" s="361"/>
      <c r="E197" s="361"/>
      <c r="F197" s="361"/>
      <c r="G197" s="361"/>
      <c r="H197" s="361"/>
      <c r="I197" s="361"/>
      <c r="J197" s="361"/>
      <c r="K197" s="37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322"/>
      <c r="AB197" s="322"/>
      <c r="AC197" s="322"/>
      <c r="AD197" s="322"/>
    </row>
    <row r="198" spans="1:30" ht="15.75" customHeight="1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7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  <c r="AB198" s="322"/>
      <c r="AC198" s="322"/>
      <c r="AD198" s="322"/>
    </row>
    <row r="199" spans="1:30" ht="15.75" customHeight="1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7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  <c r="AB199" s="322"/>
      <c r="AC199" s="322"/>
      <c r="AD199" s="322"/>
    </row>
    <row r="200" spans="1:30" ht="15.75" customHeight="1">
      <c r="A200" s="361"/>
      <c r="B200" s="361"/>
      <c r="C200" s="361"/>
      <c r="D200" s="361"/>
      <c r="E200" s="361"/>
      <c r="F200" s="361"/>
      <c r="G200" s="361"/>
      <c r="H200" s="361"/>
      <c r="I200" s="361"/>
      <c r="J200" s="361"/>
      <c r="K200" s="37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  <c r="AB200" s="322"/>
      <c r="AC200" s="322"/>
      <c r="AD200" s="322"/>
    </row>
    <row r="201" spans="1:30" ht="15.75" customHeight="1">
      <c r="A201" s="361"/>
      <c r="B201" s="361"/>
      <c r="C201" s="361"/>
      <c r="D201" s="361"/>
      <c r="E201" s="361"/>
      <c r="F201" s="361"/>
      <c r="G201" s="361"/>
      <c r="H201" s="361"/>
      <c r="I201" s="361"/>
      <c r="J201" s="361"/>
      <c r="K201" s="37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  <c r="AB201" s="322"/>
      <c r="AC201" s="322"/>
      <c r="AD201" s="322"/>
    </row>
    <row r="202" spans="1:30" ht="15.75" customHeight="1">
      <c r="A202" s="361"/>
      <c r="B202" s="361"/>
      <c r="C202" s="361"/>
      <c r="D202" s="361"/>
      <c r="E202" s="361"/>
      <c r="F202" s="361"/>
      <c r="G202" s="361"/>
      <c r="H202" s="361"/>
      <c r="I202" s="361"/>
      <c r="J202" s="361"/>
      <c r="K202" s="37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  <c r="AB202" s="322"/>
      <c r="AC202" s="322"/>
      <c r="AD202" s="322"/>
    </row>
    <row r="203" spans="1:30" ht="15.75" customHeight="1">
      <c r="A203" s="361"/>
      <c r="B203" s="361"/>
      <c r="C203" s="361"/>
      <c r="D203" s="361"/>
      <c r="E203" s="361"/>
      <c r="F203" s="361"/>
      <c r="G203" s="361"/>
      <c r="H203" s="361"/>
      <c r="I203" s="361"/>
      <c r="J203" s="361"/>
      <c r="K203" s="37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  <c r="AB203" s="322"/>
      <c r="AC203" s="322"/>
      <c r="AD203" s="322"/>
    </row>
    <row r="204" spans="1:30" ht="15.75" customHeight="1">
      <c r="A204" s="361"/>
      <c r="B204" s="361"/>
      <c r="C204" s="361"/>
      <c r="D204" s="361"/>
      <c r="E204" s="361"/>
      <c r="F204" s="361"/>
      <c r="G204" s="361"/>
      <c r="H204" s="361"/>
      <c r="I204" s="361"/>
      <c r="J204" s="361"/>
      <c r="K204" s="37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  <c r="AB204" s="322"/>
      <c r="AC204" s="322"/>
      <c r="AD204" s="322"/>
    </row>
    <row r="205" spans="1:30" ht="15.75" customHeight="1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7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322"/>
      <c r="AD205" s="322"/>
    </row>
    <row r="206" spans="1:30" ht="15.75" customHeight="1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7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  <c r="AB206" s="322"/>
      <c r="AC206" s="322"/>
      <c r="AD206" s="322"/>
    </row>
    <row r="207" spans="1:30" ht="15.75" customHeight="1">
      <c r="A207" s="361"/>
      <c r="B207" s="361"/>
      <c r="C207" s="361"/>
      <c r="D207" s="361"/>
      <c r="E207" s="361"/>
      <c r="F207" s="361"/>
      <c r="G207" s="361"/>
      <c r="H207" s="361"/>
      <c r="I207" s="361"/>
      <c r="J207" s="361"/>
      <c r="K207" s="37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  <c r="AB207" s="322"/>
      <c r="AC207" s="322"/>
      <c r="AD207" s="322"/>
    </row>
    <row r="208" spans="1:30" ht="15.75" customHeight="1">
      <c r="A208" s="361"/>
      <c r="B208" s="361"/>
      <c r="C208" s="361"/>
      <c r="D208" s="361"/>
      <c r="E208" s="361"/>
      <c r="F208" s="361"/>
      <c r="G208" s="361"/>
      <c r="H208" s="361"/>
      <c r="I208" s="361"/>
      <c r="J208" s="361"/>
      <c r="K208" s="37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322"/>
      <c r="AD208" s="322"/>
    </row>
    <row r="209" spans="1:30" ht="15.75" customHeight="1">
      <c r="A209" s="361"/>
      <c r="B209" s="361"/>
      <c r="C209" s="361"/>
      <c r="D209" s="361"/>
      <c r="E209" s="361"/>
      <c r="F209" s="361"/>
      <c r="G209" s="361"/>
      <c r="H209" s="361"/>
      <c r="I209" s="361"/>
      <c r="J209" s="361"/>
      <c r="K209" s="37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322"/>
      <c r="AD209" s="322"/>
    </row>
    <row r="210" spans="1:30" ht="15.75" customHeight="1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7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  <c r="AB210" s="322"/>
      <c r="AC210" s="322"/>
      <c r="AD210" s="322"/>
    </row>
    <row r="211" spans="1:30" ht="15.75" customHeight="1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7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  <c r="AB211" s="322"/>
      <c r="AC211" s="322"/>
      <c r="AD211" s="322"/>
    </row>
    <row r="212" spans="1:30" ht="15.75" customHeight="1">
      <c r="A212" s="361"/>
      <c r="B212" s="361"/>
      <c r="C212" s="361"/>
      <c r="D212" s="361"/>
      <c r="E212" s="361"/>
      <c r="F212" s="361"/>
      <c r="G212" s="361"/>
      <c r="H212" s="361"/>
      <c r="I212" s="361"/>
      <c r="J212" s="361"/>
      <c r="K212" s="37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  <c r="AB212" s="322"/>
      <c r="AC212" s="322"/>
      <c r="AD212" s="322"/>
    </row>
    <row r="213" spans="1:30" ht="15.75" customHeight="1">
      <c r="A213" s="361"/>
      <c r="B213" s="361"/>
      <c r="C213" s="361"/>
      <c r="D213" s="361"/>
      <c r="E213" s="361"/>
      <c r="F213" s="361"/>
      <c r="G213" s="361"/>
      <c r="H213" s="361"/>
      <c r="I213" s="361"/>
      <c r="J213" s="361"/>
      <c r="K213" s="37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  <c r="AB213" s="322"/>
      <c r="AC213" s="322"/>
      <c r="AD213" s="322"/>
    </row>
    <row r="214" spans="1:30" ht="15.75" customHeight="1">
      <c r="A214" s="361"/>
      <c r="B214" s="361"/>
      <c r="C214" s="361"/>
      <c r="D214" s="361"/>
      <c r="E214" s="361"/>
      <c r="F214" s="361"/>
      <c r="G214" s="361"/>
      <c r="H214" s="361"/>
      <c r="I214" s="361"/>
      <c r="J214" s="361"/>
      <c r="K214" s="37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  <c r="AB214" s="322"/>
      <c r="AC214" s="322"/>
      <c r="AD214" s="322"/>
    </row>
    <row r="215" spans="1:30" ht="15.75" customHeight="1">
      <c r="A215" s="361"/>
      <c r="B215" s="361"/>
      <c r="C215" s="361"/>
      <c r="D215" s="361"/>
      <c r="E215" s="361"/>
      <c r="F215" s="361"/>
      <c r="G215" s="361"/>
      <c r="H215" s="361"/>
      <c r="I215" s="361"/>
      <c r="J215" s="361"/>
      <c r="K215" s="37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  <c r="AB215" s="322"/>
      <c r="AC215" s="322"/>
      <c r="AD215" s="322"/>
    </row>
    <row r="216" spans="1:30" ht="15.75" customHeight="1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7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322"/>
      <c r="AD216" s="322"/>
    </row>
    <row r="217" spans="1:30" ht="15.75" customHeight="1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7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  <c r="AB217" s="322"/>
      <c r="AC217" s="322"/>
      <c r="AD217" s="322"/>
    </row>
    <row r="218" spans="1:30" ht="15.75" customHeight="1">
      <c r="A218" s="361"/>
      <c r="B218" s="361"/>
      <c r="C218" s="361"/>
      <c r="D218" s="361"/>
      <c r="E218" s="361"/>
      <c r="F218" s="361"/>
      <c r="G218" s="361"/>
      <c r="H218" s="361"/>
      <c r="I218" s="361"/>
      <c r="J218" s="361"/>
      <c r="K218" s="37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  <c r="AB218" s="322"/>
      <c r="AC218" s="322"/>
      <c r="AD218" s="322"/>
    </row>
    <row r="219" spans="1:30" ht="15.75" customHeight="1">
      <c r="A219" s="361"/>
      <c r="B219" s="361"/>
      <c r="C219" s="361"/>
      <c r="D219" s="361"/>
      <c r="E219" s="361"/>
      <c r="F219" s="361"/>
      <c r="G219" s="361"/>
      <c r="H219" s="361"/>
      <c r="I219" s="361"/>
      <c r="J219" s="361"/>
      <c r="K219" s="37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  <c r="AB219" s="322"/>
      <c r="AC219" s="322"/>
      <c r="AD219" s="322"/>
    </row>
    <row r="220" spans="1:30" ht="15.75" customHeight="1">
      <c r="A220" s="361"/>
      <c r="B220" s="361"/>
      <c r="C220" s="361"/>
      <c r="D220" s="361"/>
      <c r="E220" s="361"/>
      <c r="F220" s="361"/>
      <c r="G220" s="361"/>
      <c r="H220" s="361"/>
      <c r="I220" s="361"/>
      <c r="J220" s="361"/>
      <c r="K220" s="37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  <c r="AB220" s="322"/>
      <c r="AC220" s="322"/>
      <c r="AD220" s="322"/>
    </row>
    <row r="221" spans="1:30" ht="15.75" customHeight="1">
      <c r="A221" s="361"/>
      <c r="B221" s="361"/>
      <c r="C221" s="361"/>
      <c r="D221" s="361"/>
      <c r="E221" s="361"/>
      <c r="F221" s="361"/>
      <c r="G221" s="361"/>
      <c r="H221" s="361"/>
      <c r="I221" s="361"/>
      <c r="J221" s="361"/>
      <c r="K221" s="37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322"/>
      <c r="AD221" s="322"/>
    </row>
    <row r="222" spans="1:30" ht="15.75" customHeight="1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7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  <c r="AA222" s="322"/>
      <c r="AB222" s="322"/>
      <c r="AC222" s="322"/>
      <c r="AD222" s="322"/>
    </row>
    <row r="223" spans="1:30" ht="15.75" customHeight="1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7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  <c r="AA223" s="322"/>
      <c r="AB223" s="322"/>
      <c r="AC223" s="322"/>
      <c r="AD223" s="322"/>
    </row>
    <row r="224" spans="1:30" ht="15.75" customHeight="1">
      <c r="A224" s="361"/>
      <c r="B224" s="361"/>
      <c r="C224" s="361"/>
      <c r="D224" s="361"/>
      <c r="E224" s="361"/>
      <c r="F224" s="361"/>
      <c r="G224" s="361"/>
      <c r="H224" s="361"/>
      <c r="I224" s="361"/>
      <c r="J224" s="361"/>
      <c r="K224" s="37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322"/>
      <c r="AD224" s="322"/>
    </row>
    <row r="225" spans="1:30" ht="15.75" customHeight="1">
      <c r="A225" s="361"/>
      <c r="B225" s="361"/>
      <c r="C225" s="361"/>
      <c r="D225" s="361"/>
      <c r="E225" s="361"/>
      <c r="F225" s="361"/>
      <c r="G225" s="361"/>
      <c r="H225" s="361"/>
      <c r="I225" s="361"/>
      <c r="J225" s="361"/>
      <c r="K225" s="37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  <c r="AB225" s="322"/>
      <c r="AC225" s="322"/>
      <c r="AD225" s="322"/>
    </row>
    <row r="226" spans="1:30" ht="15.75" customHeight="1">
      <c r="A226" s="361"/>
      <c r="B226" s="361"/>
      <c r="C226" s="361"/>
      <c r="D226" s="361"/>
      <c r="E226" s="361"/>
      <c r="F226" s="361"/>
      <c r="G226" s="361"/>
      <c r="H226" s="361"/>
      <c r="I226" s="361"/>
      <c r="J226" s="361"/>
      <c r="K226" s="37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322"/>
      <c r="AB226" s="322"/>
      <c r="AC226" s="322"/>
      <c r="AD226" s="322"/>
    </row>
    <row r="227" spans="1:30" ht="15.75" customHeight="1">
      <c r="A227" s="361"/>
      <c r="B227" s="361"/>
      <c r="C227" s="361"/>
      <c r="D227" s="361"/>
      <c r="E227" s="361"/>
      <c r="F227" s="361"/>
      <c r="G227" s="361"/>
      <c r="H227" s="361"/>
      <c r="I227" s="361"/>
      <c r="J227" s="361"/>
      <c r="K227" s="37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322"/>
      <c r="AB227" s="322"/>
      <c r="AC227" s="322"/>
      <c r="AD227" s="322"/>
    </row>
    <row r="228" spans="1:30" ht="15.75" customHeight="1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7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322"/>
      <c r="AB228" s="322"/>
      <c r="AC228" s="322"/>
      <c r="AD228" s="322"/>
    </row>
    <row r="229" spans="1:30" ht="15.75" customHeight="1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7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  <c r="AB229" s="322"/>
      <c r="AC229" s="322"/>
      <c r="AD229" s="322"/>
    </row>
    <row r="230" spans="1:30" ht="15.75" customHeight="1">
      <c r="A230" s="361"/>
      <c r="B230" s="361"/>
      <c r="C230" s="361"/>
      <c r="D230" s="361"/>
      <c r="E230" s="361"/>
      <c r="F230" s="361"/>
      <c r="G230" s="361"/>
      <c r="H230" s="361"/>
      <c r="I230" s="361"/>
      <c r="J230" s="361"/>
      <c r="K230" s="37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  <c r="AB230" s="322"/>
      <c r="AC230" s="322"/>
      <c r="AD230" s="322"/>
    </row>
    <row r="231" spans="1:30" ht="15.75" customHeight="1">
      <c r="A231" s="361"/>
      <c r="B231" s="361"/>
      <c r="C231" s="361"/>
      <c r="D231" s="361"/>
      <c r="E231" s="361"/>
      <c r="F231" s="361"/>
      <c r="G231" s="361"/>
      <c r="H231" s="361"/>
      <c r="I231" s="361"/>
      <c r="J231" s="361"/>
      <c r="K231" s="37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322"/>
      <c r="AD231" s="322"/>
    </row>
    <row r="232" spans="1:30" ht="15.75" customHeight="1">
      <c r="A232" s="361"/>
      <c r="B232" s="361"/>
      <c r="C232" s="361"/>
      <c r="D232" s="361"/>
      <c r="E232" s="361"/>
      <c r="F232" s="361"/>
      <c r="G232" s="361"/>
      <c r="H232" s="361"/>
      <c r="I232" s="361"/>
      <c r="J232" s="361"/>
      <c r="K232" s="37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  <c r="AB232" s="322"/>
      <c r="AC232" s="322"/>
      <c r="AD232" s="322"/>
    </row>
    <row r="233" spans="1:30" ht="15.75" customHeight="1">
      <c r="A233" s="361"/>
      <c r="B233" s="361"/>
      <c r="C233" s="361"/>
      <c r="D233" s="361"/>
      <c r="E233" s="361"/>
      <c r="F233" s="361"/>
      <c r="G233" s="361"/>
      <c r="H233" s="361"/>
      <c r="I233" s="361"/>
      <c r="J233" s="361"/>
      <c r="K233" s="37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  <c r="AB233" s="322"/>
      <c r="AC233" s="322"/>
      <c r="AD233" s="322"/>
    </row>
    <row r="234" spans="1:30" ht="15.75" customHeight="1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7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  <c r="AB234" s="322"/>
      <c r="AC234" s="322"/>
      <c r="AD234" s="322"/>
    </row>
    <row r="235" spans="1:30" ht="15.75" customHeight="1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7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322"/>
      <c r="AD235" s="322"/>
    </row>
    <row r="236" spans="1:30" ht="15.75" customHeight="1">
      <c r="A236" s="361"/>
      <c r="B236" s="361"/>
      <c r="C236" s="361"/>
      <c r="D236" s="361"/>
      <c r="E236" s="361"/>
      <c r="F236" s="361"/>
      <c r="G236" s="361"/>
      <c r="H236" s="361"/>
      <c r="I236" s="361"/>
      <c r="J236" s="361"/>
      <c r="K236" s="37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  <c r="AB236" s="322"/>
      <c r="AC236" s="322"/>
      <c r="AD236" s="322"/>
    </row>
    <row r="237" spans="1:30" ht="15.75" customHeight="1">
      <c r="A237" s="361"/>
      <c r="B237" s="361"/>
      <c r="C237" s="361"/>
      <c r="D237" s="361"/>
      <c r="E237" s="361"/>
      <c r="F237" s="361"/>
      <c r="G237" s="361"/>
      <c r="H237" s="361"/>
      <c r="I237" s="361"/>
      <c r="J237" s="361"/>
      <c r="K237" s="37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  <c r="AB237" s="322"/>
      <c r="AC237" s="322"/>
      <c r="AD237" s="322"/>
    </row>
    <row r="238" spans="1:30" ht="15.75" customHeight="1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7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  <c r="AB238" s="322"/>
      <c r="AC238" s="322"/>
      <c r="AD238" s="322"/>
    </row>
    <row r="239" spans="1:30" ht="15.75" customHeight="1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7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  <c r="AB239" s="322"/>
      <c r="AC239" s="322"/>
      <c r="AD239" s="322"/>
    </row>
    <row r="240" spans="1:30" ht="15.75" customHeight="1">
      <c r="A240" s="361"/>
      <c r="B240" s="361"/>
      <c r="C240" s="361"/>
      <c r="D240" s="361"/>
      <c r="E240" s="361"/>
      <c r="F240" s="361"/>
      <c r="G240" s="361"/>
      <c r="H240" s="361"/>
      <c r="I240" s="361"/>
      <c r="J240" s="361"/>
      <c r="K240" s="37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  <c r="AB240" s="322"/>
      <c r="AC240" s="322"/>
      <c r="AD240" s="322"/>
    </row>
    <row r="241" spans="1:30" ht="15.75" customHeight="1">
      <c r="A241" s="361"/>
      <c r="B241" s="361"/>
      <c r="C241" s="361"/>
      <c r="D241" s="361"/>
      <c r="E241" s="361"/>
      <c r="F241" s="361"/>
      <c r="G241" s="361"/>
      <c r="H241" s="361"/>
      <c r="I241" s="361"/>
      <c r="J241" s="361"/>
      <c r="K241" s="37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  <c r="AB241" s="322"/>
      <c r="AC241" s="322"/>
      <c r="AD241" s="322"/>
    </row>
    <row r="242" spans="1:30" ht="15.75" customHeight="1">
      <c r="A242" s="361"/>
      <c r="B242" s="361"/>
      <c r="C242" s="361"/>
      <c r="D242" s="361"/>
      <c r="E242" s="361"/>
      <c r="F242" s="361"/>
      <c r="G242" s="361"/>
      <c r="H242" s="361"/>
      <c r="I242" s="361"/>
      <c r="J242" s="361"/>
      <c r="K242" s="37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  <c r="AB242" s="322"/>
      <c r="AC242" s="322"/>
      <c r="AD242" s="322"/>
    </row>
    <row r="243" spans="1:30" ht="15.75" customHeight="1">
      <c r="A243" s="361"/>
      <c r="B243" s="361"/>
      <c r="C243" s="361"/>
      <c r="D243" s="361"/>
      <c r="E243" s="361"/>
      <c r="F243" s="361"/>
      <c r="G243" s="361"/>
      <c r="H243" s="361"/>
      <c r="I243" s="361"/>
      <c r="J243" s="361"/>
      <c r="K243" s="37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  <c r="AB243" s="322"/>
      <c r="AC243" s="322"/>
      <c r="AD243" s="322"/>
    </row>
    <row r="244" spans="1:30" ht="15.75" customHeight="1">
      <c r="A244" s="361"/>
      <c r="B244" s="361"/>
      <c r="C244" s="361"/>
      <c r="D244" s="361"/>
      <c r="E244" s="361"/>
      <c r="F244" s="361"/>
      <c r="G244" s="361"/>
      <c r="H244" s="361"/>
      <c r="I244" s="361"/>
      <c r="J244" s="361"/>
      <c r="K244" s="37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  <c r="AB244" s="322"/>
      <c r="AC244" s="322"/>
      <c r="AD244" s="322"/>
    </row>
    <row r="245" spans="1:30" ht="15.75" customHeight="1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7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  <c r="AB245" s="322"/>
      <c r="AC245" s="322"/>
      <c r="AD245" s="322"/>
    </row>
    <row r="246" spans="1:30" ht="15.75" customHeight="1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7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  <c r="AB246" s="322"/>
      <c r="AC246" s="322"/>
      <c r="AD246" s="322"/>
    </row>
    <row r="247" spans="1:30" ht="15.75" customHeight="1">
      <c r="A247" s="361"/>
      <c r="B247" s="361"/>
      <c r="C247" s="361"/>
      <c r="D247" s="361"/>
      <c r="E247" s="361"/>
      <c r="F247" s="361"/>
      <c r="G247" s="361"/>
      <c r="H247" s="361"/>
      <c r="I247" s="361"/>
      <c r="J247" s="361"/>
      <c r="K247" s="37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  <c r="AB247" s="322"/>
      <c r="AC247" s="322"/>
      <c r="AD247" s="322"/>
    </row>
    <row r="248" spans="1:30" ht="15.75" customHeight="1">
      <c r="A248" s="361"/>
      <c r="B248" s="361"/>
      <c r="C248" s="361"/>
      <c r="D248" s="361"/>
      <c r="E248" s="361"/>
      <c r="F248" s="361"/>
      <c r="G248" s="361"/>
      <c r="H248" s="361"/>
      <c r="I248" s="361"/>
      <c r="J248" s="361"/>
      <c r="K248" s="37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  <c r="AB248" s="322"/>
      <c r="AC248" s="322"/>
      <c r="AD248" s="322"/>
    </row>
    <row r="249" spans="1:30" ht="15.75" customHeight="1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7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  <c r="AB249" s="322"/>
      <c r="AC249" s="322"/>
      <c r="AD249" s="322"/>
    </row>
    <row r="250" spans="1:30" ht="15.75" customHeight="1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7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  <c r="AB250" s="322"/>
      <c r="AC250" s="322"/>
      <c r="AD250" s="322"/>
    </row>
    <row r="251" spans="1:30" ht="15.75" customHeight="1">
      <c r="A251" s="361"/>
      <c r="B251" s="361"/>
      <c r="C251" s="361"/>
      <c r="D251" s="361"/>
      <c r="E251" s="361"/>
      <c r="F251" s="361"/>
      <c r="G251" s="361"/>
      <c r="H251" s="361"/>
      <c r="I251" s="361"/>
      <c r="J251" s="361"/>
      <c r="K251" s="37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  <c r="AB251" s="322"/>
      <c r="AC251" s="322"/>
      <c r="AD251" s="322"/>
    </row>
    <row r="252" spans="1:30" ht="15.75" customHeight="1">
      <c r="A252" s="361"/>
      <c r="B252" s="361"/>
      <c r="C252" s="361"/>
      <c r="D252" s="361"/>
      <c r="E252" s="361"/>
      <c r="F252" s="361"/>
      <c r="G252" s="361"/>
      <c r="H252" s="361"/>
      <c r="I252" s="361"/>
      <c r="J252" s="361"/>
      <c r="K252" s="37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322"/>
      <c r="AD252" s="322"/>
    </row>
    <row r="253" spans="1:30" ht="15.75" customHeight="1">
      <c r="A253" s="361"/>
      <c r="B253" s="361"/>
      <c r="C253" s="361"/>
      <c r="D253" s="361"/>
      <c r="E253" s="361"/>
      <c r="F253" s="361"/>
      <c r="G253" s="361"/>
      <c r="H253" s="361"/>
      <c r="I253" s="361"/>
      <c r="J253" s="361"/>
      <c r="K253" s="37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  <c r="AB253" s="322"/>
      <c r="AC253" s="322"/>
      <c r="AD253" s="322"/>
    </row>
    <row r="254" spans="1:30" ht="15.75" customHeight="1">
      <c r="A254" s="361"/>
      <c r="B254" s="361"/>
      <c r="C254" s="361"/>
      <c r="D254" s="361"/>
      <c r="E254" s="361"/>
      <c r="F254" s="361"/>
      <c r="G254" s="361"/>
      <c r="H254" s="361"/>
      <c r="I254" s="361"/>
      <c r="J254" s="361"/>
      <c r="K254" s="37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  <c r="AB254" s="322"/>
      <c r="AC254" s="322"/>
      <c r="AD254" s="322"/>
    </row>
    <row r="255" spans="1:30" ht="15.75" customHeight="1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7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  <c r="AB255" s="322"/>
      <c r="AC255" s="322"/>
      <c r="AD255" s="322"/>
    </row>
    <row r="256" spans="1:30" ht="15.75" customHeight="1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7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  <c r="AB256" s="322"/>
      <c r="AC256" s="322"/>
      <c r="AD256" s="322"/>
    </row>
    <row r="257" spans="1:30" ht="15.75" customHeight="1">
      <c r="A257" s="361"/>
      <c r="B257" s="361"/>
      <c r="C257" s="361"/>
      <c r="D257" s="361"/>
      <c r="E257" s="361"/>
      <c r="F257" s="361"/>
      <c r="G257" s="361"/>
      <c r="H257" s="361"/>
      <c r="I257" s="361"/>
      <c r="J257" s="361"/>
      <c r="K257" s="37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322"/>
      <c r="AB257" s="322"/>
      <c r="AC257" s="322"/>
      <c r="AD257" s="322"/>
    </row>
    <row r="258" spans="1:30" ht="15.75" customHeight="1">
      <c r="A258" s="361"/>
      <c r="B258" s="361"/>
      <c r="C258" s="361"/>
      <c r="D258" s="361"/>
      <c r="E258" s="361"/>
      <c r="F258" s="361"/>
      <c r="G258" s="361"/>
      <c r="H258" s="361"/>
      <c r="I258" s="361"/>
      <c r="J258" s="361"/>
      <c r="K258" s="37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  <c r="AA258" s="322"/>
      <c r="AB258" s="322"/>
      <c r="AC258" s="322"/>
      <c r="AD258" s="322"/>
    </row>
    <row r="259" spans="1:30" ht="15.75" customHeight="1">
      <c r="A259" s="361"/>
      <c r="B259" s="361"/>
      <c r="C259" s="361"/>
      <c r="D259" s="361"/>
      <c r="E259" s="361"/>
      <c r="F259" s="361"/>
      <c r="G259" s="361"/>
      <c r="H259" s="361"/>
      <c r="I259" s="361"/>
      <c r="J259" s="361"/>
      <c r="K259" s="37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  <c r="AA259" s="322"/>
      <c r="AB259" s="322"/>
      <c r="AC259" s="322"/>
      <c r="AD259" s="322"/>
    </row>
    <row r="260" spans="1:30" ht="15.75" customHeight="1">
      <c r="A260" s="361"/>
      <c r="B260" s="361"/>
      <c r="C260" s="361"/>
      <c r="D260" s="361"/>
      <c r="E260" s="361"/>
      <c r="F260" s="361"/>
      <c r="G260" s="361"/>
      <c r="H260" s="361"/>
      <c r="I260" s="361"/>
      <c r="J260" s="361"/>
      <c r="K260" s="37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  <c r="AA260" s="322"/>
      <c r="AB260" s="322"/>
      <c r="AC260" s="322"/>
      <c r="AD260" s="322"/>
    </row>
    <row r="261" spans="1:30" ht="15.75" customHeight="1">
      <c r="A261" s="361"/>
      <c r="B261" s="361"/>
      <c r="C261" s="361"/>
      <c r="D261" s="361"/>
      <c r="E261" s="361"/>
      <c r="F261" s="361"/>
      <c r="G261" s="361"/>
      <c r="H261" s="361"/>
      <c r="I261" s="361"/>
      <c r="J261" s="361"/>
      <c r="K261" s="37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  <c r="AB261" s="322"/>
      <c r="AC261" s="322"/>
      <c r="AD261" s="322"/>
    </row>
    <row r="262" spans="1:30" ht="15.75" customHeight="1">
      <c r="A262" s="361"/>
      <c r="B262" s="361"/>
      <c r="C262" s="361"/>
      <c r="D262" s="361"/>
      <c r="E262" s="361"/>
      <c r="F262" s="361"/>
      <c r="G262" s="361"/>
      <c r="H262" s="361"/>
      <c r="I262" s="361"/>
      <c r="J262" s="361"/>
      <c r="K262" s="37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  <c r="AB262" s="322"/>
      <c r="AC262" s="322"/>
      <c r="AD262" s="322"/>
    </row>
    <row r="263" spans="1:30" ht="15.75" customHeight="1">
      <c r="A263" s="361"/>
      <c r="B263" s="361"/>
      <c r="C263" s="361"/>
      <c r="D263" s="361"/>
      <c r="E263" s="361"/>
      <c r="F263" s="361"/>
      <c r="G263" s="361"/>
      <c r="H263" s="361"/>
      <c r="I263" s="361"/>
      <c r="J263" s="361"/>
      <c r="K263" s="37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  <c r="AA263" s="322"/>
      <c r="AB263" s="322"/>
      <c r="AC263" s="322"/>
      <c r="AD263" s="322"/>
    </row>
    <row r="264" spans="1:30" ht="15.75" customHeight="1">
      <c r="A264" s="361"/>
      <c r="B264" s="361"/>
      <c r="C264" s="361"/>
      <c r="D264" s="361"/>
      <c r="E264" s="361"/>
      <c r="F264" s="361"/>
      <c r="G264" s="361"/>
      <c r="H264" s="361"/>
      <c r="I264" s="361"/>
      <c r="J264" s="361"/>
      <c r="K264" s="37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  <c r="AA264" s="322"/>
      <c r="AB264" s="322"/>
      <c r="AC264" s="322"/>
      <c r="AD264" s="322"/>
    </row>
    <row r="265" spans="1:30" ht="15.75" customHeight="1">
      <c r="A265" s="361"/>
      <c r="B265" s="361"/>
      <c r="C265" s="361"/>
      <c r="D265" s="361"/>
      <c r="E265" s="361"/>
      <c r="F265" s="361"/>
      <c r="G265" s="361"/>
      <c r="H265" s="361"/>
      <c r="I265" s="361"/>
      <c r="J265" s="361"/>
      <c r="K265" s="37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  <c r="AA265" s="322"/>
      <c r="AB265" s="322"/>
      <c r="AC265" s="322"/>
      <c r="AD265" s="322"/>
    </row>
    <row r="266" spans="1:30" ht="15.75" customHeight="1">
      <c r="A266" s="361"/>
      <c r="B266" s="361"/>
      <c r="C266" s="361"/>
      <c r="D266" s="361"/>
      <c r="E266" s="361"/>
      <c r="F266" s="361"/>
      <c r="G266" s="361"/>
      <c r="H266" s="361"/>
      <c r="I266" s="361"/>
      <c r="J266" s="361"/>
      <c r="K266" s="37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  <c r="AB266" s="322"/>
      <c r="AC266" s="322"/>
      <c r="AD266" s="322"/>
    </row>
    <row r="267" spans="1:30" ht="15.75" customHeight="1">
      <c r="A267" s="361"/>
      <c r="B267" s="361"/>
      <c r="C267" s="361"/>
      <c r="D267" s="361"/>
      <c r="E267" s="361"/>
      <c r="F267" s="361"/>
      <c r="G267" s="361"/>
      <c r="H267" s="361"/>
      <c r="I267" s="361"/>
      <c r="J267" s="361"/>
      <c r="K267" s="37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  <c r="AB267" s="322"/>
      <c r="AC267" s="322"/>
      <c r="AD267" s="322"/>
    </row>
    <row r="268" spans="1:30" ht="15.75" customHeight="1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7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  <c r="AB268" s="322"/>
      <c r="AC268" s="322"/>
      <c r="AD268" s="322"/>
    </row>
    <row r="269" spans="1:30" ht="15.75" customHeight="1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7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  <c r="AB269" s="322"/>
      <c r="AC269" s="322"/>
      <c r="AD269" s="322"/>
    </row>
    <row r="270" spans="1:30" ht="15.75" customHeight="1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7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  <c r="AB270" s="322"/>
      <c r="AC270" s="322"/>
      <c r="AD270" s="322"/>
    </row>
    <row r="271" spans="1:30" ht="15.75" customHeight="1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7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  <c r="AB271" s="322"/>
      <c r="AC271" s="322"/>
      <c r="AD271" s="322"/>
    </row>
    <row r="272" spans="1:30" ht="15.75" customHeight="1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7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  <c r="AB272" s="322"/>
      <c r="AC272" s="322"/>
      <c r="AD272" s="322"/>
    </row>
    <row r="273" spans="1:30" ht="15.75" customHeight="1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7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  <c r="AB273" s="322"/>
      <c r="AC273" s="322"/>
      <c r="AD273" s="322"/>
    </row>
    <row r="274" spans="1:30" ht="15.75" customHeight="1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7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  <c r="AB274" s="322"/>
      <c r="AC274" s="322"/>
      <c r="AD274" s="322"/>
    </row>
    <row r="275" spans="1:30" ht="15.75" customHeight="1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7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  <c r="AB275" s="322"/>
      <c r="AC275" s="322"/>
      <c r="AD275" s="322"/>
    </row>
    <row r="276" spans="1:30" ht="15.75" customHeight="1">
      <c r="A276" s="361"/>
      <c r="B276" s="361"/>
      <c r="C276" s="361"/>
      <c r="D276" s="361"/>
      <c r="E276" s="361"/>
      <c r="F276" s="361"/>
      <c r="G276" s="361"/>
      <c r="H276" s="361"/>
      <c r="I276" s="361"/>
      <c r="J276" s="361"/>
      <c r="K276" s="37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  <c r="AB276" s="322"/>
      <c r="AC276" s="322"/>
      <c r="AD276" s="322"/>
    </row>
    <row r="277" spans="1:30" ht="15.75" customHeight="1">
      <c r="A277" s="361"/>
      <c r="B277" s="361"/>
      <c r="C277" s="361"/>
      <c r="D277" s="361"/>
      <c r="E277" s="361"/>
      <c r="F277" s="361"/>
      <c r="G277" s="361"/>
      <c r="H277" s="361"/>
      <c r="I277" s="361"/>
      <c r="J277" s="361"/>
      <c r="K277" s="37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  <c r="AB277" s="322"/>
      <c r="AC277" s="322"/>
      <c r="AD277" s="322"/>
    </row>
    <row r="278" spans="1:30" ht="15.75" customHeight="1">
      <c r="A278" s="361"/>
      <c r="B278" s="361"/>
      <c r="C278" s="361"/>
      <c r="D278" s="361"/>
      <c r="E278" s="361"/>
      <c r="F278" s="361"/>
      <c r="G278" s="361"/>
      <c r="H278" s="361"/>
      <c r="I278" s="361"/>
      <c r="J278" s="361"/>
      <c r="K278" s="37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  <c r="AB278" s="322"/>
      <c r="AC278" s="322"/>
      <c r="AD278" s="322"/>
    </row>
    <row r="279" spans="1:30" ht="15.75" customHeight="1">
      <c r="A279" s="361"/>
      <c r="B279" s="361"/>
      <c r="C279" s="361"/>
      <c r="D279" s="361"/>
      <c r="E279" s="361"/>
      <c r="F279" s="361"/>
      <c r="G279" s="361"/>
      <c r="H279" s="361"/>
      <c r="I279" s="361"/>
      <c r="J279" s="361"/>
      <c r="K279" s="37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  <c r="AB279" s="322"/>
      <c r="AC279" s="322"/>
      <c r="AD279" s="322"/>
    </row>
    <row r="280" spans="1:30" ht="15.75" customHeight="1">
      <c r="A280" s="361"/>
      <c r="B280" s="361"/>
      <c r="C280" s="361"/>
      <c r="D280" s="361"/>
      <c r="E280" s="361"/>
      <c r="F280" s="361"/>
      <c r="G280" s="361"/>
      <c r="H280" s="361"/>
      <c r="I280" s="361"/>
      <c r="J280" s="361"/>
      <c r="K280" s="37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  <c r="AB280" s="322"/>
      <c r="AC280" s="322"/>
      <c r="AD280" s="322"/>
    </row>
    <row r="281" spans="1:30" ht="15.75" customHeight="1">
      <c r="A281" s="361"/>
      <c r="B281" s="361"/>
      <c r="C281" s="361"/>
      <c r="D281" s="361"/>
      <c r="E281" s="361"/>
      <c r="F281" s="361"/>
      <c r="G281" s="361"/>
      <c r="H281" s="361"/>
      <c r="I281" s="361"/>
      <c r="J281" s="361"/>
      <c r="K281" s="37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  <c r="AB281" s="322"/>
      <c r="AC281" s="322"/>
      <c r="AD281" s="322"/>
    </row>
    <row r="282" spans="1:30" ht="15.75" customHeight="1">
      <c r="A282" s="361"/>
      <c r="B282" s="361"/>
      <c r="C282" s="361"/>
      <c r="D282" s="361"/>
      <c r="E282" s="361"/>
      <c r="F282" s="361"/>
      <c r="G282" s="361"/>
      <c r="H282" s="361"/>
      <c r="I282" s="361"/>
      <c r="J282" s="361"/>
      <c r="K282" s="37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  <c r="AB282" s="322"/>
      <c r="AC282" s="322"/>
      <c r="AD282" s="322"/>
    </row>
    <row r="283" spans="1:30" ht="15.75" customHeight="1">
      <c r="A283" s="361"/>
      <c r="B283" s="361"/>
      <c r="C283" s="361"/>
      <c r="D283" s="361"/>
      <c r="E283" s="361"/>
      <c r="F283" s="361"/>
      <c r="G283" s="361"/>
      <c r="H283" s="361"/>
      <c r="I283" s="361"/>
      <c r="J283" s="361"/>
      <c r="K283" s="37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  <c r="AB283" s="322"/>
      <c r="AC283" s="322"/>
      <c r="AD283" s="322"/>
    </row>
    <row r="284" spans="1:30" ht="15.75" customHeight="1">
      <c r="A284" s="361"/>
      <c r="B284" s="361"/>
      <c r="C284" s="361"/>
      <c r="D284" s="361"/>
      <c r="E284" s="361"/>
      <c r="F284" s="361"/>
      <c r="G284" s="361"/>
      <c r="H284" s="361"/>
      <c r="I284" s="361"/>
      <c r="J284" s="361"/>
      <c r="K284" s="37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  <c r="AB284" s="322"/>
      <c r="AC284" s="322"/>
      <c r="AD284" s="322"/>
    </row>
    <row r="285" spans="1:30" ht="15.75" customHeight="1">
      <c r="A285" s="361"/>
      <c r="B285" s="361"/>
      <c r="C285" s="361"/>
      <c r="D285" s="361"/>
      <c r="E285" s="361"/>
      <c r="F285" s="361"/>
      <c r="G285" s="361"/>
      <c r="H285" s="361"/>
      <c r="I285" s="361"/>
      <c r="J285" s="361"/>
      <c r="K285" s="37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  <c r="AB285" s="322"/>
      <c r="AC285" s="322"/>
      <c r="AD285" s="322"/>
    </row>
    <row r="286" spans="1:30" ht="15.75" customHeight="1">
      <c r="A286" s="361"/>
      <c r="B286" s="361"/>
      <c r="C286" s="361"/>
      <c r="D286" s="361"/>
      <c r="E286" s="361"/>
      <c r="F286" s="361"/>
      <c r="G286" s="361"/>
      <c r="H286" s="361"/>
      <c r="I286" s="361"/>
      <c r="J286" s="361"/>
      <c r="K286" s="37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  <c r="AB286" s="322"/>
      <c r="AC286" s="322"/>
      <c r="AD286" s="322"/>
    </row>
    <row r="287" spans="1:30" ht="15.75" customHeight="1">
      <c r="A287" s="361"/>
      <c r="B287" s="361"/>
      <c r="C287" s="361"/>
      <c r="D287" s="361"/>
      <c r="E287" s="361"/>
      <c r="F287" s="361"/>
      <c r="G287" s="361"/>
      <c r="H287" s="361"/>
      <c r="I287" s="361"/>
      <c r="J287" s="361"/>
      <c r="K287" s="37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  <c r="AA287" s="322"/>
      <c r="AB287" s="322"/>
      <c r="AC287" s="322"/>
      <c r="AD287" s="322"/>
    </row>
    <row r="288" spans="1:30" ht="15.75" customHeight="1">
      <c r="A288" s="361"/>
      <c r="B288" s="361"/>
      <c r="C288" s="361"/>
      <c r="D288" s="361"/>
      <c r="E288" s="361"/>
      <c r="F288" s="361"/>
      <c r="G288" s="361"/>
      <c r="H288" s="361"/>
      <c r="I288" s="361"/>
      <c r="J288" s="361"/>
      <c r="K288" s="37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  <c r="AA288" s="322"/>
      <c r="AB288" s="322"/>
      <c r="AC288" s="322"/>
      <c r="AD288" s="322"/>
    </row>
    <row r="289" spans="1:30" ht="15.75" customHeight="1">
      <c r="A289" s="361"/>
      <c r="B289" s="361"/>
      <c r="C289" s="361"/>
      <c r="D289" s="361"/>
      <c r="E289" s="361"/>
      <c r="F289" s="361"/>
      <c r="G289" s="361"/>
      <c r="H289" s="361"/>
      <c r="I289" s="361"/>
      <c r="J289" s="361"/>
      <c r="K289" s="37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  <c r="AA289" s="322"/>
      <c r="AB289" s="322"/>
      <c r="AC289" s="322"/>
      <c r="AD289" s="322"/>
    </row>
    <row r="290" spans="1:30" ht="15.75" customHeight="1">
      <c r="A290" s="361"/>
      <c r="B290" s="361"/>
      <c r="C290" s="361"/>
      <c r="D290" s="361"/>
      <c r="E290" s="361"/>
      <c r="F290" s="361"/>
      <c r="G290" s="361"/>
      <c r="H290" s="361"/>
      <c r="I290" s="361"/>
      <c r="J290" s="361"/>
      <c r="K290" s="37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  <c r="AA290" s="322"/>
      <c r="AB290" s="322"/>
      <c r="AC290" s="322"/>
      <c r="AD290" s="322"/>
    </row>
    <row r="291" spans="1:30" ht="15.75" customHeight="1">
      <c r="A291" s="361"/>
      <c r="B291" s="361"/>
      <c r="C291" s="361"/>
      <c r="D291" s="361"/>
      <c r="E291" s="361"/>
      <c r="F291" s="361"/>
      <c r="G291" s="361"/>
      <c r="H291" s="361"/>
      <c r="I291" s="361"/>
      <c r="J291" s="361"/>
      <c r="K291" s="37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  <c r="AB291" s="322"/>
      <c r="AC291" s="322"/>
      <c r="AD291" s="322"/>
    </row>
    <row r="292" spans="1:30" ht="15.75" customHeight="1">
      <c r="A292" s="361"/>
      <c r="B292" s="361"/>
      <c r="C292" s="361"/>
      <c r="D292" s="361"/>
      <c r="E292" s="361"/>
      <c r="F292" s="361"/>
      <c r="G292" s="361"/>
      <c r="H292" s="361"/>
      <c r="I292" s="361"/>
      <c r="J292" s="361"/>
      <c r="K292" s="37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  <c r="AB292" s="322"/>
      <c r="AC292" s="322"/>
      <c r="AD292" s="322"/>
    </row>
    <row r="293" spans="1:30" ht="15.75" customHeight="1">
      <c r="A293" s="361"/>
      <c r="B293" s="361"/>
      <c r="C293" s="361"/>
      <c r="D293" s="361"/>
      <c r="E293" s="361"/>
      <c r="F293" s="361"/>
      <c r="G293" s="361"/>
      <c r="H293" s="361"/>
      <c r="I293" s="361"/>
      <c r="J293" s="361"/>
      <c r="K293" s="37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  <c r="AB293" s="322"/>
      <c r="AC293" s="322"/>
      <c r="AD293" s="322"/>
    </row>
    <row r="294" spans="1:30" ht="15.75" customHeight="1">
      <c r="A294" s="361"/>
      <c r="B294" s="361"/>
      <c r="C294" s="361"/>
      <c r="D294" s="361"/>
      <c r="E294" s="361"/>
      <c r="F294" s="361"/>
      <c r="G294" s="361"/>
      <c r="H294" s="361"/>
      <c r="I294" s="361"/>
      <c r="J294" s="361"/>
      <c r="K294" s="37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  <c r="AB294" s="322"/>
      <c r="AC294" s="322"/>
      <c r="AD294" s="322"/>
    </row>
    <row r="295" spans="1:30" ht="15.75" customHeight="1">
      <c r="A295" s="361"/>
      <c r="B295" s="361"/>
      <c r="C295" s="361"/>
      <c r="D295" s="361"/>
      <c r="E295" s="361"/>
      <c r="F295" s="361"/>
      <c r="G295" s="361"/>
      <c r="H295" s="361"/>
      <c r="I295" s="361"/>
      <c r="J295" s="361"/>
      <c r="K295" s="37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  <c r="AB295" s="322"/>
      <c r="AC295" s="322"/>
      <c r="AD295" s="322"/>
    </row>
    <row r="296" spans="1:30" ht="15.75" customHeight="1">
      <c r="A296" s="361"/>
      <c r="B296" s="361"/>
      <c r="C296" s="361"/>
      <c r="D296" s="361"/>
      <c r="E296" s="361"/>
      <c r="F296" s="361"/>
      <c r="G296" s="361"/>
      <c r="H296" s="361"/>
      <c r="I296" s="361"/>
      <c r="J296" s="361"/>
      <c r="K296" s="37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  <c r="AB296" s="322"/>
      <c r="AC296" s="322"/>
      <c r="AD296" s="322"/>
    </row>
    <row r="297" spans="1:30" ht="15.75" customHeight="1">
      <c r="A297" s="361"/>
      <c r="B297" s="361"/>
      <c r="C297" s="361"/>
      <c r="D297" s="361"/>
      <c r="E297" s="361"/>
      <c r="F297" s="361"/>
      <c r="G297" s="361"/>
      <c r="H297" s="361"/>
      <c r="I297" s="361"/>
      <c r="J297" s="361"/>
      <c r="K297" s="37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  <c r="AB297" s="322"/>
      <c r="AC297" s="322"/>
      <c r="AD297" s="322"/>
    </row>
    <row r="298" spans="1:30" ht="15.75" customHeight="1">
      <c r="A298" s="361"/>
      <c r="B298" s="361"/>
      <c r="C298" s="361"/>
      <c r="D298" s="361"/>
      <c r="E298" s="361"/>
      <c r="F298" s="361"/>
      <c r="G298" s="361"/>
      <c r="H298" s="361"/>
      <c r="I298" s="361"/>
      <c r="J298" s="361"/>
      <c r="K298" s="37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  <c r="AB298" s="322"/>
      <c r="AC298" s="322"/>
      <c r="AD298" s="322"/>
    </row>
    <row r="299" spans="1:30" ht="15.75" customHeight="1">
      <c r="A299" s="361"/>
      <c r="B299" s="361"/>
      <c r="C299" s="361"/>
      <c r="D299" s="361"/>
      <c r="E299" s="361"/>
      <c r="F299" s="361"/>
      <c r="G299" s="361"/>
      <c r="H299" s="361"/>
      <c r="I299" s="361"/>
      <c r="J299" s="361"/>
      <c r="K299" s="37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  <c r="AB299" s="322"/>
      <c r="AC299" s="322"/>
      <c r="AD299" s="322"/>
    </row>
    <row r="300" spans="1:30" ht="15.75" customHeight="1">
      <c r="A300" s="361"/>
      <c r="B300" s="361"/>
      <c r="C300" s="361"/>
      <c r="D300" s="361"/>
      <c r="E300" s="361"/>
      <c r="F300" s="361"/>
      <c r="G300" s="361"/>
      <c r="H300" s="361"/>
      <c r="I300" s="361"/>
      <c r="J300" s="361"/>
      <c r="K300" s="37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  <c r="AB300" s="322"/>
      <c r="AC300" s="322"/>
      <c r="AD300" s="322"/>
    </row>
    <row r="301" spans="1:30" ht="15.75" customHeight="1">
      <c r="A301" s="361"/>
      <c r="B301" s="361"/>
      <c r="C301" s="361"/>
      <c r="D301" s="361"/>
      <c r="E301" s="361"/>
      <c r="F301" s="361"/>
      <c r="G301" s="361"/>
      <c r="H301" s="361"/>
      <c r="I301" s="361"/>
      <c r="J301" s="361"/>
      <c r="K301" s="37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  <c r="AB301" s="322"/>
      <c r="AC301" s="322"/>
      <c r="AD301" s="322"/>
    </row>
    <row r="302" spans="1:30" ht="15.75" customHeight="1">
      <c r="A302" s="361"/>
      <c r="B302" s="361"/>
      <c r="C302" s="361"/>
      <c r="D302" s="361"/>
      <c r="E302" s="361"/>
      <c r="F302" s="361"/>
      <c r="G302" s="361"/>
      <c r="H302" s="361"/>
      <c r="I302" s="361"/>
      <c r="J302" s="361"/>
      <c r="K302" s="37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  <c r="AB302" s="322"/>
      <c r="AC302" s="322"/>
      <c r="AD302" s="322"/>
    </row>
    <row r="303" spans="1:30" ht="15.75" customHeight="1">
      <c r="A303" s="361"/>
      <c r="B303" s="361"/>
      <c r="C303" s="361"/>
      <c r="D303" s="361"/>
      <c r="E303" s="361"/>
      <c r="F303" s="361"/>
      <c r="G303" s="361"/>
      <c r="H303" s="361"/>
      <c r="I303" s="361"/>
      <c r="J303" s="361"/>
      <c r="K303" s="37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322"/>
      <c r="AD303" s="322"/>
    </row>
    <row r="304" spans="1:30" ht="15.75" customHeight="1">
      <c r="A304" s="361"/>
      <c r="B304" s="361"/>
      <c r="C304" s="361"/>
      <c r="D304" s="361"/>
      <c r="E304" s="361"/>
      <c r="F304" s="361"/>
      <c r="G304" s="361"/>
      <c r="H304" s="361"/>
      <c r="I304" s="361"/>
      <c r="J304" s="361"/>
      <c r="K304" s="37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322"/>
      <c r="AD304" s="322"/>
    </row>
    <row r="305" spans="1:30" ht="15.75" customHeight="1">
      <c r="A305" s="361"/>
      <c r="B305" s="361"/>
      <c r="C305" s="361"/>
      <c r="D305" s="361"/>
      <c r="E305" s="361"/>
      <c r="F305" s="361"/>
      <c r="G305" s="361"/>
      <c r="H305" s="361"/>
      <c r="I305" s="361"/>
      <c r="J305" s="361"/>
      <c r="K305" s="37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322"/>
      <c r="AD305" s="322"/>
    </row>
    <row r="306" spans="1:30" ht="15.75" customHeight="1">
      <c r="A306" s="361"/>
      <c r="B306" s="361"/>
      <c r="C306" s="361"/>
      <c r="D306" s="361"/>
      <c r="E306" s="361"/>
      <c r="F306" s="361"/>
      <c r="G306" s="361"/>
      <c r="H306" s="361"/>
      <c r="I306" s="361"/>
      <c r="J306" s="361"/>
      <c r="K306" s="37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322"/>
      <c r="AD306" s="322"/>
    </row>
    <row r="307" spans="1:30" ht="15.75" customHeight="1">
      <c r="A307" s="361"/>
      <c r="B307" s="361"/>
      <c r="C307" s="361"/>
      <c r="D307" s="361"/>
      <c r="E307" s="361"/>
      <c r="F307" s="361"/>
      <c r="G307" s="361"/>
      <c r="H307" s="361"/>
      <c r="I307" s="361"/>
      <c r="J307" s="361"/>
      <c r="K307" s="37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322"/>
      <c r="AD307" s="322"/>
    </row>
    <row r="308" spans="1:30" ht="15.75" customHeight="1">
      <c r="A308" s="361"/>
      <c r="B308" s="361"/>
      <c r="C308" s="361"/>
      <c r="D308" s="361"/>
      <c r="E308" s="361"/>
      <c r="F308" s="361"/>
      <c r="G308" s="361"/>
      <c r="H308" s="361"/>
      <c r="I308" s="361"/>
      <c r="J308" s="361"/>
      <c r="K308" s="37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322"/>
      <c r="AD308" s="322"/>
    </row>
    <row r="309" spans="1:30" ht="15.75" customHeight="1">
      <c r="A309" s="361"/>
      <c r="B309" s="361"/>
      <c r="C309" s="361"/>
      <c r="D309" s="361"/>
      <c r="E309" s="361"/>
      <c r="F309" s="361"/>
      <c r="G309" s="361"/>
      <c r="H309" s="361"/>
      <c r="I309" s="361"/>
      <c r="J309" s="361"/>
      <c r="K309" s="37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322"/>
      <c r="AD309" s="322"/>
    </row>
    <row r="310" spans="1:30" ht="15.75" customHeight="1">
      <c r="A310" s="361"/>
      <c r="B310" s="361"/>
      <c r="C310" s="361"/>
      <c r="D310" s="361"/>
      <c r="E310" s="361"/>
      <c r="F310" s="361"/>
      <c r="G310" s="361"/>
      <c r="H310" s="361"/>
      <c r="I310" s="361"/>
      <c r="J310" s="361"/>
      <c r="K310" s="37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322"/>
      <c r="AD310" s="322"/>
    </row>
    <row r="311" spans="1:30" ht="15.75" customHeight="1">
      <c r="A311" s="361"/>
      <c r="B311" s="361"/>
      <c r="C311" s="361"/>
      <c r="D311" s="361"/>
      <c r="E311" s="361"/>
      <c r="F311" s="361"/>
      <c r="G311" s="361"/>
      <c r="H311" s="361"/>
      <c r="I311" s="361"/>
      <c r="J311" s="361"/>
      <c r="K311" s="37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  <c r="AB311" s="322"/>
      <c r="AC311" s="322"/>
      <c r="AD311" s="322"/>
    </row>
    <row r="312" spans="1:30" ht="15.75" customHeight="1">
      <c r="A312" s="361"/>
      <c r="B312" s="361"/>
      <c r="C312" s="361"/>
      <c r="D312" s="361"/>
      <c r="E312" s="361"/>
      <c r="F312" s="361"/>
      <c r="G312" s="361"/>
      <c r="H312" s="361"/>
      <c r="I312" s="361"/>
      <c r="J312" s="361"/>
      <c r="K312" s="37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  <c r="AB312" s="322"/>
      <c r="AC312" s="322"/>
      <c r="AD312" s="322"/>
    </row>
    <row r="313" spans="1:30" ht="15.75" customHeight="1">
      <c r="A313" s="361"/>
      <c r="B313" s="361"/>
      <c r="C313" s="361"/>
      <c r="D313" s="361"/>
      <c r="E313" s="361"/>
      <c r="F313" s="361"/>
      <c r="G313" s="361"/>
      <c r="H313" s="361"/>
      <c r="I313" s="361"/>
      <c r="J313" s="361"/>
      <c r="K313" s="37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  <c r="AB313" s="322"/>
      <c r="AC313" s="322"/>
      <c r="AD313" s="322"/>
    </row>
    <row r="314" spans="1:30" ht="15.75" customHeight="1">
      <c r="A314" s="361"/>
      <c r="B314" s="361"/>
      <c r="C314" s="361"/>
      <c r="D314" s="361"/>
      <c r="E314" s="361"/>
      <c r="F314" s="361"/>
      <c r="G314" s="361"/>
      <c r="H314" s="361"/>
      <c r="I314" s="361"/>
      <c r="J314" s="361"/>
      <c r="K314" s="37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  <c r="AB314" s="322"/>
      <c r="AC314" s="322"/>
      <c r="AD314" s="322"/>
    </row>
    <row r="315" spans="1:30" ht="15.75" customHeight="1">
      <c r="A315" s="361"/>
      <c r="B315" s="361"/>
      <c r="C315" s="361"/>
      <c r="D315" s="361"/>
      <c r="E315" s="361"/>
      <c r="F315" s="361"/>
      <c r="G315" s="361"/>
      <c r="H315" s="361"/>
      <c r="I315" s="361"/>
      <c r="J315" s="361"/>
      <c r="K315" s="37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  <c r="AB315" s="322"/>
      <c r="AC315" s="322"/>
      <c r="AD315" s="322"/>
    </row>
    <row r="316" spans="1:30" ht="15.75" customHeight="1">
      <c r="A316" s="361"/>
      <c r="B316" s="361"/>
      <c r="C316" s="361"/>
      <c r="D316" s="361"/>
      <c r="E316" s="361"/>
      <c r="F316" s="361"/>
      <c r="G316" s="361"/>
      <c r="H316" s="361"/>
      <c r="I316" s="361"/>
      <c r="J316" s="361"/>
      <c r="K316" s="37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  <c r="AB316" s="322"/>
      <c r="AC316" s="322"/>
      <c r="AD316" s="322"/>
    </row>
    <row r="317" spans="1:30" ht="15.75" customHeight="1">
      <c r="A317" s="361"/>
      <c r="B317" s="361"/>
      <c r="C317" s="361"/>
      <c r="D317" s="361"/>
      <c r="E317" s="361"/>
      <c r="F317" s="361"/>
      <c r="G317" s="361"/>
      <c r="H317" s="361"/>
      <c r="I317" s="361"/>
      <c r="J317" s="361"/>
      <c r="K317" s="37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  <c r="AB317" s="322"/>
      <c r="AC317" s="322"/>
      <c r="AD317" s="322"/>
    </row>
    <row r="318" spans="1:30" ht="15.75" customHeight="1">
      <c r="A318" s="361"/>
      <c r="B318" s="361"/>
      <c r="C318" s="361"/>
      <c r="D318" s="361"/>
      <c r="E318" s="361"/>
      <c r="F318" s="361"/>
      <c r="G318" s="361"/>
      <c r="H318" s="361"/>
      <c r="I318" s="361"/>
      <c r="J318" s="361"/>
      <c r="K318" s="37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  <c r="AA318" s="322"/>
      <c r="AB318" s="322"/>
      <c r="AC318" s="322"/>
      <c r="AD318" s="322"/>
    </row>
    <row r="319" spans="1:30" ht="15.75" customHeight="1">
      <c r="A319" s="361"/>
      <c r="B319" s="361"/>
      <c r="C319" s="361"/>
      <c r="D319" s="361"/>
      <c r="E319" s="361"/>
      <c r="F319" s="361"/>
      <c r="G319" s="361"/>
      <c r="H319" s="361"/>
      <c r="I319" s="361"/>
      <c r="J319" s="361"/>
      <c r="K319" s="37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  <c r="AA319" s="322"/>
      <c r="AB319" s="322"/>
      <c r="AC319" s="322"/>
      <c r="AD319" s="322"/>
    </row>
    <row r="320" spans="1:30" ht="15.75" customHeight="1">
      <c r="A320" s="361"/>
      <c r="B320" s="361"/>
      <c r="C320" s="361"/>
      <c r="D320" s="361"/>
      <c r="E320" s="361"/>
      <c r="F320" s="361"/>
      <c r="G320" s="361"/>
      <c r="H320" s="361"/>
      <c r="I320" s="361"/>
      <c r="J320" s="361"/>
      <c r="K320" s="37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  <c r="AA320" s="322"/>
      <c r="AB320" s="322"/>
      <c r="AC320" s="322"/>
      <c r="AD320" s="322"/>
    </row>
    <row r="321" spans="1:30" ht="15.75" customHeight="1">
      <c r="A321" s="361"/>
      <c r="B321" s="361"/>
      <c r="C321" s="361"/>
      <c r="D321" s="361"/>
      <c r="E321" s="361"/>
      <c r="F321" s="361"/>
      <c r="G321" s="361"/>
      <c r="H321" s="361"/>
      <c r="I321" s="361"/>
      <c r="J321" s="361"/>
      <c r="K321" s="37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  <c r="AA321" s="322"/>
      <c r="AB321" s="322"/>
      <c r="AC321" s="322"/>
      <c r="AD321" s="322"/>
    </row>
    <row r="322" spans="1:30" ht="15.75" customHeight="1">
      <c r="A322" s="361"/>
      <c r="B322" s="361"/>
      <c r="C322" s="361"/>
      <c r="D322" s="361"/>
      <c r="E322" s="361"/>
      <c r="F322" s="361"/>
      <c r="G322" s="361"/>
      <c r="H322" s="361"/>
      <c r="I322" s="361"/>
      <c r="J322" s="361"/>
      <c r="K322" s="37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  <c r="AA322" s="322"/>
      <c r="AB322" s="322"/>
      <c r="AC322" s="322"/>
      <c r="AD322" s="322"/>
    </row>
    <row r="323" spans="1:30" ht="15.75" customHeight="1">
      <c r="A323" s="361"/>
      <c r="B323" s="361"/>
      <c r="C323" s="361"/>
      <c r="D323" s="361"/>
      <c r="E323" s="361"/>
      <c r="F323" s="361"/>
      <c r="G323" s="361"/>
      <c r="H323" s="361"/>
      <c r="I323" s="361"/>
      <c r="J323" s="361"/>
      <c r="K323" s="37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322"/>
      <c r="AD323" s="322"/>
    </row>
    <row r="324" spans="1:30" ht="15.75" customHeight="1">
      <c r="A324" s="361"/>
      <c r="B324" s="361"/>
      <c r="C324" s="361"/>
      <c r="D324" s="361"/>
      <c r="E324" s="361"/>
      <c r="F324" s="361"/>
      <c r="G324" s="361"/>
      <c r="H324" s="361"/>
      <c r="I324" s="361"/>
      <c r="J324" s="361"/>
      <c r="K324" s="37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322"/>
      <c r="AD324" s="322"/>
    </row>
    <row r="325" spans="1:30" ht="15.75" customHeight="1">
      <c r="A325" s="361"/>
      <c r="B325" s="361"/>
      <c r="C325" s="361"/>
      <c r="D325" s="361"/>
      <c r="E325" s="361"/>
      <c r="F325" s="361"/>
      <c r="G325" s="361"/>
      <c r="H325" s="361"/>
      <c r="I325" s="361"/>
      <c r="J325" s="361"/>
      <c r="K325" s="37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322"/>
      <c r="AD325" s="322"/>
    </row>
    <row r="326" spans="1:30" ht="15.75" customHeight="1">
      <c r="A326" s="361"/>
      <c r="B326" s="361"/>
      <c r="C326" s="361"/>
      <c r="D326" s="361"/>
      <c r="E326" s="361"/>
      <c r="F326" s="361"/>
      <c r="G326" s="361"/>
      <c r="H326" s="361"/>
      <c r="I326" s="361"/>
      <c r="J326" s="361"/>
      <c r="K326" s="37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  <c r="AB326" s="322"/>
      <c r="AC326" s="322"/>
      <c r="AD326" s="322"/>
    </row>
    <row r="327" spans="1:30" ht="15.75" customHeight="1">
      <c r="A327" s="361"/>
      <c r="B327" s="361"/>
      <c r="C327" s="361"/>
      <c r="D327" s="361"/>
      <c r="E327" s="361"/>
      <c r="F327" s="361"/>
      <c r="G327" s="361"/>
      <c r="H327" s="361"/>
      <c r="I327" s="361"/>
      <c r="J327" s="361"/>
      <c r="K327" s="37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  <c r="AB327" s="322"/>
      <c r="AC327" s="322"/>
      <c r="AD327" s="322"/>
    </row>
    <row r="328" spans="1:30" ht="15.75" customHeight="1">
      <c r="A328" s="361"/>
      <c r="B328" s="361"/>
      <c r="C328" s="361"/>
      <c r="D328" s="361"/>
      <c r="E328" s="361"/>
      <c r="F328" s="361"/>
      <c r="G328" s="361"/>
      <c r="H328" s="361"/>
      <c r="I328" s="361"/>
      <c r="J328" s="361"/>
      <c r="K328" s="37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  <c r="AB328" s="322"/>
      <c r="AC328" s="322"/>
      <c r="AD328" s="322"/>
    </row>
    <row r="329" spans="1:30" ht="15.75" customHeight="1">
      <c r="A329" s="361"/>
      <c r="B329" s="361"/>
      <c r="C329" s="361"/>
      <c r="D329" s="361"/>
      <c r="E329" s="361"/>
      <c r="F329" s="361"/>
      <c r="G329" s="361"/>
      <c r="H329" s="361"/>
      <c r="I329" s="361"/>
      <c r="J329" s="361"/>
      <c r="K329" s="37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  <c r="AB329" s="322"/>
      <c r="AC329" s="322"/>
      <c r="AD329" s="322"/>
    </row>
    <row r="330" spans="1:30" ht="15.75" customHeight="1">
      <c r="A330" s="361"/>
      <c r="B330" s="361"/>
      <c r="C330" s="361"/>
      <c r="D330" s="361"/>
      <c r="E330" s="361"/>
      <c r="F330" s="361"/>
      <c r="G330" s="361"/>
      <c r="H330" s="361"/>
      <c r="I330" s="361"/>
      <c r="J330" s="361"/>
      <c r="K330" s="37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  <c r="AB330" s="322"/>
      <c r="AC330" s="322"/>
      <c r="AD330" s="322"/>
    </row>
    <row r="331" spans="1:30" ht="15.75" customHeight="1">
      <c r="A331" s="361"/>
      <c r="B331" s="361"/>
      <c r="C331" s="361"/>
      <c r="D331" s="361"/>
      <c r="E331" s="361"/>
      <c r="F331" s="361"/>
      <c r="G331" s="361"/>
      <c r="H331" s="361"/>
      <c r="I331" s="361"/>
      <c r="J331" s="361"/>
      <c r="K331" s="37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  <c r="AB331" s="322"/>
      <c r="AC331" s="322"/>
      <c r="AD331" s="322"/>
    </row>
    <row r="332" spans="1:30" ht="15.75" customHeight="1">
      <c r="A332" s="361"/>
      <c r="B332" s="361"/>
      <c r="C332" s="361"/>
      <c r="D332" s="361"/>
      <c r="E332" s="361"/>
      <c r="F332" s="361"/>
      <c r="G332" s="361"/>
      <c r="H332" s="361"/>
      <c r="I332" s="361"/>
      <c r="J332" s="361"/>
      <c r="K332" s="37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  <c r="AB332" s="322"/>
      <c r="AC332" s="322"/>
      <c r="AD332" s="322"/>
    </row>
    <row r="333" spans="1:30" ht="15.75" customHeight="1">
      <c r="A333" s="361"/>
      <c r="B333" s="361"/>
      <c r="C333" s="361"/>
      <c r="D333" s="361"/>
      <c r="E333" s="361"/>
      <c r="F333" s="361"/>
      <c r="G333" s="361"/>
      <c r="H333" s="361"/>
      <c r="I333" s="361"/>
      <c r="J333" s="361"/>
      <c r="K333" s="37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322"/>
      <c r="AD333" s="322"/>
    </row>
    <row r="334" spans="1:30" ht="15.75" customHeight="1">
      <c r="A334" s="361"/>
      <c r="B334" s="361"/>
      <c r="C334" s="361"/>
      <c r="D334" s="361"/>
      <c r="E334" s="361"/>
      <c r="F334" s="361"/>
      <c r="G334" s="361"/>
      <c r="H334" s="361"/>
      <c r="I334" s="361"/>
      <c r="J334" s="361"/>
      <c r="K334" s="37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322"/>
      <c r="AD334" s="322"/>
    </row>
    <row r="335" spans="1:30" ht="15.75" customHeight="1">
      <c r="A335" s="361"/>
      <c r="B335" s="361"/>
      <c r="C335" s="361"/>
      <c r="D335" s="361"/>
      <c r="E335" s="361"/>
      <c r="F335" s="361"/>
      <c r="G335" s="361"/>
      <c r="H335" s="361"/>
      <c r="I335" s="361"/>
      <c r="J335" s="361"/>
      <c r="K335" s="37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322"/>
      <c r="AD335" s="322"/>
    </row>
    <row r="336" spans="1:30" ht="15.75" customHeight="1">
      <c r="A336" s="361"/>
      <c r="B336" s="361"/>
      <c r="C336" s="361"/>
      <c r="D336" s="361"/>
      <c r="E336" s="361"/>
      <c r="F336" s="361"/>
      <c r="G336" s="361"/>
      <c r="H336" s="361"/>
      <c r="I336" s="361"/>
      <c r="J336" s="361"/>
      <c r="K336" s="37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  <c r="AB336" s="322"/>
      <c r="AC336" s="322"/>
      <c r="AD336" s="322"/>
    </row>
    <row r="337" spans="1:30" ht="15.75" customHeight="1">
      <c r="A337" s="361"/>
      <c r="B337" s="361"/>
      <c r="C337" s="361"/>
      <c r="D337" s="361"/>
      <c r="E337" s="361"/>
      <c r="F337" s="361"/>
      <c r="G337" s="361"/>
      <c r="H337" s="361"/>
      <c r="I337" s="361"/>
      <c r="J337" s="361"/>
      <c r="K337" s="37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  <c r="AB337" s="322"/>
      <c r="AC337" s="322"/>
      <c r="AD337" s="322"/>
    </row>
    <row r="338" spans="1:30" ht="15.75" customHeight="1">
      <c r="A338" s="361"/>
      <c r="B338" s="361"/>
      <c r="C338" s="361"/>
      <c r="D338" s="361"/>
      <c r="E338" s="361"/>
      <c r="F338" s="361"/>
      <c r="G338" s="361"/>
      <c r="H338" s="361"/>
      <c r="I338" s="361"/>
      <c r="J338" s="361"/>
      <c r="K338" s="37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  <c r="AB338" s="322"/>
      <c r="AC338" s="322"/>
      <c r="AD338" s="322"/>
    </row>
    <row r="339" spans="1:30" ht="15.75" customHeight="1">
      <c r="A339" s="361"/>
      <c r="B339" s="361"/>
      <c r="C339" s="361"/>
      <c r="D339" s="361"/>
      <c r="E339" s="361"/>
      <c r="F339" s="361"/>
      <c r="G339" s="361"/>
      <c r="H339" s="361"/>
      <c r="I339" s="361"/>
      <c r="J339" s="361"/>
      <c r="K339" s="37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  <c r="AB339" s="322"/>
      <c r="AC339" s="322"/>
      <c r="AD339" s="322"/>
    </row>
    <row r="340" spans="1:30" ht="15.75" customHeight="1">
      <c r="A340" s="361"/>
      <c r="B340" s="361"/>
      <c r="C340" s="361"/>
      <c r="D340" s="361"/>
      <c r="E340" s="361"/>
      <c r="F340" s="361"/>
      <c r="G340" s="361"/>
      <c r="H340" s="361"/>
      <c r="I340" s="361"/>
      <c r="J340" s="361"/>
      <c r="K340" s="37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  <c r="AB340" s="322"/>
      <c r="AC340" s="322"/>
      <c r="AD340" s="322"/>
    </row>
    <row r="341" spans="1:30" ht="15.75" customHeight="1">
      <c r="A341" s="361"/>
      <c r="B341" s="361"/>
      <c r="C341" s="361"/>
      <c r="D341" s="361"/>
      <c r="E341" s="361"/>
      <c r="F341" s="361"/>
      <c r="G341" s="361"/>
      <c r="H341" s="361"/>
      <c r="I341" s="361"/>
      <c r="J341" s="361"/>
      <c r="K341" s="37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  <c r="AB341" s="322"/>
      <c r="AC341" s="322"/>
      <c r="AD341" s="322"/>
    </row>
    <row r="342" spans="1:30" ht="15.75" customHeight="1">
      <c r="A342" s="361"/>
      <c r="B342" s="361"/>
      <c r="C342" s="361"/>
      <c r="D342" s="361"/>
      <c r="E342" s="361"/>
      <c r="F342" s="361"/>
      <c r="G342" s="361"/>
      <c r="H342" s="361"/>
      <c r="I342" s="361"/>
      <c r="J342" s="361"/>
      <c r="K342" s="37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322"/>
      <c r="AD342" s="322"/>
    </row>
    <row r="343" spans="1:30" ht="15.75" customHeight="1">
      <c r="A343" s="361"/>
      <c r="B343" s="361"/>
      <c r="C343" s="361"/>
      <c r="D343" s="361"/>
      <c r="E343" s="361"/>
      <c r="F343" s="361"/>
      <c r="G343" s="361"/>
      <c r="H343" s="361"/>
      <c r="I343" s="361"/>
      <c r="J343" s="361"/>
      <c r="K343" s="37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  <c r="AB343" s="322"/>
      <c r="AC343" s="322"/>
      <c r="AD343" s="322"/>
    </row>
    <row r="344" spans="1:30" ht="15.75" customHeight="1">
      <c r="A344" s="361"/>
      <c r="B344" s="361"/>
      <c r="C344" s="361"/>
      <c r="D344" s="361"/>
      <c r="E344" s="361"/>
      <c r="F344" s="361"/>
      <c r="G344" s="361"/>
      <c r="H344" s="361"/>
      <c r="I344" s="361"/>
      <c r="J344" s="361"/>
      <c r="K344" s="37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322"/>
      <c r="AD344" s="322"/>
    </row>
    <row r="345" spans="1:30" ht="15.75" customHeight="1">
      <c r="A345" s="361"/>
      <c r="B345" s="361"/>
      <c r="C345" s="361"/>
      <c r="D345" s="361"/>
      <c r="E345" s="361"/>
      <c r="F345" s="361"/>
      <c r="G345" s="361"/>
      <c r="H345" s="361"/>
      <c r="I345" s="361"/>
      <c r="J345" s="361"/>
      <c r="K345" s="37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  <c r="AB345" s="322"/>
      <c r="AC345" s="322"/>
      <c r="AD345" s="322"/>
    </row>
    <row r="346" spans="1:30" ht="15.75" customHeight="1">
      <c r="A346" s="361"/>
      <c r="B346" s="361"/>
      <c r="C346" s="361"/>
      <c r="D346" s="361"/>
      <c r="E346" s="361"/>
      <c r="F346" s="361"/>
      <c r="G346" s="361"/>
      <c r="H346" s="361"/>
      <c r="I346" s="361"/>
      <c r="J346" s="361"/>
      <c r="K346" s="37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  <c r="AB346" s="322"/>
      <c r="AC346" s="322"/>
      <c r="AD346" s="322"/>
    </row>
    <row r="347" spans="1:30" ht="15.75" customHeight="1">
      <c r="A347" s="361"/>
      <c r="B347" s="361"/>
      <c r="C347" s="361"/>
      <c r="D347" s="361"/>
      <c r="E347" s="361"/>
      <c r="F347" s="361"/>
      <c r="G347" s="361"/>
      <c r="H347" s="361"/>
      <c r="I347" s="361"/>
      <c r="J347" s="361"/>
      <c r="K347" s="37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  <c r="AB347" s="322"/>
      <c r="AC347" s="322"/>
      <c r="AD347" s="322"/>
    </row>
    <row r="348" spans="1:30" ht="15.75" customHeight="1">
      <c r="A348" s="361"/>
      <c r="B348" s="361"/>
      <c r="C348" s="361"/>
      <c r="D348" s="361"/>
      <c r="E348" s="361"/>
      <c r="F348" s="361"/>
      <c r="G348" s="361"/>
      <c r="H348" s="361"/>
      <c r="I348" s="361"/>
      <c r="J348" s="361"/>
      <c r="K348" s="37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322"/>
      <c r="AD348" s="322"/>
    </row>
    <row r="349" spans="1:30" ht="15.75" customHeight="1">
      <c r="A349" s="361"/>
      <c r="B349" s="361"/>
      <c r="C349" s="361"/>
      <c r="D349" s="361"/>
      <c r="E349" s="361"/>
      <c r="F349" s="361"/>
      <c r="G349" s="361"/>
      <c r="H349" s="361"/>
      <c r="I349" s="361"/>
      <c r="J349" s="361"/>
      <c r="K349" s="37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  <c r="AB349" s="322"/>
      <c r="AC349" s="322"/>
      <c r="AD349" s="322"/>
    </row>
    <row r="350" spans="1:30" ht="15.75" customHeight="1">
      <c r="A350" s="361"/>
      <c r="B350" s="361"/>
      <c r="C350" s="361"/>
      <c r="D350" s="361"/>
      <c r="E350" s="361"/>
      <c r="F350" s="361"/>
      <c r="G350" s="361"/>
      <c r="H350" s="361"/>
      <c r="I350" s="361"/>
      <c r="J350" s="361"/>
      <c r="K350" s="37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  <c r="AB350" s="322"/>
      <c r="AC350" s="322"/>
      <c r="AD350" s="322"/>
    </row>
    <row r="351" spans="1:30" ht="15.75" customHeight="1">
      <c r="A351" s="361"/>
      <c r="B351" s="361"/>
      <c r="C351" s="361"/>
      <c r="D351" s="361"/>
      <c r="E351" s="361"/>
      <c r="F351" s="361"/>
      <c r="G351" s="361"/>
      <c r="H351" s="361"/>
      <c r="I351" s="361"/>
      <c r="J351" s="361"/>
      <c r="K351" s="37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  <c r="AA351" s="322"/>
      <c r="AB351" s="322"/>
      <c r="AC351" s="322"/>
      <c r="AD351" s="322"/>
    </row>
    <row r="352" spans="1:30" ht="15.75" customHeight="1">
      <c r="A352" s="361"/>
      <c r="B352" s="361"/>
      <c r="C352" s="361"/>
      <c r="D352" s="361"/>
      <c r="E352" s="361"/>
      <c r="F352" s="361"/>
      <c r="G352" s="361"/>
      <c r="H352" s="361"/>
      <c r="I352" s="361"/>
      <c r="J352" s="361"/>
      <c r="K352" s="37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  <c r="AA352" s="322"/>
      <c r="AB352" s="322"/>
      <c r="AC352" s="322"/>
      <c r="AD352" s="322"/>
    </row>
    <row r="353" spans="1:30" ht="15.75" customHeight="1">
      <c r="A353" s="361"/>
      <c r="B353" s="361"/>
      <c r="C353" s="361"/>
      <c r="D353" s="361"/>
      <c r="E353" s="361"/>
      <c r="F353" s="361"/>
      <c r="G353" s="361"/>
      <c r="H353" s="361"/>
      <c r="I353" s="361"/>
      <c r="J353" s="361"/>
      <c r="K353" s="37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  <c r="AA353" s="322"/>
      <c r="AB353" s="322"/>
      <c r="AC353" s="322"/>
      <c r="AD353" s="322"/>
    </row>
    <row r="354" spans="1:30" ht="15.75" customHeight="1">
      <c r="A354" s="361"/>
      <c r="B354" s="361"/>
      <c r="C354" s="361"/>
      <c r="D354" s="361"/>
      <c r="E354" s="361"/>
      <c r="F354" s="361"/>
      <c r="G354" s="361"/>
      <c r="H354" s="361"/>
      <c r="I354" s="361"/>
      <c r="J354" s="361"/>
      <c r="K354" s="37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  <c r="AB354" s="322"/>
      <c r="AC354" s="322"/>
      <c r="AD354" s="322"/>
    </row>
    <row r="355" spans="1:30" ht="15.75" customHeight="1">
      <c r="A355" s="361"/>
      <c r="B355" s="361"/>
      <c r="C355" s="361"/>
      <c r="D355" s="361"/>
      <c r="E355" s="361"/>
      <c r="F355" s="361"/>
      <c r="G355" s="361"/>
      <c r="H355" s="361"/>
      <c r="I355" s="361"/>
      <c r="J355" s="361"/>
      <c r="K355" s="37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  <c r="AB355" s="322"/>
      <c r="AC355" s="322"/>
      <c r="AD355" s="322"/>
    </row>
    <row r="356" spans="1:30" ht="15.75" customHeight="1">
      <c r="A356" s="361"/>
      <c r="B356" s="361"/>
      <c r="C356" s="361"/>
      <c r="D356" s="361"/>
      <c r="E356" s="361"/>
      <c r="F356" s="361"/>
      <c r="G356" s="361"/>
      <c r="H356" s="361"/>
      <c r="I356" s="361"/>
      <c r="J356" s="361"/>
      <c r="K356" s="37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322"/>
      <c r="AD356" s="322"/>
    </row>
    <row r="357" spans="1:30" ht="15.75" customHeight="1">
      <c r="A357" s="361"/>
      <c r="B357" s="361"/>
      <c r="C357" s="361"/>
      <c r="D357" s="361"/>
      <c r="E357" s="361"/>
      <c r="F357" s="361"/>
      <c r="G357" s="361"/>
      <c r="H357" s="361"/>
      <c r="I357" s="361"/>
      <c r="J357" s="361"/>
      <c r="K357" s="37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  <c r="AB357" s="322"/>
      <c r="AC357" s="322"/>
      <c r="AD357" s="322"/>
    </row>
    <row r="358" spans="1:30" ht="15.75" customHeight="1">
      <c r="A358" s="361"/>
      <c r="B358" s="361"/>
      <c r="C358" s="361"/>
      <c r="D358" s="361"/>
      <c r="E358" s="361"/>
      <c r="F358" s="361"/>
      <c r="G358" s="361"/>
      <c r="H358" s="361"/>
      <c r="I358" s="361"/>
      <c r="J358" s="361"/>
      <c r="K358" s="37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  <c r="AB358" s="322"/>
      <c r="AC358" s="322"/>
      <c r="AD358" s="322"/>
    </row>
    <row r="359" spans="1:30" ht="15.75" customHeight="1">
      <c r="A359" s="361"/>
      <c r="B359" s="361"/>
      <c r="C359" s="361"/>
      <c r="D359" s="361"/>
      <c r="E359" s="361"/>
      <c r="F359" s="361"/>
      <c r="G359" s="361"/>
      <c r="H359" s="361"/>
      <c r="I359" s="361"/>
      <c r="J359" s="361"/>
      <c r="K359" s="37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  <c r="AB359" s="322"/>
      <c r="AC359" s="322"/>
      <c r="AD359" s="322"/>
    </row>
    <row r="360" spans="1:30" ht="15.75" customHeight="1">
      <c r="A360" s="361"/>
      <c r="B360" s="361"/>
      <c r="C360" s="361"/>
      <c r="D360" s="361"/>
      <c r="E360" s="361"/>
      <c r="F360" s="361"/>
      <c r="G360" s="361"/>
      <c r="H360" s="361"/>
      <c r="I360" s="361"/>
      <c r="J360" s="361"/>
      <c r="K360" s="37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  <c r="AB360" s="322"/>
      <c r="AC360" s="322"/>
      <c r="AD360" s="322"/>
    </row>
    <row r="361" spans="1:30" ht="15.75" customHeight="1">
      <c r="A361" s="361"/>
      <c r="B361" s="361"/>
      <c r="C361" s="361"/>
      <c r="D361" s="361"/>
      <c r="E361" s="361"/>
      <c r="F361" s="361"/>
      <c r="G361" s="361"/>
      <c r="H361" s="361"/>
      <c r="I361" s="361"/>
      <c r="J361" s="361"/>
      <c r="K361" s="37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322"/>
      <c r="AD361" s="322"/>
    </row>
    <row r="362" spans="1:30" ht="15.75" customHeight="1">
      <c r="A362" s="361"/>
      <c r="B362" s="361"/>
      <c r="C362" s="361"/>
      <c r="D362" s="361"/>
      <c r="E362" s="361"/>
      <c r="F362" s="361"/>
      <c r="G362" s="361"/>
      <c r="H362" s="361"/>
      <c r="I362" s="361"/>
      <c r="J362" s="361"/>
      <c r="K362" s="37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  <c r="AB362" s="322"/>
      <c r="AC362" s="322"/>
      <c r="AD362" s="322"/>
    </row>
    <row r="363" spans="1:30" ht="15.75" customHeight="1">
      <c r="A363" s="361"/>
      <c r="B363" s="361"/>
      <c r="C363" s="361"/>
      <c r="D363" s="361"/>
      <c r="E363" s="361"/>
      <c r="F363" s="361"/>
      <c r="G363" s="361"/>
      <c r="H363" s="361"/>
      <c r="I363" s="361"/>
      <c r="J363" s="361"/>
      <c r="K363" s="37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  <c r="AB363" s="322"/>
      <c r="AC363" s="322"/>
      <c r="AD363" s="322"/>
    </row>
    <row r="364" spans="1:30" ht="15.75" customHeight="1">
      <c r="A364" s="361"/>
      <c r="B364" s="361"/>
      <c r="C364" s="361"/>
      <c r="D364" s="361"/>
      <c r="E364" s="361"/>
      <c r="F364" s="361"/>
      <c r="G364" s="361"/>
      <c r="H364" s="361"/>
      <c r="I364" s="361"/>
      <c r="J364" s="361"/>
      <c r="K364" s="37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  <c r="AB364" s="322"/>
      <c r="AC364" s="322"/>
      <c r="AD364" s="322"/>
    </row>
    <row r="365" spans="1:30" ht="15.75" customHeight="1">
      <c r="A365" s="361"/>
      <c r="B365" s="361"/>
      <c r="C365" s="361"/>
      <c r="D365" s="361"/>
      <c r="E365" s="361"/>
      <c r="F365" s="361"/>
      <c r="G365" s="361"/>
      <c r="H365" s="361"/>
      <c r="I365" s="361"/>
      <c r="J365" s="361"/>
      <c r="K365" s="37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  <c r="AB365" s="322"/>
      <c r="AC365" s="322"/>
      <c r="AD365" s="322"/>
    </row>
    <row r="366" spans="1:30" ht="15.75" customHeight="1">
      <c r="A366" s="361"/>
      <c r="B366" s="361"/>
      <c r="C366" s="361"/>
      <c r="D366" s="361"/>
      <c r="E366" s="361"/>
      <c r="F366" s="361"/>
      <c r="G366" s="361"/>
      <c r="H366" s="361"/>
      <c r="I366" s="361"/>
      <c r="J366" s="361"/>
      <c r="K366" s="37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  <c r="AB366" s="322"/>
      <c r="AC366" s="322"/>
      <c r="AD366" s="322"/>
    </row>
    <row r="367" spans="1:30" ht="15.75" customHeight="1">
      <c r="A367" s="361"/>
      <c r="B367" s="361"/>
      <c r="C367" s="361"/>
      <c r="D367" s="361"/>
      <c r="E367" s="361"/>
      <c r="F367" s="361"/>
      <c r="G367" s="361"/>
      <c r="H367" s="361"/>
      <c r="I367" s="361"/>
      <c r="J367" s="361"/>
      <c r="K367" s="37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322"/>
      <c r="AD367" s="322"/>
    </row>
    <row r="368" spans="1:30" ht="15.75" customHeight="1">
      <c r="A368" s="361"/>
      <c r="B368" s="361"/>
      <c r="C368" s="361"/>
      <c r="D368" s="361"/>
      <c r="E368" s="361"/>
      <c r="F368" s="361"/>
      <c r="G368" s="361"/>
      <c r="H368" s="361"/>
      <c r="I368" s="361"/>
      <c r="J368" s="361"/>
      <c r="K368" s="37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  <c r="AA368" s="322"/>
      <c r="AB368" s="322"/>
      <c r="AC368" s="322"/>
      <c r="AD368" s="322"/>
    </row>
    <row r="369" spans="1:30" ht="15.75" customHeight="1">
      <c r="A369" s="361"/>
      <c r="B369" s="361"/>
      <c r="C369" s="361"/>
      <c r="D369" s="361"/>
      <c r="E369" s="361"/>
      <c r="F369" s="361"/>
      <c r="G369" s="361"/>
      <c r="H369" s="361"/>
      <c r="I369" s="361"/>
      <c r="J369" s="361"/>
      <c r="K369" s="37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  <c r="AB369" s="322"/>
      <c r="AC369" s="322"/>
      <c r="AD369" s="322"/>
    </row>
    <row r="370" spans="1:30" ht="15.75" customHeight="1">
      <c r="A370" s="361"/>
      <c r="B370" s="361"/>
      <c r="C370" s="361"/>
      <c r="D370" s="361"/>
      <c r="E370" s="361"/>
      <c r="F370" s="361"/>
      <c r="G370" s="361"/>
      <c r="H370" s="361"/>
      <c r="I370" s="361"/>
      <c r="J370" s="361"/>
      <c r="K370" s="37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322"/>
      <c r="AD370" s="322"/>
    </row>
    <row r="371" spans="1:30" ht="15.75" customHeight="1">
      <c r="A371" s="361"/>
      <c r="B371" s="361"/>
      <c r="C371" s="361"/>
      <c r="D371" s="361"/>
      <c r="E371" s="361"/>
      <c r="F371" s="361"/>
      <c r="G371" s="361"/>
      <c r="H371" s="361"/>
      <c r="I371" s="361"/>
      <c r="J371" s="361"/>
      <c r="K371" s="37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  <c r="AB371" s="322"/>
      <c r="AC371" s="322"/>
      <c r="AD371" s="322"/>
    </row>
    <row r="372" spans="1:30" ht="15.75" customHeight="1">
      <c r="A372" s="361"/>
      <c r="B372" s="361"/>
      <c r="C372" s="361"/>
      <c r="D372" s="361"/>
      <c r="E372" s="361"/>
      <c r="F372" s="361"/>
      <c r="G372" s="361"/>
      <c r="H372" s="361"/>
      <c r="I372" s="361"/>
      <c r="J372" s="361"/>
      <c r="K372" s="37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  <c r="AB372" s="322"/>
      <c r="AC372" s="322"/>
      <c r="AD372" s="322"/>
    </row>
    <row r="373" spans="1:30" ht="15.75" customHeight="1">
      <c r="A373" s="361"/>
      <c r="B373" s="361"/>
      <c r="C373" s="361"/>
      <c r="D373" s="361"/>
      <c r="E373" s="361"/>
      <c r="F373" s="361"/>
      <c r="G373" s="361"/>
      <c r="H373" s="361"/>
      <c r="I373" s="361"/>
      <c r="J373" s="361"/>
      <c r="K373" s="37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  <c r="AB373" s="322"/>
      <c r="AC373" s="322"/>
      <c r="AD373" s="322"/>
    </row>
    <row r="374" spans="1:30" ht="15.75" customHeight="1">
      <c r="A374" s="361"/>
      <c r="B374" s="361"/>
      <c r="C374" s="361"/>
      <c r="D374" s="361"/>
      <c r="E374" s="361"/>
      <c r="F374" s="361"/>
      <c r="G374" s="361"/>
      <c r="H374" s="361"/>
      <c r="I374" s="361"/>
      <c r="J374" s="361"/>
      <c r="K374" s="37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  <c r="AB374" s="322"/>
      <c r="AC374" s="322"/>
      <c r="AD374" s="322"/>
    </row>
    <row r="375" spans="1:30" ht="15.75" customHeight="1">
      <c r="A375" s="361"/>
      <c r="B375" s="361"/>
      <c r="C375" s="361"/>
      <c r="D375" s="361"/>
      <c r="E375" s="361"/>
      <c r="F375" s="361"/>
      <c r="G375" s="361"/>
      <c r="H375" s="361"/>
      <c r="I375" s="361"/>
      <c r="J375" s="361"/>
      <c r="K375" s="37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  <c r="AB375" s="322"/>
      <c r="AC375" s="322"/>
      <c r="AD375" s="322"/>
    </row>
    <row r="376" spans="1:30" ht="15.75" customHeight="1">
      <c r="A376" s="361"/>
      <c r="B376" s="361"/>
      <c r="C376" s="361"/>
      <c r="D376" s="361"/>
      <c r="E376" s="361"/>
      <c r="F376" s="361"/>
      <c r="G376" s="361"/>
      <c r="H376" s="361"/>
      <c r="I376" s="361"/>
      <c r="J376" s="361"/>
      <c r="K376" s="37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  <c r="AA376" s="322"/>
      <c r="AB376" s="322"/>
      <c r="AC376" s="322"/>
      <c r="AD376" s="322"/>
    </row>
    <row r="377" spans="1:30" ht="15.75" customHeight="1">
      <c r="A377" s="361"/>
      <c r="B377" s="361"/>
      <c r="C377" s="361"/>
      <c r="D377" s="361"/>
      <c r="E377" s="361"/>
      <c r="F377" s="361"/>
      <c r="G377" s="361"/>
      <c r="H377" s="361"/>
      <c r="I377" s="361"/>
      <c r="J377" s="361"/>
      <c r="K377" s="37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  <c r="AB377" s="322"/>
      <c r="AC377" s="322"/>
      <c r="AD377" s="322"/>
    </row>
    <row r="378" spans="1:30" ht="15.75" customHeight="1">
      <c r="A378" s="361"/>
      <c r="B378" s="361"/>
      <c r="C378" s="361"/>
      <c r="D378" s="361"/>
      <c r="E378" s="361"/>
      <c r="F378" s="361"/>
      <c r="G378" s="361"/>
      <c r="H378" s="361"/>
      <c r="I378" s="361"/>
      <c r="J378" s="361"/>
      <c r="K378" s="37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  <c r="AB378" s="322"/>
      <c r="AC378" s="322"/>
      <c r="AD378" s="322"/>
    </row>
    <row r="379" spans="1:30" ht="15.75" customHeight="1">
      <c r="A379" s="361"/>
      <c r="B379" s="361"/>
      <c r="C379" s="361"/>
      <c r="D379" s="361"/>
      <c r="E379" s="361"/>
      <c r="F379" s="361"/>
      <c r="G379" s="361"/>
      <c r="H379" s="361"/>
      <c r="I379" s="361"/>
      <c r="J379" s="361"/>
      <c r="K379" s="37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  <c r="AB379" s="322"/>
      <c r="AC379" s="322"/>
      <c r="AD379" s="322"/>
    </row>
    <row r="380" spans="1:30" ht="15.75" customHeight="1">
      <c r="A380" s="361"/>
      <c r="B380" s="361"/>
      <c r="C380" s="361"/>
      <c r="D380" s="361"/>
      <c r="E380" s="361"/>
      <c r="F380" s="361"/>
      <c r="G380" s="361"/>
      <c r="H380" s="361"/>
      <c r="I380" s="361"/>
      <c r="J380" s="361"/>
      <c r="K380" s="37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  <c r="AB380" s="322"/>
      <c r="AC380" s="322"/>
      <c r="AD380" s="322"/>
    </row>
    <row r="381" spans="1:30" ht="15.75" customHeight="1">
      <c r="A381" s="361"/>
      <c r="B381" s="361"/>
      <c r="C381" s="361"/>
      <c r="D381" s="361"/>
      <c r="E381" s="361"/>
      <c r="F381" s="361"/>
      <c r="G381" s="361"/>
      <c r="H381" s="361"/>
      <c r="I381" s="361"/>
      <c r="J381" s="361"/>
      <c r="K381" s="37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  <c r="AB381" s="322"/>
      <c r="AC381" s="322"/>
      <c r="AD381" s="322"/>
    </row>
    <row r="382" spans="1:30" ht="15.75" customHeight="1">
      <c r="A382" s="361"/>
      <c r="B382" s="361"/>
      <c r="C382" s="361"/>
      <c r="D382" s="361"/>
      <c r="E382" s="361"/>
      <c r="F382" s="361"/>
      <c r="G382" s="361"/>
      <c r="H382" s="361"/>
      <c r="I382" s="361"/>
      <c r="J382" s="361"/>
      <c r="K382" s="37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  <c r="AA382" s="322"/>
      <c r="AB382" s="322"/>
      <c r="AC382" s="322"/>
      <c r="AD382" s="322"/>
    </row>
    <row r="383" spans="1:30" ht="15.75" customHeight="1">
      <c r="A383" s="361"/>
      <c r="B383" s="361"/>
      <c r="C383" s="361"/>
      <c r="D383" s="361"/>
      <c r="E383" s="361"/>
      <c r="F383" s="361"/>
      <c r="G383" s="361"/>
      <c r="H383" s="361"/>
      <c r="I383" s="361"/>
      <c r="J383" s="361"/>
      <c r="K383" s="37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  <c r="AA383" s="322"/>
      <c r="AB383" s="322"/>
      <c r="AC383" s="322"/>
      <c r="AD383" s="322"/>
    </row>
    <row r="384" spans="1:30" ht="15.75" customHeight="1">
      <c r="A384" s="361"/>
      <c r="B384" s="361"/>
      <c r="C384" s="361"/>
      <c r="D384" s="361"/>
      <c r="E384" s="361"/>
      <c r="F384" s="361"/>
      <c r="G384" s="361"/>
      <c r="H384" s="361"/>
      <c r="I384" s="361"/>
      <c r="J384" s="361"/>
      <c r="K384" s="37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  <c r="AA384" s="322"/>
      <c r="AB384" s="322"/>
      <c r="AC384" s="322"/>
      <c r="AD384" s="322"/>
    </row>
    <row r="385" spans="1:30" ht="15.75" customHeight="1">
      <c r="A385" s="361"/>
      <c r="B385" s="361"/>
      <c r="C385" s="361"/>
      <c r="D385" s="361"/>
      <c r="E385" s="361"/>
      <c r="F385" s="361"/>
      <c r="G385" s="361"/>
      <c r="H385" s="361"/>
      <c r="I385" s="361"/>
      <c r="J385" s="361"/>
      <c r="K385" s="37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  <c r="AA385" s="322"/>
      <c r="AB385" s="322"/>
      <c r="AC385" s="322"/>
      <c r="AD385" s="322"/>
    </row>
    <row r="386" spans="1:30" ht="15.75" customHeight="1">
      <c r="A386" s="361"/>
      <c r="B386" s="361"/>
      <c r="C386" s="361"/>
      <c r="D386" s="361"/>
      <c r="E386" s="361"/>
      <c r="F386" s="361"/>
      <c r="G386" s="361"/>
      <c r="H386" s="361"/>
      <c r="I386" s="361"/>
      <c r="J386" s="361"/>
      <c r="K386" s="37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  <c r="AA386" s="322"/>
      <c r="AB386" s="322"/>
      <c r="AC386" s="322"/>
      <c r="AD386" s="322"/>
    </row>
    <row r="387" spans="1:30" ht="15.75" customHeight="1">
      <c r="A387" s="361"/>
      <c r="B387" s="361"/>
      <c r="C387" s="361"/>
      <c r="D387" s="361"/>
      <c r="E387" s="361"/>
      <c r="F387" s="361"/>
      <c r="G387" s="361"/>
      <c r="H387" s="361"/>
      <c r="I387" s="361"/>
      <c r="J387" s="361"/>
      <c r="K387" s="37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  <c r="AA387" s="322"/>
      <c r="AB387" s="322"/>
      <c r="AC387" s="322"/>
      <c r="AD387" s="322"/>
    </row>
    <row r="388" spans="1:30" ht="15.75" customHeight="1">
      <c r="A388" s="361"/>
      <c r="B388" s="361"/>
      <c r="C388" s="361"/>
      <c r="D388" s="361"/>
      <c r="E388" s="361"/>
      <c r="F388" s="361"/>
      <c r="G388" s="361"/>
      <c r="H388" s="361"/>
      <c r="I388" s="361"/>
      <c r="J388" s="361"/>
      <c r="K388" s="37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  <c r="AA388" s="322"/>
      <c r="AB388" s="322"/>
      <c r="AC388" s="322"/>
      <c r="AD388" s="322"/>
    </row>
    <row r="389" spans="1:30" ht="15.75" customHeight="1">
      <c r="A389" s="361"/>
      <c r="B389" s="361"/>
      <c r="C389" s="361"/>
      <c r="D389" s="361"/>
      <c r="E389" s="361"/>
      <c r="F389" s="361"/>
      <c r="G389" s="361"/>
      <c r="H389" s="361"/>
      <c r="I389" s="361"/>
      <c r="J389" s="361"/>
      <c r="K389" s="37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  <c r="AA389" s="322"/>
      <c r="AB389" s="322"/>
      <c r="AC389" s="322"/>
      <c r="AD389" s="322"/>
    </row>
    <row r="390" spans="1:30" ht="15.75" customHeight="1">
      <c r="A390" s="361"/>
      <c r="B390" s="361"/>
      <c r="C390" s="361"/>
      <c r="D390" s="361"/>
      <c r="E390" s="361"/>
      <c r="F390" s="361"/>
      <c r="G390" s="361"/>
      <c r="H390" s="361"/>
      <c r="I390" s="361"/>
      <c r="J390" s="361"/>
      <c r="K390" s="37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  <c r="AA390" s="322"/>
      <c r="AB390" s="322"/>
      <c r="AC390" s="322"/>
      <c r="AD390" s="322"/>
    </row>
    <row r="391" spans="1:30" ht="15.75" customHeight="1">
      <c r="A391" s="361"/>
      <c r="B391" s="361"/>
      <c r="C391" s="361"/>
      <c r="D391" s="361"/>
      <c r="E391" s="361"/>
      <c r="F391" s="361"/>
      <c r="G391" s="361"/>
      <c r="H391" s="361"/>
      <c r="I391" s="361"/>
      <c r="J391" s="361"/>
      <c r="K391" s="37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  <c r="AA391" s="322"/>
      <c r="AB391" s="322"/>
      <c r="AC391" s="322"/>
      <c r="AD391" s="322"/>
    </row>
    <row r="392" spans="1:30" ht="15.75" customHeight="1">
      <c r="A392" s="361"/>
      <c r="B392" s="361"/>
      <c r="C392" s="361"/>
      <c r="D392" s="361"/>
      <c r="E392" s="361"/>
      <c r="F392" s="361"/>
      <c r="G392" s="361"/>
      <c r="H392" s="361"/>
      <c r="I392" s="361"/>
      <c r="J392" s="361"/>
      <c r="K392" s="37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  <c r="AA392" s="322"/>
      <c r="AB392" s="322"/>
      <c r="AC392" s="322"/>
      <c r="AD392" s="322"/>
    </row>
    <row r="393" spans="1:30" ht="15.75" customHeight="1">
      <c r="A393" s="361"/>
      <c r="B393" s="361"/>
      <c r="C393" s="361"/>
      <c r="D393" s="361"/>
      <c r="E393" s="361"/>
      <c r="F393" s="361"/>
      <c r="G393" s="361"/>
      <c r="H393" s="361"/>
      <c r="I393" s="361"/>
      <c r="J393" s="361"/>
      <c r="K393" s="37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  <c r="AA393" s="322"/>
      <c r="AB393" s="322"/>
      <c r="AC393" s="322"/>
      <c r="AD393" s="322"/>
    </row>
    <row r="394" spans="1:30" ht="15.75" customHeight="1">
      <c r="A394" s="361"/>
      <c r="B394" s="361"/>
      <c r="C394" s="361"/>
      <c r="D394" s="361"/>
      <c r="E394" s="361"/>
      <c r="F394" s="361"/>
      <c r="G394" s="361"/>
      <c r="H394" s="361"/>
      <c r="I394" s="361"/>
      <c r="J394" s="361"/>
      <c r="K394" s="37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  <c r="AA394" s="322"/>
      <c r="AB394" s="322"/>
      <c r="AC394" s="322"/>
      <c r="AD394" s="322"/>
    </row>
    <row r="395" spans="1:30" ht="15.75" customHeight="1">
      <c r="A395" s="361"/>
      <c r="B395" s="361"/>
      <c r="C395" s="361"/>
      <c r="D395" s="361"/>
      <c r="E395" s="361"/>
      <c r="F395" s="361"/>
      <c r="G395" s="361"/>
      <c r="H395" s="361"/>
      <c r="I395" s="361"/>
      <c r="J395" s="361"/>
      <c r="K395" s="37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  <c r="AA395" s="322"/>
      <c r="AB395" s="322"/>
      <c r="AC395" s="322"/>
      <c r="AD395" s="322"/>
    </row>
    <row r="396" spans="1:30" ht="15.75" customHeight="1">
      <c r="A396" s="361"/>
      <c r="B396" s="361"/>
      <c r="C396" s="361"/>
      <c r="D396" s="361"/>
      <c r="E396" s="361"/>
      <c r="F396" s="361"/>
      <c r="G396" s="361"/>
      <c r="H396" s="361"/>
      <c r="I396" s="361"/>
      <c r="J396" s="361"/>
      <c r="K396" s="37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  <c r="AA396" s="322"/>
      <c r="AB396" s="322"/>
      <c r="AC396" s="322"/>
      <c r="AD396" s="322"/>
    </row>
    <row r="397" spans="1:30" ht="15.75" customHeight="1">
      <c r="A397" s="361"/>
      <c r="B397" s="361"/>
      <c r="C397" s="361"/>
      <c r="D397" s="361"/>
      <c r="E397" s="361"/>
      <c r="F397" s="361"/>
      <c r="G397" s="361"/>
      <c r="H397" s="361"/>
      <c r="I397" s="361"/>
      <c r="J397" s="361"/>
      <c r="K397" s="37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  <c r="AA397" s="322"/>
      <c r="AB397" s="322"/>
      <c r="AC397" s="322"/>
      <c r="AD397" s="322"/>
    </row>
    <row r="398" spans="1:30" ht="15.75" customHeight="1">
      <c r="A398" s="361"/>
      <c r="B398" s="361"/>
      <c r="C398" s="361"/>
      <c r="D398" s="361"/>
      <c r="E398" s="361"/>
      <c r="F398" s="361"/>
      <c r="G398" s="361"/>
      <c r="H398" s="361"/>
      <c r="I398" s="361"/>
      <c r="J398" s="361"/>
      <c r="K398" s="37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  <c r="AA398" s="322"/>
      <c r="AB398" s="322"/>
      <c r="AC398" s="322"/>
      <c r="AD398" s="322"/>
    </row>
    <row r="399" spans="1:30" ht="15.75" customHeight="1">
      <c r="A399" s="361"/>
      <c r="B399" s="361"/>
      <c r="C399" s="361"/>
      <c r="D399" s="361"/>
      <c r="E399" s="361"/>
      <c r="F399" s="361"/>
      <c r="G399" s="361"/>
      <c r="H399" s="361"/>
      <c r="I399" s="361"/>
      <c r="J399" s="361"/>
      <c r="K399" s="37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  <c r="AA399" s="322"/>
      <c r="AB399" s="322"/>
      <c r="AC399" s="322"/>
      <c r="AD399" s="322"/>
    </row>
    <row r="400" spans="1:30" ht="15.75" customHeight="1">
      <c r="A400" s="361"/>
      <c r="B400" s="361"/>
      <c r="C400" s="361"/>
      <c r="D400" s="361"/>
      <c r="E400" s="361"/>
      <c r="F400" s="361"/>
      <c r="G400" s="361"/>
      <c r="H400" s="361"/>
      <c r="I400" s="361"/>
      <c r="J400" s="361"/>
      <c r="K400" s="37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  <c r="AA400" s="322"/>
      <c r="AB400" s="322"/>
      <c r="AC400" s="322"/>
      <c r="AD400" s="322"/>
    </row>
    <row r="401" spans="1:30" ht="15.75" customHeight="1">
      <c r="A401" s="361"/>
      <c r="B401" s="361"/>
      <c r="C401" s="361"/>
      <c r="D401" s="361"/>
      <c r="E401" s="361"/>
      <c r="F401" s="361"/>
      <c r="G401" s="361"/>
      <c r="H401" s="361"/>
      <c r="I401" s="361"/>
      <c r="J401" s="361"/>
      <c r="K401" s="37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  <c r="AA401" s="322"/>
      <c r="AB401" s="322"/>
      <c r="AC401" s="322"/>
      <c r="AD401" s="322"/>
    </row>
    <row r="402" spans="1:30" ht="15.75" customHeight="1">
      <c r="A402" s="361"/>
      <c r="B402" s="361"/>
      <c r="C402" s="361"/>
      <c r="D402" s="361"/>
      <c r="E402" s="361"/>
      <c r="F402" s="361"/>
      <c r="G402" s="361"/>
      <c r="H402" s="361"/>
      <c r="I402" s="361"/>
      <c r="J402" s="361"/>
      <c r="K402" s="37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  <c r="AA402" s="322"/>
      <c r="AB402" s="322"/>
      <c r="AC402" s="322"/>
      <c r="AD402" s="322"/>
    </row>
    <row r="403" spans="1:30" ht="15.75" customHeight="1">
      <c r="A403" s="361"/>
      <c r="B403" s="361"/>
      <c r="C403" s="361"/>
      <c r="D403" s="361"/>
      <c r="E403" s="361"/>
      <c r="F403" s="361"/>
      <c r="G403" s="361"/>
      <c r="H403" s="361"/>
      <c r="I403" s="361"/>
      <c r="J403" s="361"/>
      <c r="K403" s="37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  <c r="AA403" s="322"/>
      <c r="AB403" s="322"/>
      <c r="AC403" s="322"/>
      <c r="AD403" s="322"/>
    </row>
    <row r="404" spans="1:30" ht="15.75" customHeight="1">
      <c r="A404" s="361"/>
      <c r="B404" s="361"/>
      <c r="C404" s="361"/>
      <c r="D404" s="361"/>
      <c r="E404" s="361"/>
      <c r="F404" s="361"/>
      <c r="G404" s="361"/>
      <c r="H404" s="361"/>
      <c r="I404" s="361"/>
      <c r="J404" s="361"/>
      <c r="K404" s="37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  <c r="AA404" s="322"/>
      <c r="AB404" s="322"/>
      <c r="AC404" s="322"/>
      <c r="AD404" s="322"/>
    </row>
    <row r="405" spans="1:30" ht="15.75" customHeight="1">
      <c r="A405" s="361"/>
      <c r="B405" s="361"/>
      <c r="C405" s="361"/>
      <c r="D405" s="361"/>
      <c r="E405" s="361"/>
      <c r="F405" s="361"/>
      <c r="G405" s="361"/>
      <c r="H405" s="361"/>
      <c r="I405" s="361"/>
      <c r="J405" s="361"/>
      <c r="K405" s="37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  <c r="AA405" s="322"/>
      <c r="AB405" s="322"/>
      <c r="AC405" s="322"/>
      <c r="AD405" s="322"/>
    </row>
    <row r="406" spans="1:30" ht="15.75" customHeight="1">
      <c r="A406" s="361"/>
      <c r="B406" s="361"/>
      <c r="C406" s="361"/>
      <c r="D406" s="361"/>
      <c r="E406" s="361"/>
      <c r="F406" s="361"/>
      <c r="G406" s="361"/>
      <c r="H406" s="361"/>
      <c r="I406" s="361"/>
      <c r="J406" s="361"/>
      <c r="K406" s="37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  <c r="AA406" s="322"/>
      <c r="AB406" s="322"/>
      <c r="AC406" s="322"/>
      <c r="AD406" s="322"/>
    </row>
    <row r="407" spans="1:30" ht="15.75" customHeight="1">
      <c r="A407" s="361"/>
      <c r="B407" s="361"/>
      <c r="C407" s="361"/>
      <c r="D407" s="361"/>
      <c r="E407" s="361"/>
      <c r="F407" s="361"/>
      <c r="G407" s="361"/>
      <c r="H407" s="361"/>
      <c r="I407" s="361"/>
      <c r="J407" s="361"/>
      <c r="K407" s="37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  <c r="AA407" s="322"/>
      <c r="AB407" s="322"/>
      <c r="AC407" s="322"/>
      <c r="AD407" s="322"/>
    </row>
    <row r="408" spans="1:30" ht="15.75" customHeight="1">
      <c r="A408" s="361"/>
      <c r="B408" s="361"/>
      <c r="C408" s="361"/>
      <c r="D408" s="361"/>
      <c r="E408" s="361"/>
      <c r="F408" s="361"/>
      <c r="G408" s="361"/>
      <c r="H408" s="361"/>
      <c r="I408" s="361"/>
      <c r="J408" s="361"/>
      <c r="K408" s="37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  <c r="AA408" s="322"/>
      <c r="AB408" s="322"/>
      <c r="AC408" s="322"/>
      <c r="AD408" s="322"/>
    </row>
    <row r="409" spans="1:30" ht="15.75" customHeight="1">
      <c r="A409" s="361"/>
      <c r="B409" s="361"/>
      <c r="C409" s="361"/>
      <c r="D409" s="361"/>
      <c r="E409" s="361"/>
      <c r="F409" s="361"/>
      <c r="G409" s="361"/>
      <c r="H409" s="361"/>
      <c r="I409" s="361"/>
      <c r="J409" s="361"/>
      <c r="K409" s="37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  <c r="AA409" s="322"/>
      <c r="AB409" s="322"/>
      <c r="AC409" s="322"/>
      <c r="AD409" s="322"/>
    </row>
    <row r="410" spans="1:30" ht="15.75" customHeight="1">
      <c r="A410" s="361"/>
      <c r="B410" s="361"/>
      <c r="C410" s="361"/>
      <c r="D410" s="361"/>
      <c r="E410" s="361"/>
      <c r="F410" s="361"/>
      <c r="G410" s="361"/>
      <c r="H410" s="361"/>
      <c r="I410" s="361"/>
      <c r="J410" s="361"/>
      <c r="K410" s="37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  <c r="AA410" s="322"/>
      <c r="AB410" s="322"/>
      <c r="AC410" s="322"/>
      <c r="AD410" s="322"/>
    </row>
    <row r="411" spans="1:30" ht="15.75" customHeight="1">
      <c r="A411" s="361"/>
      <c r="B411" s="361"/>
      <c r="C411" s="361"/>
      <c r="D411" s="361"/>
      <c r="E411" s="361"/>
      <c r="F411" s="361"/>
      <c r="G411" s="361"/>
      <c r="H411" s="361"/>
      <c r="I411" s="361"/>
      <c r="J411" s="361"/>
      <c r="K411" s="37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  <c r="AA411" s="322"/>
      <c r="AB411" s="322"/>
      <c r="AC411" s="322"/>
      <c r="AD411" s="322"/>
    </row>
    <row r="412" spans="1:30" ht="15.75" customHeight="1">
      <c r="A412" s="361"/>
      <c r="B412" s="361"/>
      <c r="C412" s="361"/>
      <c r="D412" s="361"/>
      <c r="E412" s="361"/>
      <c r="F412" s="361"/>
      <c r="G412" s="361"/>
      <c r="H412" s="361"/>
      <c r="I412" s="361"/>
      <c r="J412" s="361"/>
      <c r="K412" s="37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  <c r="AA412" s="322"/>
      <c r="AB412" s="322"/>
      <c r="AC412" s="322"/>
      <c r="AD412" s="322"/>
    </row>
    <row r="413" spans="1:30" ht="15.75" customHeight="1">
      <c r="A413" s="361"/>
      <c r="B413" s="361"/>
      <c r="C413" s="361"/>
      <c r="D413" s="361"/>
      <c r="E413" s="361"/>
      <c r="F413" s="361"/>
      <c r="G413" s="361"/>
      <c r="H413" s="361"/>
      <c r="I413" s="361"/>
      <c r="J413" s="361"/>
      <c r="K413" s="37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  <c r="AA413" s="322"/>
      <c r="AB413" s="322"/>
      <c r="AC413" s="322"/>
      <c r="AD413" s="322"/>
    </row>
    <row r="414" spans="1:30" ht="15.75" customHeight="1">
      <c r="A414" s="361"/>
      <c r="B414" s="361"/>
      <c r="C414" s="361"/>
      <c r="D414" s="361"/>
      <c r="E414" s="361"/>
      <c r="F414" s="361"/>
      <c r="G414" s="361"/>
      <c r="H414" s="361"/>
      <c r="I414" s="361"/>
      <c r="J414" s="361"/>
      <c r="K414" s="37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  <c r="AA414" s="322"/>
      <c r="AB414" s="322"/>
      <c r="AC414" s="322"/>
      <c r="AD414" s="322"/>
    </row>
    <row r="415" spans="1:30" ht="15.75" customHeight="1">
      <c r="A415" s="361"/>
      <c r="B415" s="361"/>
      <c r="C415" s="361"/>
      <c r="D415" s="361"/>
      <c r="E415" s="361"/>
      <c r="F415" s="361"/>
      <c r="G415" s="361"/>
      <c r="H415" s="361"/>
      <c r="I415" s="361"/>
      <c r="J415" s="361"/>
      <c r="K415" s="37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  <c r="AA415" s="322"/>
      <c r="AB415" s="322"/>
      <c r="AC415" s="322"/>
      <c r="AD415" s="322"/>
    </row>
    <row r="416" spans="1:30" ht="15.75" customHeight="1">
      <c r="A416" s="361"/>
      <c r="B416" s="361"/>
      <c r="C416" s="361"/>
      <c r="D416" s="361"/>
      <c r="E416" s="361"/>
      <c r="F416" s="361"/>
      <c r="G416" s="361"/>
      <c r="H416" s="361"/>
      <c r="I416" s="361"/>
      <c r="J416" s="361"/>
      <c r="K416" s="37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  <c r="AA416" s="322"/>
      <c r="AB416" s="322"/>
      <c r="AC416" s="322"/>
      <c r="AD416" s="322"/>
    </row>
    <row r="417" spans="1:30" ht="15.75" customHeight="1">
      <c r="A417" s="361"/>
      <c r="B417" s="361"/>
      <c r="C417" s="361"/>
      <c r="D417" s="361"/>
      <c r="E417" s="361"/>
      <c r="F417" s="361"/>
      <c r="G417" s="361"/>
      <c r="H417" s="361"/>
      <c r="I417" s="361"/>
      <c r="J417" s="361"/>
      <c r="K417" s="37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  <c r="AA417" s="322"/>
      <c r="AB417" s="322"/>
      <c r="AC417" s="322"/>
      <c r="AD417" s="322"/>
    </row>
    <row r="418" spans="1:30" ht="15.75" customHeight="1">
      <c r="A418" s="361"/>
      <c r="B418" s="361"/>
      <c r="C418" s="361"/>
      <c r="D418" s="361"/>
      <c r="E418" s="361"/>
      <c r="F418" s="361"/>
      <c r="G418" s="361"/>
      <c r="H418" s="361"/>
      <c r="I418" s="361"/>
      <c r="J418" s="361"/>
      <c r="K418" s="37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  <c r="AA418" s="322"/>
      <c r="AB418" s="322"/>
      <c r="AC418" s="322"/>
      <c r="AD418" s="322"/>
    </row>
    <row r="419" spans="1:30" ht="15.75" customHeight="1">
      <c r="A419" s="361"/>
      <c r="B419" s="361"/>
      <c r="C419" s="361"/>
      <c r="D419" s="361"/>
      <c r="E419" s="361"/>
      <c r="F419" s="361"/>
      <c r="G419" s="361"/>
      <c r="H419" s="361"/>
      <c r="I419" s="361"/>
      <c r="J419" s="361"/>
      <c r="K419" s="37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  <c r="AA419" s="322"/>
      <c r="AB419" s="322"/>
      <c r="AC419" s="322"/>
      <c r="AD419" s="322"/>
    </row>
    <row r="420" spans="1:30" ht="15.75" customHeight="1">
      <c r="A420" s="361"/>
      <c r="B420" s="361"/>
      <c r="C420" s="361"/>
      <c r="D420" s="361"/>
      <c r="E420" s="361"/>
      <c r="F420" s="361"/>
      <c r="G420" s="361"/>
      <c r="H420" s="361"/>
      <c r="I420" s="361"/>
      <c r="J420" s="361"/>
      <c r="K420" s="37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  <c r="AA420" s="322"/>
      <c r="AB420" s="322"/>
      <c r="AC420" s="322"/>
      <c r="AD420" s="322"/>
    </row>
    <row r="421" spans="1:30" ht="15.75" customHeight="1">
      <c r="A421" s="361"/>
      <c r="B421" s="361"/>
      <c r="C421" s="361"/>
      <c r="D421" s="361"/>
      <c r="E421" s="361"/>
      <c r="F421" s="361"/>
      <c r="G421" s="361"/>
      <c r="H421" s="361"/>
      <c r="I421" s="361"/>
      <c r="J421" s="361"/>
      <c r="K421" s="37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  <c r="AA421" s="322"/>
      <c r="AB421" s="322"/>
      <c r="AC421" s="322"/>
      <c r="AD421" s="322"/>
    </row>
    <row r="422" spans="1:30" ht="15.75" customHeight="1">
      <c r="A422" s="361"/>
      <c r="B422" s="361"/>
      <c r="C422" s="361"/>
      <c r="D422" s="361"/>
      <c r="E422" s="361"/>
      <c r="F422" s="361"/>
      <c r="G422" s="361"/>
      <c r="H422" s="361"/>
      <c r="I422" s="361"/>
      <c r="J422" s="361"/>
      <c r="K422" s="37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  <c r="AA422" s="322"/>
      <c r="AB422" s="322"/>
      <c r="AC422" s="322"/>
      <c r="AD422" s="322"/>
    </row>
    <row r="423" spans="1:30" ht="15.75" customHeight="1">
      <c r="A423" s="361"/>
      <c r="B423" s="361"/>
      <c r="C423" s="361"/>
      <c r="D423" s="361"/>
      <c r="E423" s="361"/>
      <c r="F423" s="361"/>
      <c r="G423" s="361"/>
      <c r="H423" s="361"/>
      <c r="I423" s="361"/>
      <c r="J423" s="361"/>
      <c r="K423" s="37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  <c r="AB423" s="322"/>
      <c r="AC423" s="322"/>
      <c r="AD423" s="322"/>
    </row>
    <row r="424" spans="1:30" ht="15.75" customHeight="1">
      <c r="A424" s="361"/>
      <c r="B424" s="361"/>
      <c r="C424" s="361"/>
      <c r="D424" s="361"/>
      <c r="E424" s="361"/>
      <c r="F424" s="361"/>
      <c r="G424" s="361"/>
      <c r="H424" s="361"/>
      <c r="I424" s="361"/>
      <c r="J424" s="361"/>
      <c r="K424" s="37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  <c r="AA424" s="322"/>
      <c r="AB424" s="322"/>
      <c r="AC424" s="322"/>
      <c r="AD424" s="322"/>
    </row>
    <row r="425" spans="1:30" ht="15.75" customHeight="1">
      <c r="A425" s="361"/>
      <c r="B425" s="361"/>
      <c r="C425" s="361"/>
      <c r="D425" s="361"/>
      <c r="E425" s="361"/>
      <c r="F425" s="361"/>
      <c r="G425" s="361"/>
      <c r="H425" s="361"/>
      <c r="I425" s="361"/>
      <c r="J425" s="361"/>
      <c r="K425" s="37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  <c r="AA425" s="322"/>
      <c r="AB425" s="322"/>
      <c r="AC425" s="322"/>
      <c r="AD425" s="322"/>
    </row>
    <row r="426" spans="1:30" ht="15.75" customHeight="1">
      <c r="A426" s="361"/>
      <c r="B426" s="361"/>
      <c r="C426" s="361"/>
      <c r="D426" s="361"/>
      <c r="E426" s="361"/>
      <c r="F426" s="361"/>
      <c r="G426" s="361"/>
      <c r="H426" s="361"/>
      <c r="I426" s="361"/>
      <c r="J426" s="361"/>
      <c r="K426" s="37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  <c r="AA426" s="322"/>
      <c r="AB426" s="322"/>
      <c r="AC426" s="322"/>
      <c r="AD426" s="322"/>
    </row>
    <row r="427" spans="1:30" ht="15.75" customHeight="1">
      <c r="A427" s="361"/>
      <c r="B427" s="361"/>
      <c r="C427" s="361"/>
      <c r="D427" s="361"/>
      <c r="E427" s="361"/>
      <c r="F427" s="361"/>
      <c r="G427" s="361"/>
      <c r="H427" s="361"/>
      <c r="I427" s="361"/>
      <c r="J427" s="361"/>
      <c r="K427" s="37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  <c r="AA427" s="322"/>
      <c r="AB427" s="322"/>
      <c r="AC427" s="322"/>
      <c r="AD427" s="322"/>
    </row>
    <row r="428" spans="1:30" ht="15.75" customHeight="1">
      <c r="A428" s="361"/>
      <c r="B428" s="361"/>
      <c r="C428" s="361"/>
      <c r="D428" s="361"/>
      <c r="E428" s="361"/>
      <c r="F428" s="361"/>
      <c r="G428" s="361"/>
      <c r="H428" s="361"/>
      <c r="I428" s="361"/>
      <c r="J428" s="361"/>
      <c r="K428" s="37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  <c r="AA428" s="322"/>
      <c r="AB428" s="322"/>
      <c r="AC428" s="322"/>
      <c r="AD428" s="322"/>
    </row>
    <row r="429" spans="1:30" ht="15.75" customHeight="1">
      <c r="A429" s="361"/>
      <c r="B429" s="361"/>
      <c r="C429" s="361"/>
      <c r="D429" s="361"/>
      <c r="E429" s="361"/>
      <c r="F429" s="361"/>
      <c r="G429" s="361"/>
      <c r="H429" s="361"/>
      <c r="I429" s="361"/>
      <c r="J429" s="361"/>
      <c r="K429" s="37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  <c r="AA429" s="322"/>
      <c r="AB429" s="322"/>
      <c r="AC429" s="322"/>
      <c r="AD429" s="322"/>
    </row>
    <row r="430" spans="1:30" ht="15.75" customHeight="1">
      <c r="A430" s="361"/>
      <c r="B430" s="361"/>
      <c r="C430" s="361"/>
      <c r="D430" s="361"/>
      <c r="E430" s="361"/>
      <c r="F430" s="361"/>
      <c r="G430" s="361"/>
      <c r="H430" s="361"/>
      <c r="I430" s="361"/>
      <c r="J430" s="361"/>
      <c r="K430" s="37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  <c r="AA430" s="322"/>
      <c r="AB430" s="322"/>
      <c r="AC430" s="322"/>
      <c r="AD430" s="322"/>
    </row>
    <row r="431" spans="1:30" ht="15.75" customHeight="1">
      <c r="A431" s="361"/>
      <c r="B431" s="361"/>
      <c r="C431" s="361"/>
      <c r="D431" s="361"/>
      <c r="E431" s="361"/>
      <c r="F431" s="361"/>
      <c r="G431" s="361"/>
      <c r="H431" s="361"/>
      <c r="I431" s="361"/>
      <c r="J431" s="361"/>
      <c r="K431" s="37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  <c r="AA431" s="322"/>
      <c r="AB431" s="322"/>
      <c r="AC431" s="322"/>
      <c r="AD431" s="322"/>
    </row>
    <row r="432" spans="1:30" ht="15.75" customHeight="1">
      <c r="A432" s="361"/>
      <c r="B432" s="361"/>
      <c r="C432" s="361"/>
      <c r="D432" s="361"/>
      <c r="E432" s="361"/>
      <c r="F432" s="361"/>
      <c r="G432" s="361"/>
      <c r="H432" s="361"/>
      <c r="I432" s="361"/>
      <c r="J432" s="361"/>
      <c r="K432" s="37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  <c r="AA432" s="322"/>
      <c r="AB432" s="322"/>
      <c r="AC432" s="322"/>
      <c r="AD432" s="322"/>
    </row>
    <row r="433" spans="1:30" ht="15.75" customHeight="1">
      <c r="A433" s="361"/>
      <c r="B433" s="361"/>
      <c r="C433" s="361"/>
      <c r="D433" s="361"/>
      <c r="E433" s="361"/>
      <c r="F433" s="361"/>
      <c r="G433" s="361"/>
      <c r="H433" s="361"/>
      <c r="I433" s="361"/>
      <c r="J433" s="361"/>
      <c r="K433" s="37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  <c r="AA433" s="322"/>
      <c r="AB433" s="322"/>
      <c r="AC433" s="322"/>
      <c r="AD433" s="322"/>
    </row>
    <row r="434" spans="1:30" ht="15.75" customHeight="1">
      <c r="A434" s="361"/>
      <c r="B434" s="361"/>
      <c r="C434" s="361"/>
      <c r="D434" s="361"/>
      <c r="E434" s="361"/>
      <c r="F434" s="361"/>
      <c r="G434" s="361"/>
      <c r="H434" s="361"/>
      <c r="I434" s="361"/>
      <c r="J434" s="361"/>
      <c r="K434" s="37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  <c r="AA434" s="322"/>
      <c r="AB434" s="322"/>
      <c r="AC434" s="322"/>
      <c r="AD434" s="322"/>
    </row>
    <row r="435" spans="1:30" ht="15.75" customHeight="1">
      <c r="A435" s="361"/>
      <c r="B435" s="361"/>
      <c r="C435" s="361"/>
      <c r="D435" s="361"/>
      <c r="E435" s="361"/>
      <c r="F435" s="361"/>
      <c r="G435" s="361"/>
      <c r="H435" s="361"/>
      <c r="I435" s="361"/>
      <c r="J435" s="361"/>
      <c r="K435" s="37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  <c r="AA435" s="322"/>
      <c r="AB435" s="322"/>
      <c r="AC435" s="322"/>
      <c r="AD435" s="322"/>
    </row>
    <row r="436" spans="1:30" ht="15.75" customHeight="1">
      <c r="A436" s="361"/>
      <c r="B436" s="361"/>
      <c r="C436" s="361"/>
      <c r="D436" s="361"/>
      <c r="E436" s="361"/>
      <c r="F436" s="361"/>
      <c r="G436" s="361"/>
      <c r="H436" s="361"/>
      <c r="I436" s="361"/>
      <c r="J436" s="361"/>
      <c r="K436" s="37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  <c r="AA436" s="322"/>
      <c r="AB436" s="322"/>
      <c r="AC436" s="322"/>
      <c r="AD436" s="322"/>
    </row>
    <row r="437" spans="1:30" ht="15.75" customHeight="1">
      <c r="A437" s="361"/>
      <c r="B437" s="361"/>
      <c r="C437" s="361"/>
      <c r="D437" s="361"/>
      <c r="E437" s="361"/>
      <c r="F437" s="361"/>
      <c r="G437" s="361"/>
      <c r="H437" s="361"/>
      <c r="I437" s="361"/>
      <c r="J437" s="361"/>
      <c r="K437" s="37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  <c r="AA437" s="322"/>
      <c r="AB437" s="322"/>
      <c r="AC437" s="322"/>
      <c r="AD437" s="322"/>
    </row>
    <row r="438" spans="1:30" ht="15.75" customHeight="1">
      <c r="A438" s="361"/>
      <c r="B438" s="361"/>
      <c r="C438" s="361"/>
      <c r="D438" s="361"/>
      <c r="E438" s="361"/>
      <c r="F438" s="361"/>
      <c r="G438" s="361"/>
      <c r="H438" s="361"/>
      <c r="I438" s="361"/>
      <c r="J438" s="361"/>
      <c r="K438" s="37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  <c r="AA438" s="322"/>
      <c r="AB438" s="322"/>
      <c r="AC438" s="322"/>
      <c r="AD438" s="322"/>
    </row>
    <row r="439" spans="1:30" ht="15.75" customHeight="1">
      <c r="A439" s="361"/>
      <c r="B439" s="361"/>
      <c r="C439" s="361"/>
      <c r="D439" s="361"/>
      <c r="E439" s="361"/>
      <c r="F439" s="361"/>
      <c r="G439" s="361"/>
      <c r="H439" s="361"/>
      <c r="I439" s="361"/>
      <c r="J439" s="361"/>
      <c r="K439" s="37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  <c r="AA439" s="322"/>
      <c r="AB439" s="322"/>
      <c r="AC439" s="322"/>
      <c r="AD439" s="322"/>
    </row>
    <row r="440" spans="1:30" ht="15.75" customHeight="1">
      <c r="A440" s="361"/>
      <c r="B440" s="361"/>
      <c r="C440" s="361"/>
      <c r="D440" s="361"/>
      <c r="E440" s="361"/>
      <c r="F440" s="361"/>
      <c r="G440" s="361"/>
      <c r="H440" s="361"/>
      <c r="I440" s="361"/>
      <c r="J440" s="361"/>
      <c r="K440" s="37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  <c r="AA440" s="322"/>
      <c r="AB440" s="322"/>
      <c r="AC440" s="322"/>
      <c r="AD440" s="322"/>
    </row>
    <row r="441" spans="1:30" ht="15.75" customHeight="1">
      <c r="A441" s="361"/>
      <c r="B441" s="361"/>
      <c r="C441" s="361"/>
      <c r="D441" s="361"/>
      <c r="E441" s="361"/>
      <c r="F441" s="361"/>
      <c r="G441" s="361"/>
      <c r="H441" s="361"/>
      <c r="I441" s="361"/>
      <c r="J441" s="361"/>
      <c r="K441" s="37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  <c r="AA441" s="322"/>
      <c r="AB441" s="322"/>
      <c r="AC441" s="322"/>
      <c r="AD441" s="322"/>
    </row>
    <row r="442" spans="1:30" ht="15.75" customHeight="1">
      <c r="A442" s="361"/>
      <c r="B442" s="361"/>
      <c r="C442" s="361"/>
      <c r="D442" s="361"/>
      <c r="E442" s="361"/>
      <c r="F442" s="361"/>
      <c r="G442" s="361"/>
      <c r="H442" s="361"/>
      <c r="I442" s="361"/>
      <c r="J442" s="361"/>
      <c r="K442" s="37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  <c r="AA442" s="322"/>
      <c r="AB442" s="322"/>
      <c r="AC442" s="322"/>
      <c r="AD442" s="322"/>
    </row>
    <row r="443" spans="1:30" ht="15.75" customHeight="1">
      <c r="A443" s="361"/>
      <c r="B443" s="361"/>
      <c r="C443" s="361"/>
      <c r="D443" s="361"/>
      <c r="E443" s="361"/>
      <c r="F443" s="361"/>
      <c r="G443" s="361"/>
      <c r="H443" s="361"/>
      <c r="I443" s="361"/>
      <c r="J443" s="361"/>
      <c r="K443" s="37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  <c r="AA443" s="322"/>
      <c r="AB443" s="322"/>
      <c r="AC443" s="322"/>
      <c r="AD443" s="322"/>
    </row>
    <row r="444" spans="1:30" ht="15.75" customHeight="1">
      <c r="A444" s="361"/>
      <c r="B444" s="361"/>
      <c r="C444" s="361"/>
      <c r="D444" s="361"/>
      <c r="E444" s="361"/>
      <c r="F444" s="361"/>
      <c r="G444" s="361"/>
      <c r="H444" s="361"/>
      <c r="I444" s="361"/>
      <c r="J444" s="361"/>
      <c r="K444" s="37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  <c r="AA444" s="322"/>
      <c r="AB444" s="322"/>
      <c r="AC444" s="322"/>
      <c r="AD444" s="322"/>
    </row>
    <row r="445" spans="1:30" ht="15.75" customHeight="1">
      <c r="A445" s="361"/>
      <c r="B445" s="361"/>
      <c r="C445" s="361"/>
      <c r="D445" s="361"/>
      <c r="E445" s="361"/>
      <c r="F445" s="361"/>
      <c r="G445" s="361"/>
      <c r="H445" s="361"/>
      <c r="I445" s="361"/>
      <c r="J445" s="361"/>
      <c r="K445" s="37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  <c r="AA445" s="322"/>
      <c r="AB445" s="322"/>
      <c r="AC445" s="322"/>
      <c r="AD445" s="322"/>
    </row>
    <row r="446" spans="1:30" ht="15.75" customHeight="1">
      <c r="A446" s="361"/>
      <c r="B446" s="361"/>
      <c r="C446" s="361"/>
      <c r="D446" s="361"/>
      <c r="E446" s="361"/>
      <c r="F446" s="361"/>
      <c r="G446" s="361"/>
      <c r="H446" s="361"/>
      <c r="I446" s="361"/>
      <c r="J446" s="361"/>
      <c r="K446" s="37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  <c r="AA446" s="322"/>
      <c r="AB446" s="322"/>
      <c r="AC446" s="322"/>
      <c r="AD446" s="322"/>
    </row>
    <row r="447" spans="1:30" ht="15.75" customHeight="1">
      <c r="A447" s="361"/>
      <c r="B447" s="361"/>
      <c r="C447" s="361"/>
      <c r="D447" s="361"/>
      <c r="E447" s="361"/>
      <c r="F447" s="361"/>
      <c r="G447" s="361"/>
      <c r="H447" s="361"/>
      <c r="I447" s="361"/>
      <c r="J447" s="361"/>
      <c r="K447" s="37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  <c r="AA447" s="322"/>
      <c r="AB447" s="322"/>
      <c r="AC447" s="322"/>
      <c r="AD447" s="322"/>
    </row>
    <row r="448" spans="1:30" ht="15.75" customHeight="1">
      <c r="A448" s="361"/>
      <c r="B448" s="361"/>
      <c r="C448" s="361"/>
      <c r="D448" s="361"/>
      <c r="E448" s="361"/>
      <c r="F448" s="361"/>
      <c r="G448" s="361"/>
      <c r="H448" s="361"/>
      <c r="I448" s="361"/>
      <c r="J448" s="361"/>
      <c r="K448" s="37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  <c r="AA448" s="322"/>
      <c r="AB448" s="322"/>
      <c r="AC448" s="322"/>
      <c r="AD448" s="322"/>
    </row>
    <row r="449" spans="1:30" ht="15.75" customHeight="1">
      <c r="A449" s="361"/>
      <c r="B449" s="361"/>
      <c r="C449" s="361"/>
      <c r="D449" s="361"/>
      <c r="E449" s="361"/>
      <c r="F449" s="361"/>
      <c r="G449" s="361"/>
      <c r="H449" s="361"/>
      <c r="I449" s="361"/>
      <c r="J449" s="361"/>
      <c r="K449" s="37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  <c r="AA449" s="322"/>
      <c r="AB449" s="322"/>
      <c r="AC449" s="322"/>
      <c r="AD449" s="322"/>
    </row>
    <row r="450" spans="1:30" ht="15.75" customHeight="1">
      <c r="A450" s="361"/>
      <c r="B450" s="361"/>
      <c r="C450" s="361"/>
      <c r="D450" s="361"/>
      <c r="E450" s="361"/>
      <c r="F450" s="361"/>
      <c r="G450" s="361"/>
      <c r="H450" s="361"/>
      <c r="I450" s="361"/>
      <c r="J450" s="361"/>
      <c r="K450" s="37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  <c r="AA450" s="322"/>
      <c r="AB450" s="322"/>
      <c r="AC450" s="322"/>
      <c r="AD450" s="322"/>
    </row>
    <row r="451" spans="1:30" ht="15.75" customHeight="1">
      <c r="A451" s="361"/>
      <c r="B451" s="361"/>
      <c r="C451" s="361"/>
      <c r="D451" s="361"/>
      <c r="E451" s="361"/>
      <c r="F451" s="361"/>
      <c r="G451" s="361"/>
      <c r="H451" s="361"/>
      <c r="I451" s="361"/>
      <c r="J451" s="361"/>
      <c r="K451" s="37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  <c r="AA451" s="322"/>
      <c r="AB451" s="322"/>
      <c r="AC451" s="322"/>
      <c r="AD451" s="322"/>
    </row>
    <row r="452" spans="1:30" ht="15.75" customHeight="1">
      <c r="A452" s="361"/>
      <c r="B452" s="361"/>
      <c r="C452" s="361"/>
      <c r="D452" s="361"/>
      <c r="E452" s="361"/>
      <c r="F452" s="361"/>
      <c r="G452" s="361"/>
      <c r="H452" s="361"/>
      <c r="I452" s="361"/>
      <c r="J452" s="361"/>
      <c r="K452" s="37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  <c r="AA452" s="322"/>
      <c r="AB452" s="322"/>
      <c r="AC452" s="322"/>
      <c r="AD452" s="322"/>
    </row>
    <row r="453" spans="1:30" ht="15.75" customHeight="1">
      <c r="A453" s="361"/>
      <c r="B453" s="361"/>
      <c r="C453" s="361"/>
      <c r="D453" s="361"/>
      <c r="E453" s="361"/>
      <c r="F453" s="361"/>
      <c r="G453" s="361"/>
      <c r="H453" s="361"/>
      <c r="I453" s="361"/>
      <c r="J453" s="361"/>
      <c r="K453" s="37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  <c r="AA453" s="322"/>
      <c r="AB453" s="322"/>
      <c r="AC453" s="322"/>
      <c r="AD453" s="322"/>
    </row>
    <row r="454" spans="1:30" ht="15.75" customHeight="1">
      <c r="A454" s="361"/>
      <c r="B454" s="361"/>
      <c r="C454" s="361"/>
      <c r="D454" s="361"/>
      <c r="E454" s="361"/>
      <c r="F454" s="361"/>
      <c r="G454" s="361"/>
      <c r="H454" s="361"/>
      <c r="I454" s="361"/>
      <c r="J454" s="361"/>
      <c r="K454" s="37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  <c r="AA454" s="322"/>
      <c r="AB454" s="322"/>
      <c r="AC454" s="322"/>
      <c r="AD454" s="322"/>
    </row>
    <row r="455" spans="1:30" ht="15.75" customHeight="1">
      <c r="A455" s="361"/>
      <c r="B455" s="361"/>
      <c r="C455" s="361"/>
      <c r="D455" s="361"/>
      <c r="E455" s="361"/>
      <c r="F455" s="361"/>
      <c r="G455" s="361"/>
      <c r="H455" s="361"/>
      <c r="I455" s="361"/>
      <c r="J455" s="361"/>
      <c r="K455" s="37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  <c r="AA455" s="322"/>
      <c r="AB455" s="322"/>
      <c r="AC455" s="322"/>
      <c r="AD455" s="322"/>
    </row>
    <row r="456" spans="1:30" ht="15.75" customHeight="1">
      <c r="A456" s="361"/>
      <c r="B456" s="361"/>
      <c r="C456" s="361"/>
      <c r="D456" s="361"/>
      <c r="E456" s="361"/>
      <c r="F456" s="361"/>
      <c r="G456" s="361"/>
      <c r="H456" s="361"/>
      <c r="I456" s="361"/>
      <c r="J456" s="361"/>
      <c r="K456" s="37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  <c r="AA456" s="322"/>
      <c r="AB456" s="322"/>
      <c r="AC456" s="322"/>
      <c r="AD456" s="322"/>
    </row>
    <row r="457" spans="1:30" ht="15.75" customHeight="1">
      <c r="A457" s="361"/>
      <c r="B457" s="361"/>
      <c r="C457" s="361"/>
      <c r="D457" s="361"/>
      <c r="E457" s="361"/>
      <c r="F457" s="361"/>
      <c r="G457" s="361"/>
      <c r="H457" s="361"/>
      <c r="I457" s="361"/>
      <c r="J457" s="361"/>
      <c r="K457" s="37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  <c r="AA457" s="322"/>
      <c r="AB457" s="322"/>
      <c r="AC457" s="322"/>
      <c r="AD457" s="322"/>
    </row>
    <row r="458" spans="1:30" ht="15.75" customHeight="1">
      <c r="A458" s="361"/>
      <c r="B458" s="361"/>
      <c r="C458" s="361"/>
      <c r="D458" s="361"/>
      <c r="E458" s="361"/>
      <c r="F458" s="361"/>
      <c r="G458" s="361"/>
      <c r="H458" s="361"/>
      <c r="I458" s="361"/>
      <c r="J458" s="361"/>
      <c r="K458" s="37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  <c r="AA458" s="322"/>
      <c r="AB458" s="322"/>
      <c r="AC458" s="322"/>
      <c r="AD458" s="322"/>
    </row>
    <row r="459" spans="1:30" ht="15.75" customHeight="1">
      <c r="A459" s="361"/>
      <c r="B459" s="361"/>
      <c r="C459" s="361"/>
      <c r="D459" s="361"/>
      <c r="E459" s="361"/>
      <c r="F459" s="361"/>
      <c r="G459" s="361"/>
      <c r="H459" s="361"/>
      <c r="I459" s="361"/>
      <c r="J459" s="361"/>
      <c r="K459" s="37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  <c r="AA459" s="322"/>
      <c r="AB459" s="322"/>
      <c r="AC459" s="322"/>
      <c r="AD459" s="322"/>
    </row>
    <row r="460" spans="1:30" ht="15.75" customHeight="1">
      <c r="A460" s="361"/>
      <c r="B460" s="361"/>
      <c r="C460" s="361"/>
      <c r="D460" s="361"/>
      <c r="E460" s="361"/>
      <c r="F460" s="361"/>
      <c r="G460" s="361"/>
      <c r="H460" s="361"/>
      <c r="I460" s="361"/>
      <c r="J460" s="361"/>
      <c r="K460" s="37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  <c r="AA460" s="322"/>
      <c r="AB460" s="322"/>
      <c r="AC460" s="322"/>
      <c r="AD460" s="322"/>
    </row>
    <row r="461" spans="1:30" ht="15.75" customHeight="1">
      <c r="A461" s="361"/>
      <c r="B461" s="361"/>
      <c r="C461" s="361"/>
      <c r="D461" s="361"/>
      <c r="E461" s="361"/>
      <c r="F461" s="361"/>
      <c r="G461" s="361"/>
      <c r="H461" s="361"/>
      <c r="I461" s="361"/>
      <c r="J461" s="361"/>
      <c r="K461" s="37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  <c r="AA461" s="322"/>
      <c r="AB461" s="322"/>
      <c r="AC461" s="322"/>
      <c r="AD461" s="322"/>
    </row>
    <row r="462" spans="1:30" ht="15.75" customHeight="1">
      <c r="A462" s="361"/>
      <c r="B462" s="361"/>
      <c r="C462" s="361"/>
      <c r="D462" s="361"/>
      <c r="E462" s="361"/>
      <c r="F462" s="361"/>
      <c r="G462" s="361"/>
      <c r="H462" s="361"/>
      <c r="I462" s="361"/>
      <c r="J462" s="361"/>
      <c r="K462" s="37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  <c r="AA462" s="322"/>
      <c r="AB462" s="322"/>
      <c r="AC462" s="322"/>
      <c r="AD462" s="322"/>
    </row>
    <row r="463" spans="1:30" ht="15.75" customHeight="1">
      <c r="A463" s="361"/>
      <c r="B463" s="361"/>
      <c r="C463" s="361"/>
      <c r="D463" s="361"/>
      <c r="E463" s="361"/>
      <c r="F463" s="361"/>
      <c r="G463" s="361"/>
      <c r="H463" s="361"/>
      <c r="I463" s="361"/>
      <c r="J463" s="361"/>
      <c r="K463" s="37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  <c r="AA463" s="322"/>
      <c r="AB463" s="322"/>
      <c r="AC463" s="322"/>
      <c r="AD463" s="322"/>
    </row>
    <row r="464" spans="1:30" ht="15.75" customHeight="1">
      <c r="A464" s="361"/>
      <c r="B464" s="361"/>
      <c r="C464" s="361"/>
      <c r="D464" s="361"/>
      <c r="E464" s="361"/>
      <c r="F464" s="361"/>
      <c r="G464" s="361"/>
      <c r="H464" s="361"/>
      <c r="I464" s="361"/>
      <c r="J464" s="361"/>
      <c r="K464" s="37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  <c r="AA464" s="322"/>
      <c r="AB464" s="322"/>
      <c r="AC464" s="322"/>
      <c r="AD464" s="322"/>
    </row>
    <row r="465" spans="1:30" ht="15.75" customHeight="1">
      <c r="A465" s="361"/>
      <c r="B465" s="361"/>
      <c r="C465" s="361"/>
      <c r="D465" s="361"/>
      <c r="E465" s="361"/>
      <c r="F465" s="361"/>
      <c r="G465" s="361"/>
      <c r="H465" s="361"/>
      <c r="I465" s="361"/>
      <c r="J465" s="361"/>
      <c r="K465" s="37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  <c r="AA465" s="322"/>
      <c r="AB465" s="322"/>
      <c r="AC465" s="322"/>
      <c r="AD465" s="322"/>
    </row>
    <row r="466" spans="1:30" ht="15.75" customHeight="1">
      <c r="A466" s="361"/>
      <c r="B466" s="361"/>
      <c r="C466" s="361"/>
      <c r="D466" s="361"/>
      <c r="E466" s="361"/>
      <c r="F466" s="361"/>
      <c r="G466" s="361"/>
      <c r="H466" s="361"/>
      <c r="I466" s="361"/>
      <c r="J466" s="361"/>
      <c r="K466" s="37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  <c r="AA466" s="322"/>
      <c r="AB466" s="322"/>
      <c r="AC466" s="322"/>
      <c r="AD466" s="322"/>
    </row>
    <row r="467" spans="1:30" ht="15.75" customHeight="1">
      <c r="A467" s="361"/>
      <c r="B467" s="361"/>
      <c r="C467" s="361"/>
      <c r="D467" s="361"/>
      <c r="E467" s="361"/>
      <c r="F467" s="361"/>
      <c r="G467" s="361"/>
      <c r="H467" s="361"/>
      <c r="I467" s="361"/>
      <c r="J467" s="361"/>
      <c r="K467" s="37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  <c r="AA467" s="322"/>
      <c r="AB467" s="322"/>
      <c r="AC467" s="322"/>
      <c r="AD467" s="322"/>
    </row>
    <row r="468" spans="1:30" ht="15.75" customHeight="1">
      <c r="A468" s="361"/>
      <c r="B468" s="361"/>
      <c r="C468" s="361"/>
      <c r="D468" s="361"/>
      <c r="E468" s="361"/>
      <c r="F468" s="361"/>
      <c r="G468" s="361"/>
      <c r="H468" s="361"/>
      <c r="I468" s="361"/>
      <c r="J468" s="361"/>
      <c r="K468" s="37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  <c r="AA468" s="322"/>
      <c r="AB468" s="322"/>
      <c r="AC468" s="322"/>
      <c r="AD468" s="322"/>
    </row>
    <row r="469" spans="1:30" ht="15.75" customHeight="1">
      <c r="A469" s="361"/>
      <c r="B469" s="361"/>
      <c r="C469" s="361"/>
      <c r="D469" s="361"/>
      <c r="E469" s="361"/>
      <c r="F469" s="361"/>
      <c r="G469" s="361"/>
      <c r="H469" s="361"/>
      <c r="I469" s="361"/>
      <c r="J469" s="361"/>
      <c r="K469" s="37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  <c r="AA469" s="322"/>
      <c r="AB469" s="322"/>
      <c r="AC469" s="322"/>
      <c r="AD469" s="322"/>
    </row>
    <row r="470" spans="1:30" ht="15.75" customHeight="1">
      <c r="A470" s="361"/>
      <c r="B470" s="361"/>
      <c r="C470" s="361"/>
      <c r="D470" s="361"/>
      <c r="E470" s="361"/>
      <c r="F470" s="361"/>
      <c r="G470" s="361"/>
      <c r="H470" s="361"/>
      <c r="I470" s="361"/>
      <c r="J470" s="361"/>
      <c r="K470" s="37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  <c r="AA470" s="322"/>
      <c r="AB470" s="322"/>
      <c r="AC470" s="322"/>
      <c r="AD470" s="322"/>
    </row>
    <row r="471" spans="1:30" ht="15.75" customHeight="1">
      <c r="A471" s="361"/>
      <c r="B471" s="361"/>
      <c r="C471" s="361"/>
      <c r="D471" s="361"/>
      <c r="E471" s="361"/>
      <c r="F471" s="361"/>
      <c r="G471" s="361"/>
      <c r="H471" s="361"/>
      <c r="I471" s="361"/>
      <c r="J471" s="361"/>
      <c r="K471" s="37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  <c r="AA471" s="322"/>
      <c r="AB471" s="322"/>
      <c r="AC471" s="322"/>
      <c r="AD471" s="322"/>
    </row>
    <row r="472" spans="1:30" ht="15.75" customHeight="1">
      <c r="A472" s="361"/>
      <c r="B472" s="361"/>
      <c r="C472" s="361"/>
      <c r="D472" s="361"/>
      <c r="E472" s="361"/>
      <c r="F472" s="361"/>
      <c r="G472" s="361"/>
      <c r="H472" s="361"/>
      <c r="I472" s="361"/>
      <c r="J472" s="361"/>
      <c r="K472" s="37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  <c r="AA472" s="322"/>
      <c r="AB472" s="322"/>
      <c r="AC472" s="322"/>
      <c r="AD472" s="322"/>
    </row>
    <row r="473" spans="1:30" ht="15.75" customHeight="1">
      <c r="A473" s="361"/>
      <c r="B473" s="361"/>
      <c r="C473" s="361"/>
      <c r="D473" s="361"/>
      <c r="E473" s="361"/>
      <c r="F473" s="361"/>
      <c r="G473" s="361"/>
      <c r="H473" s="361"/>
      <c r="I473" s="361"/>
      <c r="J473" s="361"/>
      <c r="K473" s="37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  <c r="AA473" s="322"/>
      <c r="AB473" s="322"/>
      <c r="AC473" s="322"/>
      <c r="AD473" s="322"/>
    </row>
    <row r="474" spans="1:30" ht="15.75" customHeight="1">
      <c r="A474" s="361"/>
      <c r="B474" s="361"/>
      <c r="C474" s="361"/>
      <c r="D474" s="361"/>
      <c r="E474" s="361"/>
      <c r="F474" s="361"/>
      <c r="G474" s="361"/>
      <c r="H474" s="361"/>
      <c r="I474" s="361"/>
      <c r="J474" s="361"/>
      <c r="K474" s="37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  <c r="AA474" s="322"/>
      <c r="AB474" s="322"/>
      <c r="AC474" s="322"/>
      <c r="AD474" s="322"/>
    </row>
    <row r="475" spans="1:30" ht="15.75" customHeight="1">
      <c r="A475" s="361"/>
      <c r="B475" s="361"/>
      <c r="C475" s="361"/>
      <c r="D475" s="361"/>
      <c r="E475" s="361"/>
      <c r="F475" s="361"/>
      <c r="G475" s="361"/>
      <c r="H475" s="361"/>
      <c r="I475" s="361"/>
      <c r="J475" s="361"/>
      <c r="K475" s="37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  <c r="AA475" s="322"/>
      <c r="AB475" s="322"/>
      <c r="AC475" s="322"/>
      <c r="AD475" s="322"/>
    </row>
    <row r="476" spans="1:30" ht="15.75" customHeight="1">
      <c r="A476" s="361"/>
      <c r="B476" s="361"/>
      <c r="C476" s="361"/>
      <c r="D476" s="361"/>
      <c r="E476" s="361"/>
      <c r="F476" s="361"/>
      <c r="G476" s="361"/>
      <c r="H476" s="361"/>
      <c r="I476" s="361"/>
      <c r="J476" s="361"/>
      <c r="K476" s="37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  <c r="AA476" s="322"/>
      <c r="AB476" s="322"/>
      <c r="AC476" s="322"/>
      <c r="AD476" s="322"/>
    </row>
    <row r="477" spans="1:30" ht="15.75" customHeight="1">
      <c r="A477" s="361"/>
      <c r="B477" s="361"/>
      <c r="C477" s="361"/>
      <c r="D477" s="361"/>
      <c r="E477" s="361"/>
      <c r="F477" s="361"/>
      <c r="G477" s="361"/>
      <c r="H477" s="361"/>
      <c r="I477" s="361"/>
      <c r="J477" s="361"/>
      <c r="K477" s="37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  <c r="AA477" s="322"/>
      <c r="AB477" s="322"/>
      <c r="AC477" s="322"/>
      <c r="AD477" s="322"/>
    </row>
    <row r="478" spans="1:30" ht="15.75" customHeight="1">
      <c r="A478" s="361"/>
      <c r="B478" s="361"/>
      <c r="C478" s="361"/>
      <c r="D478" s="361"/>
      <c r="E478" s="361"/>
      <c r="F478" s="361"/>
      <c r="G478" s="361"/>
      <c r="H478" s="361"/>
      <c r="I478" s="361"/>
      <c r="J478" s="361"/>
      <c r="K478" s="37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  <c r="AA478" s="322"/>
      <c r="AB478" s="322"/>
      <c r="AC478" s="322"/>
      <c r="AD478" s="322"/>
    </row>
    <row r="479" spans="1:30" ht="15.75" customHeight="1">
      <c r="A479" s="361"/>
      <c r="B479" s="361"/>
      <c r="C479" s="361"/>
      <c r="D479" s="361"/>
      <c r="E479" s="361"/>
      <c r="F479" s="361"/>
      <c r="G479" s="361"/>
      <c r="H479" s="361"/>
      <c r="I479" s="361"/>
      <c r="J479" s="361"/>
      <c r="K479" s="37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  <c r="AA479" s="322"/>
      <c r="AB479" s="322"/>
      <c r="AC479" s="322"/>
      <c r="AD479" s="322"/>
    </row>
    <row r="480" spans="1:30" ht="15.75" customHeight="1">
      <c r="A480" s="361"/>
      <c r="B480" s="361"/>
      <c r="C480" s="361"/>
      <c r="D480" s="361"/>
      <c r="E480" s="361"/>
      <c r="F480" s="361"/>
      <c r="G480" s="361"/>
      <c r="H480" s="361"/>
      <c r="I480" s="361"/>
      <c r="J480" s="361"/>
      <c r="K480" s="37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  <c r="AA480" s="322"/>
      <c r="AB480" s="322"/>
      <c r="AC480" s="322"/>
      <c r="AD480" s="322"/>
    </row>
    <row r="481" spans="1:30" ht="15.75" customHeight="1">
      <c r="A481" s="361"/>
      <c r="B481" s="361"/>
      <c r="C481" s="361"/>
      <c r="D481" s="361"/>
      <c r="E481" s="361"/>
      <c r="F481" s="361"/>
      <c r="G481" s="361"/>
      <c r="H481" s="361"/>
      <c r="I481" s="361"/>
      <c r="J481" s="361"/>
      <c r="K481" s="37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  <c r="AA481" s="322"/>
      <c r="AB481" s="322"/>
      <c r="AC481" s="322"/>
      <c r="AD481" s="322"/>
    </row>
    <row r="482" spans="1:30" ht="15.75" customHeight="1">
      <c r="A482" s="361"/>
      <c r="B482" s="361"/>
      <c r="C482" s="361"/>
      <c r="D482" s="361"/>
      <c r="E482" s="361"/>
      <c r="F482" s="361"/>
      <c r="G482" s="361"/>
      <c r="H482" s="361"/>
      <c r="I482" s="361"/>
      <c r="J482" s="361"/>
      <c r="K482" s="37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  <c r="AA482" s="322"/>
      <c r="AB482" s="322"/>
      <c r="AC482" s="322"/>
      <c r="AD482" s="322"/>
    </row>
    <row r="483" spans="1:30" ht="15.75" customHeight="1">
      <c r="A483" s="361"/>
      <c r="B483" s="361"/>
      <c r="C483" s="361"/>
      <c r="D483" s="361"/>
      <c r="E483" s="361"/>
      <c r="F483" s="361"/>
      <c r="G483" s="361"/>
      <c r="H483" s="361"/>
      <c r="I483" s="361"/>
      <c r="J483" s="361"/>
      <c r="K483" s="37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  <c r="AA483" s="322"/>
      <c r="AB483" s="322"/>
      <c r="AC483" s="322"/>
      <c r="AD483" s="322"/>
    </row>
    <row r="484" spans="1:30" ht="15.75" customHeight="1">
      <c r="A484" s="361"/>
      <c r="B484" s="361"/>
      <c r="C484" s="361"/>
      <c r="D484" s="361"/>
      <c r="E484" s="361"/>
      <c r="F484" s="361"/>
      <c r="G484" s="361"/>
      <c r="H484" s="361"/>
      <c r="I484" s="361"/>
      <c r="J484" s="361"/>
      <c r="K484" s="37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  <c r="AA484" s="322"/>
      <c r="AB484" s="322"/>
      <c r="AC484" s="322"/>
      <c r="AD484" s="322"/>
    </row>
    <row r="485" spans="1:30" ht="15.75" customHeight="1">
      <c r="A485" s="361"/>
      <c r="B485" s="361"/>
      <c r="C485" s="361"/>
      <c r="D485" s="361"/>
      <c r="E485" s="361"/>
      <c r="F485" s="361"/>
      <c r="G485" s="361"/>
      <c r="H485" s="361"/>
      <c r="I485" s="361"/>
      <c r="J485" s="361"/>
      <c r="K485" s="37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  <c r="AA485" s="322"/>
      <c r="AB485" s="322"/>
      <c r="AC485" s="322"/>
      <c r="AD485" s="322"/>
    </row>
    <row r="486" spans="1:30" ht="15.75" customHeight="1">
      <c r="A486" s="361"/>
      <c r="B486" s="361"/>
      <c r="C486" s="361"/>
      <c r="D486" s="361"/>
      <c r="E486" s="361"/>
      <c r="F486" s="361"/>
      <c r="G486" s="361"/>
      <c r="H486" s="361"/>
      <c r="I486" s="361"/>
      <c r="J486" s="361"/>
      <c r="K486" s="37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  <c r="AA486" s="322"/>
      <c r="AB486" s="322"/>
      <c r="AC486" s="322"/>
      <c r="AD486" s="322"/>
    </row>
    <row r="487" spans="1:30" ht="15.75" customHeight="1">
      <c r="A487" s="361"/>
      <c r="B487" s="361"/>
      <c r="C487" s="361"/>
      <c r="D487" s="361"/>
      <c r="E487" s="361"/>
      <c r="F487" s="361"/>
      <c r="G487" s="361"/>
      <c r="H487" s="361"/>
      <c r="I487" s="361"/>
      <c r="J487" s="361"/>
      <c r="K487" s="37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  <c r="AA487" s="322"/>
      <c r="AB487" s="322"/>
      <c r="AC487" s="322"/>
      <c r="AD487" s="322"/>
    </row>
    <row r="488" spans="1:30" ht="15.75" customHeight="1">
      <c r="A488" s="361"/>
      <c r="B488" s="361"/>
      <c r="C488" s="361"/>
      <c r="D488" s="361"/>
      <c r="E488" s="361"/>
      <c r="F488" s="361"/>
      <c r="G488" s="361"/>
      <c r="H488" s="361"/>
      <c r="I488" s="361"/>
      <c r="J488" s="361"/>
      <c r="K488" s="37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  <c r="AA488" s="322"/>
      <c r="AB488" s="322"/>
      <c r="AC488" s="322"/>
      <c r="AD488" s="322"/>
    </row>
    <row r="489" spans="1:30" ht="15.75" customHeight="1">
      <c r="A489" s="361"/>
      <c r="B489" s="361"/>
      <c r="C489" s="361"/>
      <c r="D489" s="361"/>
      <c r="E489" s="361"/>
      <c r="F489" s="361"/>
      <c r="G489" s="361"/>
      <c r="H489" s="361"/>
      <c r="I489" s="361"/>
      <c r="J489" s="361"/>
      <c r="K489" s="37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  <c r="AA489" s="322"/>
      <c r="AB489" s="322"/>
      <c r="AC489" s="322"/>
      <c r="AD489" s="322"/>
    </row>
    <row r="490" spans="1:30" ht="15.75" customHeight="1">
      <c r="A490" s="361"/>
      <c r="B490" s="361"/>
      <c r="C490" s="361"/>
      <c r="D490" s="361"/>
      <c r="E490" s="361"/>
      <c r="F490" s="361"/>
      <c r="G490" s="361"/>
      <c r="H490" s="361"/>
      <c r="I490" s="361"/>
      <c r="J490" s="361"/>
      <c r="K490" s="37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  <c r="AA490" s="322"/>
      <c r="AB490" s="322"/>
      <c r="AC490" s="322"/>
      <c r="AD490" s="322"/>
    </row>
    <row r="491" spans="1:30" ht="15.75" customHeight="1">
      <c r="A491" s="361"/>
      <c r="B491" s="361"/>
      <c r="C491" s="361"/>
      <c r="D491" s="361"/>
      <c r="E491" s="361"/>
      <c r="F491" s="361"/>
      <c r="G491" s="361"/>
      <c r="H491" s="361"/>
      <c r="I491" s="361"/>
      <c r="J491" s="361"/>
      <c r="K491" s="37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  <c r="AA491" s="322"/>
      <c r="AB491" s="322"/>
      <c r="AC491" s="322"/>
      <c r="AD491" s="322"/>
    </row>
    <row r="492" spans="1:30" ht="15.75" customHeight="1">
      <c r="A492" s="361"/>
      <c r="B492" s="361"/>
      <c r="C492" s="361"/>
      <c r="D492" s="361"/>
      <c r="E492" s="361"/>
      <c r="F492" s="361"/>
      <c r="G492" s="361"/>
      <c r="H492" s="361"/>
      <c r="I492" s="361"/>
      <c r="J492" s="361"/>
      <c r="K492" s="37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  <c r="AA492" s="322"/>
      <c r="AB492" s="322"/>
      <c r="AC492" s="322"/>
      <c r="AD492" s="322"/>
    </row>
    <row r="493" spans="1:30" ht="15.75" customHeight="1">
      <c r="A493" s="361"/>
      <c r="B493" s="361"/>
      <c r="C493" s="361"/>
      <c r="D493" s="361"/>
      <c r="E493" s="361"/>
      <c r="F493" s="361"/>
      <c r="G493" s="361"/>
      <c r="H493" s="361"/>
      <c r="I493" s="361"/>
      <c r="J493" s="361"/>
      <c r="K493" s="37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  <c r="AA493" s="322"/>
      <c r="AB493" s="322"/>
      <c r="AC493" s="322"/>
      <c r="AD493" s="322"/>
    </row>
    <row r="494" spans="1:30" ht="15.75" customHeight="1">
      <c r="A494" s="361"/>
      <c r="B494" s="361"/>
      <c r="C494" s="361"/>
      <c r="D494" s="361"/>
      <c r="E494" s="361"/>
      <c r="F494" s="361"/>
      <c r="G494" s="361"/>
      <c r="H494" s="361"/>
      <c r="I494" s="361"/>
      <c r="J494" s="361"/>
      <c r="K494" s="37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  <c r="AA494" s="322"/>
      <c r="AB494" s="322"/>
      <c r="AC494" s="322"/>
      <c r="AD494" s="322"/>
    </row>
    <row r="495" spans="1:30" ht="15.75" customHeight="1">
      <c r="A495" s="361"/>
      <c r="B495" s="361"/>
      <c r="C495" s="361"/>
      <c r="D495" s="361"/>
      <c r="E495" s="361"/>
      <c r="F495" s="361"/>
      <c r="G495" s="361"/>
      <c r="H495" s="361"/>
      <c r="I495" s="361"/>
      <c r="J495" s="361"/>
      <c r="K495" s="37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  <c r="AA495" s="322"/>
      <c r="AB495" s="322"/>
      <c r="AC495" s="322"/>
      <c r="AD495" s="322"/>
    </row>
    <row r="496" spans="1:30" ht="15.75" customHeight="1">
      <c r="A496" s="361"/>
      <c r="B496" s="361"/>
      <c r="C496" s="361"/>
      <c r="D496" s="361"/>
      <c r="E496" s="361"/>
      <c r="F496" s="361"/>
      <c r="G496" s="361"/>
      <c r="H496" s="361"/>
      <c r="I496" s="361"/>
      <c r="J496" s="361"/>
      <c r="K496" s="37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  <c r="AA496" s="322"/>
      <c r="AB496" s="322"/>
      <c r="AC496" s="322"/>
      <c r="AD496" s="322"/>
    </row>
    <row r="497" spans="1:30" ht="15.75" customHeight="1">
      <c r="A497" s="361"/>
      <c r="B497" s="361"/>
      <c r="C497" s="361"/>
      <c r="D497" s="361"/>
      <c r="E497" s="361"/>
      <c r="F497" s="361"/>
      <c r="G497" s="361"/>
      <c r="H497" s="361"/>
      <c r="I497" s="361"/>
      <c r="J497" s="361"/>
      <c r="K497" s="37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  <c r="AA497" s="322"/>
      <c r="AB497" s="322"/>
      <c r="AC497" s="322"/>
      <c r="AD497" s="322"/>
    </row>
    <row r="498" spans="1:30" ht="15.75" customHeight="1">
      <c r="A498" s="361"/>
      <c r="B498" s="361"/>
      <c r="C498" s="361"/>
      <c r="D498" s="361"/>
      <c r="E498" s="361"/>
      <c r="F498" s="361"/>
      <c r="G498" s="361"/>
      <c r="H498" s="361"/>
      <c r="I498" s="361"/>
      <c r="J498" s="361"/>
      <c r="K498" s="37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  <c r="AA498" s="322"/>
      <c r="AB498" s="322"/>
      <c r="AC498" s="322"/>
      <c r="AD498" s="322"/>
    </row>
    <row r="499" spans="1:30" ht="15.75" customHeight="1">
      <c r="A499" s="361"/>
      <c r="B499" s="361"/>
      <c r="C499" s="361"/>
      <c r="D499" s="361"/>
      <c r="E499" s="361"/>
      <c r="F499" s="361"/>
      <c r="G499" s="361"/>
      <c r="H499" s="361"/>
      <c r="I499" s="361"/>
      <c r="J499" s="361"/>
      <c r="K499" s="37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  <c r="AA499" s="322"/>
      <c r="AB499" s="322"/>
      <c r="AC499" s="322"/>
      <c r="AD499" s="322"/>
    </row>
    <row r="500" spans="1:30" ht="15.75" customHeight="1">
      <c r="A500" s="361"/>
      <c r="B500" s="361"/>
      <c r="C500" s="361"/>
      <c r="D500" s="361"/>
      <c r="E500" s="361"/>
      <c r="F500" s="361"/>
      <c r="G500" s="361"/>
      <c r="H500" s="361"/>
      <c r="I500" s="361"/>
      <c r="J500" s="361"/>
      <c r="K500" s="37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  <c r="AA500" s="322"/>
      <c r="AB500" s="322"/>
      <c r="AC500" s="322"/>
      <c r="AD500" s="322"/>
    </row>
    <row r="501" spans="1:30" ht="15.75" customHeight="1">
      <c r="A501" s="361"/>
      <c r="B501" s="361"/>
      <c r="C501" s="361"/>
      <c r="D501" s="361"/>
      <c r="E501" s="361"/>
      <c r="F501" s="361"/>
      <c r="G501" s="361"/>
      <c r="H501" s="361"/>
      <c r="I501" s="361"/>
      <c r="J501" s="361"/>
      <c r="K501" s="37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  <c r="AA501" s="322"/>
      <c r="AB501" s="322"/>
      <c r="AC501" s="322"/>
      <c r="AD501" s="322"/>
    </row>
    <row r="502" spans="1:30" ht="15.75" customHeight="1">
      <c r="A502" s="361"/>
      <c r="B502" s="361"/>
      <c r="C502" s="361"/>
      <c r="D502" s="361"/>
      <c r="E502" s="361"/>
      <c r="F502" s="361"/>
      <c r="G502" s="361"/>
      <c r="H502" s="361"/>
      <c r="I502" s="361"/>
      <c r="J502" s="361"/>
      <c r="K502" s="37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  <c r="AA502" s="322"/>
      <c r="AB502" s="322"/>
      <c r="AC502" s="322"/>
      <c r="AD502" s="322"/>
    </row>
    <row r="503" spans="1:30" ht="15.75" customHeight="1">
      <c r="A503" s="361"/>
      <c r="B503" s="361"/>
      <c r="C503" s="361"/>
      <c r="D503" s="361"/>
      <c r="E503" s="361"/>
      <c r="F503" s="361"/>
      <c r="G503" s="361"/>
      <c r="H503" s="361"/>
      <c r="I503" s="361"/>
      <c r="J503" s="361"/>
      <c r="K503" s="37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  <c r="AA503" s="322"/>
      <c r="AB503" s="322"/>
      <c r="AC503" s="322"/>
      <c r="AD503" s="322"/>
    </row>
    <row r="504" spans="1:30" ht="15.75" customHeight="1">
      <c r="A504" s="361"/>
      <c r="B504" s="361"/>
      <c r="C504" s="361"/>
      <c r="D504" s="361"/>
      <c r="E504" s="361"/>
      <c r="F504" s="361"/>
      <c r="G504" s="361"/>
      <c r="H504" s="361"/>
      <c r="I504" s="361"/>
      <c r="J504" s="361"/>
      <c r="K504" s="37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  <c r="AA504" s="322"/>
      <c r="AB504" s="322"/>
      <c r="AC504" s="322"/>
      <c r="AD504" s="322"/>
    </row>
    <row r="505" spans="1:30" ht="15.75" customHeight="1">
      <c r="A505" s="361"/>
      <c r="B505" s="361"/>
      <c r="C505" s="361"/>
      <c r="D505" s="361"/>
      <c r="E505" s="361"/>
      <c r="F505" s="361"/>
      <c r="G505" s="361"/>
      <c r="H505" s="361"/>
      <c r="I505" s="361"/>
      <c r="J505" s="361"/>
      <c r="K505" s="37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  <c r="AA505" s="322"/>
      <c r="AB505" s="322"/>
      <c r="AC505" s="322"/>
      <c r="AD505" s="322"/>
    </row>
    <row r="506" spans="1:30" ht="15.75" customHeight="1">
      <c r="A506" s="361"/>
      <c r="B506" s="361"/>
      <c r="C506" s="361"/>
      <c r="D506" s="361"/>
      <c r="E506" s="361"/>
      <c r="F506" s="361"/>
      <c r="G506" s="361"/>
      <c r="H506" s="361"/>
      <c r="I506" s="361"/>
      <c r="J506" s="361"/>
      <c r="K506" s="37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  <c r="AA506" s="322"/>
      <c r="AB506" s="322"/>
      <c r="AC506" s="322"/>
      <c r="AD506" s="322"/>
    </row>
    <row r="507" spans="1:30" ht="15.75" customHeight="1">
      <c r="A507" s="361"/>
      <c r="B507" s="361"/>
      <c r="C507" s="361"/>
      <c r="D507" s="361"/>
      <c r="E507" s="361"/>
      <c r="F507" s="361"/>
      <c r="G507" s="361"/>
      <c r="H507" s="361"/>
      <c r="I507" s="361"/>
      <c r="J507" s="361"/>
      <c r="K507" s="37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  <c r="AA507" s="322"/>
      <c r="AB507" s="322"/>
      <c r="AC507" s="322"/>
      <c r="AD507" s="322"/>
    </row>
    <row r="508" spans="1:30" ht="15.75" customHeight="1">
      <c r="A508" s="361"/>
      <c r="B508" s="361"/>
      <c r="C508" s="361"/>
      <c r="D508" s="361"/>
      <c r="E508" s="361"/>
      <c r="F508" s="361"/>
      <c r="G508" s="361"/>
      <c r="H508" s="361"/>
      <c r="I508" s="361"/>
      <c r="J508" s="361"/>
      <c r="K508" s="37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  <c r="AA508" s="322"/>
      <c r="AB508" s="322"/>
      <c r="AC508" s="322"/>
      <c r="AD508" s="322"/>
    </row>
    <row r="509" spans="1:30" ht="15.75" customHeight="1">
      <c r="A509" s="361"/>
      <c r="B509" s="361"/>
      <c r="C509" s="361"/>
      <c r="D509" s="361"/>
      <c r="E509" s="361"/>
      <c r="F509" s="361"/>
      <c r="G509" s="361"/>
      <c r="H509" s="361"/>
      <c r="I509" s="361"/>
      <c r="J509" s="361"/>
      <c r="K509" s="37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  <c r="AA509" s="322"/>
      <c r="AB509" s="322"/>
      <c r="AC509" s="322"/>
      <c r="AD509" s="322"/>
    </row>
    <row r="510" spans="1:30" ht="15.75" customHeight="1">
      <c r="A510" s="361"/>
      <c r="B510" s="361"/>
      <c r="C510" s="361"/>
      <c r="D510" s="361"/>
      <c r="E510" s="361"/>
      <c r="F510" s="361"/>
      <c r="G510" s="361"/>
      <c r="H510" s="361"/>
      <c r="I510" s="361"/>
      <c r="J510" s="361"/>
      <c r="K510" s="37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  <c r="AA510" s="322"/>
      <c r="AB510" s="322"/>
      <c r="AC510" s="322"/>
      <c r="AD510" s="322"/>
    </row>
    <row r="511" spans="1:30" ht="15.75" customHeight="1">
      <c r="A511" s="361"/>
      <c r="B511" s="361"/>
      <c r="C511" s="361"/>
      <c r="D511" s="361"/>
      <c r="E511" s="361"/>
      <c r="F511" s="361"/>
      <c r="G511" s="361"/>
      <c r="H511" s="361"/>
      <c r="I511" s="361"/>
      <c r="J511" s="361"/>
      <c r="K511" s="37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  <c r="AA511" s="322"/>
      <c r="AB511" s="322"/>
      <c r="AC511" s="322"/>
      <c r="AD511" s="322"/>
    </row>
    <row r="512" spans="1:30" ht="15.75" customHeight="1">
      <c r="A512" s="361"/>
      <c r="B512" s="361"/>
      <c r="C512" s="361"/>
      <c r="D512" s="361"/>
      <c r="E512" s="361"/>
      <c r="F512" s="361"/>
      <c r="G512" s="361"/>
      <c r="H512" s="361"/>
      <c r="I512" s="361"/>
      <c r="J512" s="361"/>
      <c r="K512" s="37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  <c r="AA512" s="322"/>
      <c r="AB512" s="322"/>
      <c r="AC512" s="322"/>
      <c r="AD512" s="322"/>
    </row>
    <row r="513" spans="1:30" ht="15.75" customHeight="1">
      <c r="A513" s="361"/>
      <c r="B513" s="361"/>
      <c r="C513" s="361"/>
      <c r="D513" s="361"/>
      <c r="E513" s="361"/>
      <c r="F513" s="361"/>
      <c r="G513" s="361"/>
      <c r="H513" s="361"/>
      <c r="I513" s="361"/>
      <c r="J513" s="361"/>
      <c r="K513" s="37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  <c r="AA513" s="322"/>
      <c r="AB513" s="322"/>
      <c r="AC513" s="322"/>
      <c r="AD513" s="322"/>
    </row>
    <row r="514" spans="1:30" ht="15.75" customHeight="1">
      <c r="A514" s="361"/>
      <c r="B514" s="361"/>
      <c r="C514" s="361"/>
      <c r="D514" s="361"/>
      <c r="E514" s="361"/>
      <c r="F514" s="361"/>
      <c r="G514" s="361"/>
      <c r="H514" s="361"/>
      <c r="I514" s="361"/>
      <c r="J514" s="361"/>
      <c r="K514" s="37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  <c r="AA514" s="322"/>
      <c r="AB514" s="322"/>
      <c r="AC514" s="322"/>
      <c r="AD514" s="322"/>
    </row>
    <row r="515" spans="1:30" ht="15.75" customHeight="1">
      <c r="A515" s="361"/>
      <c r="B515" s="361"/>
      <c r="C515" s="361"/>
      <c r="D515" s="361"/>
      <c r="E515" s="361"/>
      <c r="F515" s="361"/>
      <c r="G515" s="361"/>
      <c r="H515" s="361"/>
      <c r="I515" s="361"/>
      <c r="J515" s="361"/>
      <c r="K515" s="37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  <c r="AA515" s="322"/>
      <c r="AB515" s="322"/>
      <c r="AC515" s="322"/>
      <c r="AD515" s="322"/>
    </row>
    <row r="516" spans="1:30" ht="15.75" customHeight="1">
      <c r="A516" s="361"/>
      <c r="B516" s="361"/>
      <c r="C516" s="361"/>
      <c r="D516" s="361"/>
      <c r="E516" s="361"/>
      <c r="F516" s="361"/>
      <c r="G516" s="361"/>
      <c r="H516" s="361"/>
      <c r="I516" s="361"/>
      <c r="J516" s="361"/>
      <c r="K516" s="37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  <c r="AA516" s="322"/>
      <c r="AB516" s="322"/>
      <c r="AC516" s="322"/>
      <c r="AD516" s="322"/>
    </row>
    <row r="517" spans="1:30" ht="15.75" customHeight="1">
      <c r="A517" s="361"/>
      <c r="B517" s="361"/>
      <c r="C517" s="361"/>
      <c r="D517" s="361"/>
      <c r="E517" s="361"/>
      <c r="F517" s="361"/>
      <c r="G517" s="361"/>
      <c r="H517" s="361"/>
      <c r="I517" s="361"/>
      <c r="J517" s="361"/>
      <c r="K517" s="37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  <c r="AA517" s="322"/>
      <c r="AB517" s="322"/>
      <c r="AC517" s="322"/>
      <c r="AD517" s="322"/>
    </row>
    <row r="518" spans="1:30" ht="15.75" customHeight="1">
      <c r="A518" s="361"/>
      <c r="B518" s="361"/>
      <c r="C518" s="361"/>
      <c r="D518" s="361"/>
      <c r="E518" s="361"/>
      <c r="F518" s="361"/>
      <c r="G518" s="361"/>
      <c r="H518" s="361"/>
      <c r="I518" s="361"/>
      <c r="J518" s="361"/>
      <c r="K518" s="37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  <c r="AA518" s="322"/>
      <c r="AB518" s="322"/>
      <c r="AC518" s="322"/>
      <c r="AD518" s="322"/>
    </row>
    <row r="519" spans="1:30" ht="15.75" customHeight="1">
      <c r="A519" s="361"/>
      <c r="B519" s="361"/>
      <c r="C519" s="361"/>
      <c r="D519" s="361"/>
      <c r="E519" s="361"/>
      <c r="F519" s="361"/>
      <c r="G519" s="361"/>
      <c r="H519" s="361"/>
      <c r="I519" s="361"/>
      <c r="J519" s="361"/>
      <c r="K519" s="37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  <c r="AA519" s="322"/>
      <c r="AB519" s="322"/>
      <c r="AC519" s="322"/>
      <c r="AD519" s="322"/>
    </row>
    <row r="520" spans="1:30" ht="15.75" customHeight="1">
      <c r="A520" s="361"/>
      <c r="B520" s="361"/>
      <c r="C520" s="361"/>
      <c r="D520" s="361"/>
      <c r="E520" s="361"/>
      <c r="F520" s="361"/>
      <c r="G520" s="361"/>
      <c r="H520" s="361"/>
      <c r="I520" s="361"/>
      <c r="J520" s="361"/>
      <c r="K520" s="37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  <c r="AA520" s="322"/>
      <c r="AB520" s="322"/>
      <c r="AC520" s="322"/>
      <c r="AD520" s="322"/>
    </row>
    <row r="521" spans="1:30" ht="15.75" customHeight="1">
      <c r="A521" s="361"/>
      <c r="B521" s="361"/>
      <c r="C521" s="361"/>
      <c r="D521" s="361"/>
      <c r="E521" s="361"/>
      <c r="F521" s="361"/>
      <c r="G521" s="361"/>
      <c r="H521" s="361"/>
      <c r="I521" s="361"/>
      <c r="J521" s="361"/>
      <c r="K521" s="37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  <c r="AA521" s="322"/>
      <c r="AB521" s="322"/>
      <c r="AC521" s="322"/>
      <c r="AD521" s="322"/>
    </row>
    <row r="522" spans="1:30" ht="15.75" customHeight="1">
      <c r="A522" s="361"/>
      <c r="B522" s="361"/>
      <c r="C522" s="361"/>
      <c r="D522" s="361"/>
      <c r="E522" s="361"/>
      <c r="F522" s="361"/>
      <c r="G522" s="361"/>
      <c r="H522" s="361"/>
      <c r="I522" s="361"/>
      <c r="J522" s="361"/>
      <c r="K522" s="37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  <c r="AA522" s="322"/>
      <c r="AB522" s="322"/>
      <c r="AC522" s="322"/>
      <c r="AD522" s="322"/>
    </row>
    <row r="523" spans="1:30" ht="15.75" customHeight="1">
      <c r="A523" s="361"/>
      <c r="B523" s="361"/>
      <c r="C523" s="361"/>
      <c r="D523" s="361"/>
      <c r="E523" s="361"/>
      <c r="F523" s="361"/>
      <c r="G523" s="361"/>
      <c r="H523" s="361"/>
      <c r="I523" s="361"/>
      <c r="J523" s="361"/>
      <c r="K523" s="37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  <c r="AA523" s="322"/>
      <c r="AB523" s="322"/>
      <c r="AC523" s="322"/>
      <c r="AD523" s="322"/>
    </row>
    <row r="524" spans="1:30" ht="15.75" customHeight="1">
      <c r="A524" s="361"/>
      <c r="B524" s="361"/>
      <c r="C524" s="361"/>
      <c r="D524" s="361"/>
      <c r="E524" s="361"/>
      <c r="F524" s="361"/>
      <c r="G524" s="361"/>
      <c r="H524" s="361"/>
      <c r="I524" s="361"/>
      <c r="J524" s="361"/>
      <c r="K524" s="37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  <c r="AA524" s="322"/>
      <c r="AB524" s="322"/>
      <c r="AC524" s="322"/>
      <c r="AD524" s="322"/>
    </row>
    <row r="525" spans="1:30" ht="15.75" customHeight="1">
      <c r="A525" s="361"/>
      <c r="B525" s="361"/>
      <c r="C525" s="361"/>
      <c r="D525" s="361"/>
      <c r="E525" s="361"/>
      <c r="F525" s="361"/>
      <c r="G525" s="361"/>
      <c r="H525" s="361"/>
      <c r="I525" s="361"/>
      <c r="J525" s="361"/>
      <c r="K525" s="37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  <c r="AA525" s="322"/>
      <c r="AB525" s="322"/>
      <c r="AC525" s="322"/>
      <c r="AD525" s="322"/>
    </row>
    <row r="526" spans="1:30" ht="15.75" customHeight="1">
      <c r="A526" s="361"/>
      <c r="B526" s="361"/>
      <c r="C526" s="361"/>
      <c r="D526" s="361"/>
      <c r="E526" s="361"/>
      <c r="F526" s="361"/>
      <c r="G526" s="361"/>
      <c r="H526" s="361"/>
      <c r="I526" s="361"/>
      <c r="J526" s="361"/>
      <c r="K526" s="37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  <c r="AA526" s="322"/>
      <c r="AB526" s="322"/>
      <c r="AC526" s="322"/>
      <c r="AD526" s="322"/>
    </row>
    <row r="527" spans="1:30" ht="15.75" customHeight="1">
      <c r="A527" s="361"/>
      <c r="B527" s="361"/>
      <c r="C527" s="361"/>
      <c r="D527" s="361"/>
      <c r="E527" s="361"/>
      <c r="F527" s="361"/>
      <c r="G527" s="361"/>
      <c r="H527" s="361"/>
      <c r="I527" s="361"/>
      <c r="J527" s="361"/>
      <c r="K527" s="37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  <c r="AA527" s="322"/>
      <c r="AB527" s="322"/>
      <c r="AC527" s="322"/>
      <c r="AD527" s="322"/>
    </row>
    <row r="528" spans="1:30" ht="15.75" customHeight="1">
      <c r="A528" s="361"/>
      <c r="B528" s="361"/>
      <c r="C528" s="361"/>
      <c r="D528" s="361"/>
      <c r="E528" s="361"/>
      <c r="F528" s="361"/>
      <c r="G528" s="361"/>
      <c r="H528" s="361"/>
      <c r="I528" s="361"/>
      <c r="J528" s="361"/>
      <c r="K528" s="37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  <c r="AA528" s="322"/>
      <c r="AB528" s="322"/>
      <c r="AC528" s="322"/>
      <c r="AD528" s="322"/>
    </row>
    <row r="529" spans="1:30" ht="15.75" customHeight="1">
      <c r="A529" s="361"/>
      <c r="B529" s="361"/>
      <c r="C529" s="361"/>
      <c r="D529" s="361"/>
      <c r="E529" s="361"/>
      <c r="F529" s="361"/>
      <c r="G529" s="361"/>
      <c r="H529" s="361"/>
      <c r="I529" s="361"/>
      <c r="J529" s="361"/>
      <c r="K529" s="37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  <c r="AA529" s="322"/>
      <c r="AB529" s="322"/>
      <c r="AC529" s="322"/>
      <c r="AD529" s="322"/>
    </row>
    <row r="530" spans="1:30" ht="15.75" customHeight="1">
      <c r="A530" s="361"/>
      <c r="B530" s="361"/>
      <c r="C530" s="361"/>
      <c r="D530" s="361"/>
      <c r="E530" s="361"/>
      <c r="F530" s="361"/>
      <c r="G530" s="361"/>
      <c r="H530" s="361"/>
      <c r="I530" s="361"/>
      <c r="J530" s="361"/>
      <c r="K530" s="37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  <c r="AA530" s="322"/>
      <c r="AB530" s="322"/>
      <c r="AC530" s="322"/>
      <c r="AD530" s="322"/>
    </row>
    <row r="531" spans="1:30" ht="15.75" customHeight="1">
      <c r="A531" s="361"/>
      <c r="B531" s="361"/>
      <c r="C531" s="361"/>
      <c r="D531" s="361"/>
      <c r="E531" s="361"/>
      <c r="F531" s="361"/>
      <c r="G531" s="361"/>
      <c r="H531" s="361"/>
      <c r="I531" s="361"/>
      <c r="J531" s="361"/>
      <c r="K531" s="37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  <c r="AA531" s="322"/>
      <c r="AB531" s="322"/>
      <c r="AC531" s="322"/>
      <c r="AD531" s="322"/>
    </row>
    <row r="532" spans="1:30" ht="15.75" customHeight="1">
      <c r="A532" s="361"/>
      <c r="B532" s="361"/>
      <c r="C532" s="361"/>
      <c r="D532" s="361"/>
      <c r="E532" s="361"/>
      <c r="F532" s="361"/>
      <c r="G532" s="361"/>
      <c r="H532" s="361"/>
      <c r="I532" s="361"/>
      <c r="J532" s="361"/>
      <c r="K532" s="37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  <c r="AA532" s="322"/>
      <c r="AB532" s="322"/>
      <c r="AC532" s="322"/>
      <c r="AD532" s="322"/>
    </row>
    <row r="533" spans="1:30" ht="15.75" customHeight="1">
      <c r="A533" s="361"/>
      <c r="B533" s="361"/>
      <c r="C533" s="361"/>
      <c r="D533" s="361"/>
      <c r="E533" s="361"/>
      <c r="F533" s="361"/>
      <c r="G533" s="361"/>
      <c r="H533" s="361"/>
      <c r="I533" s="361"/>
      <c r="J533" s="361"/>
      <c r="K533" s="37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  <c r="AA533" s="322"/>
      <c r="AB533" s="322"/>
      <c r="AC533" s="322"/>
      <c r="AD533" s="322"/>
    </row>
    <row r="534" spans="1:30" ht="15.75" customHeight="1">
      <c r="A534" s="361"/>
      <c r="B534" s="361"/>
      <c r="C534" s="361"/>
      <c r="D534" s="361"/>
      <c r="E534" s="361"/>
      <c r="F534" s="361"/>
      <c r="G534" s="361"/>
      <c r="H534" s="361"/>
      <c r="I534" s="361"/>
      <c r="J534" s="361"/>
      <c r="K534" s="37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  <c r="AA534" s="322"/>
      <c r="AB534" s="322"/>
      <c r="AC534" s="322"/>
      <c r="AD534" s="322"/>
    </row>
    <row r="535" spans="1:30" ht="15.75" customHeight="1">
      <c r="A535" s="361"/>
      <c r="B535" s="361"/>
      <c r="C535" s="361"/>
      <c r="D535" s="361"/>
      <c r="E535" s="361"/>
      <c r="F535" s="361"/>
      <c r="G535" s="361"/>
      <c r="H535" s="361"/>
      <c r="I535" s="361"/>
      <c r="J535" s="361"/>
      <c r="K535" s="37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  <c r="AA535" s="322"/>
      <c r="AB535" s="322"/>
      <c r="AC535" s="322"/>
      <c r="AD535" s="322"/>
    </row>
    <row r="536" spans="1:30" ht="15.75" customHeight="1">
      <c r="A536" s="361"/>
      <c r="B536" s="361"/>
      <c r="C536" s="361"/>
      <c r="D536" s="361"/>
      <c r="E536" s="361"/>
      <c r="F536" s="361"/>
      <c r="G536" s="361"/>
      <c r="H536" s="361"/>
      <c r="I536" s="361"/>
      <c r="J536" s="361"/>
      <c r="K536" s="37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  <c r="AA536" s="322"/>
      <c r="AB536" s="322"/>
      <c r="AC536" s="322"/>
      <c r="AD536" s="322"/>
    </row>
    <row r="537" spans="1:30" ht="15.75" customHeight="1">
      <c r="A537" s="361"/>
      <c r="B537" s="361"/>
      <c r="C537" s="361"/>
      <c r="D537" s="361"/>
      <c r="E537" s="361"/>
      <c r="F537" s="361"/>
      <c r="G537" s="361"/>
      <c r="H537" s="361"/>
      <c r="I537" s="361"/>
      <c r="J537" s="361"/>
      <c r="K537" s="37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  <c r="AA537" s="322"/>
      <c r="AB537" s="322"/>
      <c r="AC537" s="322"/>
      <c r="AD537" s="322"/>
    </row>
    <row r="538" spans="1:30" ht="15.75" customHeight="1">
      <c r="A538" s="361"/>
      <c r="B538" s="361"/>
      <c r="C538" s="361"/>
      <c r="D538" s="361"/>
      <c r="E538" s="361"/>
      <c r="F538" s="361"/>
      <c r="G538" s="361"/>
      <c r="H538" s="361"/>
      <c r="I538" s="361"/>
      <c r="J538" s="361"/>
      <c r="K538" s="37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  <c r="AA538" s="322"/>
      <c r="AB538" s="322"/>
      <c r="AC538" s="322"/>
      <c r="AD538" s="322"/>
    </row>
    <row r="539" spans="1:30" ht="15.75" customHeight="1">
      <c r="A539" s="361"/>
      <c r="B539" s="361"/>
      <c r="C539" s="361"/>
      <c r="D539" s="361"/>
      <c r="E539" s="361"/>
      <c r="F539" s="361"/>
      <c r="G539" s="361"/>
      <c r="H539" s="361"/>
      <c r="I539" s="361"/>
      <c r="J539" s="361"/>
      <c r="K539" s="37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  <c r="AA539" s="322"/>
      <c r="AB539" s="322"/>
      <c r="AC539" s="322"/>
      <c r="AD539" s="322"/>
    </row>
    <row r="540" spans="1:30" ht="15.75" customHeight="1">
      <c r="A540" s="361"/>
      <c r="B540" s="361"/>
      <c r="C540" s="361"/>
      <c r="D540" s="361"/>
      <c r="E540" s="361"/>
      <c r="F540" s="361"/>
      <c r="G540" s="361"/>
      <c r="H540" s="361"/>
      <c r="I540" s="361"/>
      <c r="J540" s="361"/>
      <c r="K540" s="37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  <c r="AA540" s="322"/>
      <c r="AB540" s="322"/>
      <c r="AC540" s="322"/>
      <c r="AD540" s="322"/>
    </row>
    <row r="541" spans="1:30" ht="15.75" customHeight="1">
      <c r="A541" s="361"/>
      <c r="B541" s="361"/>
      <c r="C541" s="361"/>
      <c r="D541" s="361"/>
      <c r="E541" s="361"/>
      <c r="F541" s="361"/>
      <c r="G541" s="361"/>
      <c r="H541" s="361"/>
      <c r="I541" s="361"/>
      <c r="J541" s="361"/>
      <c r="K541" s="37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  <c r="AA541" s="322"/>
      <c r="AB541" s="322"/>
      <c r="AC541" s="322"/>
      <c r="AD541" s="322"/>
    </row>
    <row r="542" spans="1:30" ht="15.75" customHeight="1">
      <c r="A542" s="361"/>
      <c r="B542" s="361"/>
      <c r="C542" s="361"/>
      <c r="D542" s="361"/>
      <c r="E542" s="361"/>
      <c r="F542" s="361"/>
      <c r="G542" s="361"/>
      <c r="H542" s="361"/>
      <c r="I542" s="361"/>
      <c r="J542" s="361"/>
      <c r="K542" s="37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  <c r="AA542" s="322"/>
      <c r="AB542" s="322"/>
      <c r="AC542" s="322"/>
      <c r="AD542" s="322"/>
    </row>
    <row r="543" spans="1:30" ht="15.75" customHeight="1">
      <c r="A543" s="361"/>
      <c r="B543" s="361"/>
      <c r="C543" s="361"/>
      <c r="D543" s="361"/>
      <c r="E543" s="361"/>
      <c r="F543" s="361"/>
      <c r="G543" s="361"/>
      <c r="H543" s="361"/>
      <c r="I543" s="361"/>
      <c r="J543" s="361"/>
      <c r="K543" s="37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  <c r="AA543" s="322"/>
      <c r="AB543" s="322"/>
      <c r="AC543" s="322"/>
      <c r="AD543" s="322"/>
    </row>
    <row r="544" spans="1:30" ht="15.75" customHeight="1">
      <c r="A544" s="361"/>
      <c r="B544" s="361"/>
      <c r="C544" s="361"/>
      <c r="D544" s="361"/>
      <c r="E544" s="361"/>
      <c r="F544" s="361"/>
      <c r="G544" s="361"/>
      <c r="H544" s="361"/>
      <c r="I544" s="361"/>
      <c r="J544" s="361"/>
      <c r="K544" s="37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  <c r="AA544" s="322"/>
      <c r="AB544" s="322"/>
      <c r="AC544" s="322"/>
      <c r="AD544" s="322"/>
    </row>
    <row r="545" spans="1:30" ht="15.75" customHeight="1">
      <c r="A545" s="361"/>
      <c r="B545" s="361"/>
      <c r="C545" s="361"/>
      <c r="D545" s="361"/>
      <c r="E545" s="361"/>
      <c r="F545" s="361"/>
      <c r="G545" s="361"/>
      <c r="H545" s="361"/>
      <c r="I545" s="361"/>
      <c r="J545" s="361"/>
      <c r="K545" s="37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  <c r="AA545" s="322"/>
      <c r="AB545" s="322"/>
      <c r="AC545" s="322"/>
      <c r="AD545" s="322"/>
    </row>
    <row r="546" spans="1:30" ht="15.75" customHeight="1">
      <c r="A546" s="361"/>
      <c r="B546" s="361"/>
      <c r="C546" s="361"/>
      <c r="D546" s="361"/>
      <c r="E546" s="361"/>
      <c r="F546" s="361"/>
      <c r="G546" s="361"/>
      <c r="H546" s="361"/>
      <c r="I546" s="361"/>
      <c r="J546" s="361"/>
      <c r="K546" s="37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  <c r="AA546" s="322"/>
      <c r="AB546" s="322"/>
      <c r="AC546" s="322"/>
      <c r="AD546" s="322"/>
    </row>
    <row r="547" spans="1:30" ht="15.75" customHeight="1">
      <c r="A547" s="361"/>
      <c r="B547" s="361"/>
      <c r="C547" s="361"/>
      <c r="D547" s="361"/>
      <c r="E547" s="361"/>
      <c r="F547" s="361"/>
      <c r="G547" s="361"/>
      <c r="H547" s="361"/>
      <c r="I547" s="361"/>
      <c r="J547" s="361"/>
      <c r="K547" s="37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  <c r="AA547" s="322"/>
      <c r="AB547" s="322"/>
      <c r="AC547" s="322"/>
      <c r="AD547" s="322"/>
    </row>
    <row r="548" spans="1:30" ht="15.75" customHeight="1">
      <c r="A548" s="361"/>
      <c r="B548" s="361"/>
      <c r="C548" s="361"/>
      <c r="D548" s="361"/>
      <c r="E548" s="361"/>
      <c r="F548" s="361"/>
      <c r="G548" s="361"/>
      <c r="H548" s="361"/>
      <c r="I548" s="361"/>
      <c r="J548" s="361"/>
      <c r="K548" s="37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  <c r="AA548" s="322"/>
      <c r="AB548" s="322"/>
      <c r="AC548" s="322"/>
      <c r="AD548" s="322"/>
    </row>
    <row r="549" spans="1:30" ht="15.75" customHeight="1">
      <c r="A549" s="361"/>
      <c r="B549" s="361"/>
      <c r="C549" s="361"/>
      <c r="D549" s="361"/>
      <c r="E549" s="361"/>
      <c r="F549" s="361"/>
      <c r="G549" s="361"/>
      <c r="H549" s="361"/>
      <c r="I549" s="361"/>
      <c r="J549" s="361"/>
      <c r="K549" s="37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  <c r="AA549" s="322"/>
      <c r="AB549" s="322"/>
      <c r="AC549" s="322"/>
      <c r="AD549" s="322"/>
    </row>
    <row r="550" spans="1:30" ht="15.75" customHeight="1">
      <c r="A550" s="361"/>
      <c r="B550" s="361"/>
      <c r="C550" s="361"/>
      <c r="D550" s="361"/>
      <c r="E550" s="361"/>
      <c r="F550" s="361"/>
      <c r="G550" s="361"/>
      <c r="H550" s="361"/>
      <c r="I550" s="361"/>
      <c r="J550" s="361"/>
      <c r="K550" s="37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  <c r="AA550" s="322"/>
      <c r="AB550" s="322"/>
      <c r="AC550" s="322"/>
      <c r="AD550" s="322"/>
    </row>
    <row r="551" spans="1:30" ht="15.75" customHeight="1">
      <c r="A551" s="361"/>
      <c r="B551" s="361"/>
      <c r="C551" s="361"/>
      <c r="D551" s="361"/>
      <c r="E551" s="361"/>
      <c r="F551" s="361"/>
      <c r="G551" s="361"/>
      <c r="H551" s="361"/>
      <c r="I551" s="361"/>
      <c r="J551" s="361"/>
      <c r="K551" s="37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  <c r="AA551" s="322"/>
      <c r="AB551" s="322"/>
      <c r="AC551" s="322"/>
      <c r="AD551" s="322"/>
    </row>
    <row r="552" spans="1:30" ht="15.75" customHeight="1">
      <c r="A552" s="361"/>
      <c r="B552" s="361"/>
      <c r="C552" s="361"/>
      <c r="D552" s="361"/>
      <c r="E552" s="361"/>
      <c r="F552" s="361"/>
      <c r="G552" s="361"/>
      <c r="H552" s="361"/>
      <c r="I552" s="361"/>
      <c r="J552" s="361"/>
      <c r="K552" s="37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  <c r="AA552" s="322"/>
      <c r="AB552" s="322"/>
      <c r="AC552" s="322"/>
      <c r="AD552" s="322"/>
    </row>
    <row r="553" spans="1:30" ht="15.75" customHeight="1">
      <c r="A553" s="361"/>
      <c r="B553" s="361"/>
      <c r="C553" s="361"/>
      <c r="D553" s="361"/>
      <c r="E553" s="361"/>
      <c r="F553" s="361"/>
      <c r="G553" s="361"/>
      <c r="H553" s="361"/>
      <c r="I553" s="361"/>
      <c r="J553" s="361"/>
      <c r="K553" s="37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  <c r="AA553" s="322"/>
      <c r="AB553" s="322"/>
      <c r="AC553" s="322"/>
      <c r="AD553" s="322"/>
    </row>
    <row r="554" spans="1:30" ht="15.75" customHeight="1">
      <c r="A554" s="361"/>
      <c r="B554" s="361"/>
      <c r="C554" s="361"/>
      <c r="D554" s="361"/>
      <c r="E554" s="361"/>
      <c r="F554" s="361"/>
      <c r="G554" s="361"/>
      <c r="H554" s="361"/>
      <c r="I554" s="361"/>
      <c r="J554" s="361"/>
      <c r="K554" s="37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  <c r="AA554" s="322"/>
      <c r="AB554" s="322"/>
      <c r="AC554" s="322"/>
      <c r="AD554" s="322"/>
    </row>
    <row r="555" spans="1:30" ht="15.75" customHeight="1">
      <c r="A555" s="361"/>
      <c r="B555" s="361"/>
      <c r="C555" s="361"/>
      <c r="D555" s="361"/>
      <c r="E555" s="361"/>
      <c r="F555" s="361"/>
      <c r="G555" s="361"/>
      <c r="H555" s="361"/>
      <c r="I555" s="361"/>
      <c r="J555" s="361"/>
      <c r="K555" s="37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  <c r="AA555" s="322"/>
      <c r="AB555" s="322"/>
      <c r="AC555" s="322"/>
      <c r="AD555" s="322"/>
    </row>
    <row r="556" spans="1:30" ht="15.75" customHeight="1">
      <c r="A556" s="361"/>
      <c r="B556" s="361"/>
      <c r="C556" s="361"/>
      <c r="D556" s="361"/>
      <c r="E556" s="361"/>
      <c r="F556" s="361"/>
      <c r="G556" s="361"/>
      <c r="H556" s="361"/>
      <c r="I556" s="361"/>
      <c r="J556" s="361"/>
      <c r="K556" s="37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  <c r="AA556" s="322"/>
      <c r="AB556" s="322"/>
      <c r="AC556" s="322"/>
      <c r="AD556" s="322"/>
    </row>
    <row r="557" spans="1:30" ht="15.75" customHeight="1">
      <c r="A557" s="361"/>
      <c r="B557" s="361"/>
      <c r="C557" s="361"/>
      <c r="D557" s="361"/>
      <c r="E557" s="361"/>
      <c r="F557" s="361"/>
      <c r="G557" s="361"/>
      <c r="H557" s="361"/>
      <c r="I557" s="361"/>
      <c r="J557" s="361"/>
      <c r="K557" s="37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  <c r="AA557" s="322"/>
      <c r="AB557" s="322"/>
      <c r="AC557" s="322"/>
      <c r="AD557" s="322"/>
    </row>
    <row r="558" spans="1:30" ht="15.75" customHeight="1">
      <c r="A558" s="361"/>
      <c r="B558" s="361"/>
      <c r="C558" s="361"/>
      <c r="D558" s="361"/>
      <c r="E558" s="361"/>
      <c r="F558" s="361"/>
      <c r="G558" s="361"/>
      <c r="H558" s="361"/>
      <c r="I558" s="361"/>
      <c r="J558" s="361"/>
      <c r="K558" s="37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  <c r="AA558" s="322"/>
      <c r="AB558" s="322"/>
      <c r="AC558" s="322"/>
      <c r="AD558" s="322"/>
    </row>
    <row r="559" spans="1:30" ht="15.75" customHeight="1">
      <c r="A559" s="361"/>
      <c r="B559" s="361"/>
      <c r="C559" s="361"/>
      <c r="D559" s="361"/>
      <c r="E559" s="361"/>
      <c r="F559" s="361"/>
      <c r="G559" s="361"/>
      <c r="H559" s="361"/>
      <c r="I559" s="361"/>
      <c r="J559" s="361"/>
      <c r="K559" s="37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  <c r="AA559" s="322"/>
      <c r="AB559" s="322"/>
      <c r="AC559" s="322"/>
      <c r="AD559" s="322"/>
    </row>
    <row r="560" spans="1:30" ht="15.75" customHeight="1">
      <c r="A560" s="361"/>
      <c r="B560" s="361"/>
      <c r="C560" s="361"/>
      <c r="D560" s="361"/>
      <c r="E560" s="361"/>
      <c r="F560" s="361"/>
      <c r="G560" s="361"/>
      <c r="H560" s="361"/>
      <c r="I560" s="361"/>
      <c r="J560" s="361"/>
      <c r="K560" s="37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  <c r="AA560" s="322"/>
      <c r="AB560" s="322"/>
      <c r="AC560" s="322"/>
      <c r="AD560" s="322"/>
    </row>
    <row r="561" spans="1:30" ht="15.75" customHeight="1">
      <c r="A561" s="361"/>
      <c r="B561" s="361"/>
      <c r="C561" s="361"/>
      <c r="D561" s="361"/>
      <c r="E561" s="361"/>
      <c r="F561" s="361"/>
      <c r="G561" s="361"/>
      <c r="H561" s="361"/>
      <c r="I561" s="361"/>
      <c r="J561" s="361"/>
      <c r="K561" s="37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  <c r="AA561" s="322"/>
      <c r="AB561" s="322"/>
      <c r="AC561" s="322"/>
      <c r="AD561" s="322"/>
    </row>
    <row r="562" spans="1:30" ht="15.75" customHeight="1">
      <c r="A562" s="361"/>
      <c r="B562" s="361"/>
      <c r="C562" s="361"/>
      <c r="D562" s="361"/>
      <c r="E562" s="361"/>
      <c r="F562" s="361"/>
      <c r="G562" s="361"/>
      <c r="H562" s="361"/>
      <c r="I562" s="361"/>
      <c r="J562" s="361"/>
      <c r="K562" s="37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  <c r="AA562" s="322"/>
      <c r="AB562" s="322"/>
      <c r="AC562" s="322"/>
      <c r="AD562" s="322"/>
    </row>
    <row r="563" spans="1:30" ht="15.75" customHeight="1">
      <c r="A563" s="361"/>
      <c r="B563" s="361"/>
      <c r="C563" s="361"/>
      <c r="D563" s="361"/>
      <c r="E563" s="361"/>
      <c r="F563" s="361"/>
      <c r="G563" s="361"/>
      <c r="H563" s="361"/>
      <c r="I563" s="361"/>
      <c r="J563" s="361"/>
      <c r="K563" s="37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  <c r="AA563" s="322"/>
      <c r="AB563" s="322"/>
      <c r="AC563" s="322"/>
      <c r="AD563" s="322"/>
    </row>
    <row r="564" spans="1:30" ht="15.75" customHeight="1">
      <c r="A564" s="361"/>
      <c r="B564" s="361"/>
      <c r="C564" s="361"/>
      <c r="D564" s="361"/>
      <c r="E564" s="361"/>
      <c r="F564" s="361"/>
      <c r="G564" s="361"/>
      <c r="H564" s="361"/>
      <c r="I564" s="361"/>
      <c r="J564" s="361"/>
      <c r="K564" s="37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  <c r="AA564" s="322"/>
      <c r="AB564" s="322"/>
      <c r="AC564" s="322"/>
      <c r="AD564" s="322"/>
    </row>
    <row r="565" spans="1:30" ht="15.75" customHeight="1">
      <c r="A565" s="361"/>
      <c r="B565" s="361"/>
      <c r="C565" s="361"/>
      <c r="D565" s="361"/>
      <c r="E565" s="361"/>
      <c r="F565" s="361"/>
      <c r="G565" s="361"/>
      <c r="H565" s="361"/>
      <c r="I565" s="361"/>
      <c r="J565" s="361"/>
      <c r="K565" s="37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  <c r="AA565" s="322"/>
      <c r="AB565" s="322"/>
      <c r="AC565" s="322"/>
      <c r="AD565" s="322"/>
    </row>
    <row r="566" spans="1:30" ht="15.75" customHeight="1">
      <c r="A566" s="361"/>
      <c r="B566" s="361"/>
      <c r="C566" s="361"/>
      <c r="D566" s="361"/>
      <c r="E566" s="361"/>
      <c r="F566" s="361"/>
      <c r="G566" s="361"/>
      <c r="H566" s="361"/>
      <c r="I566" s="361"/>
      <c r="J566" s="361"/>
      <c r="K566" s="37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  <c r="AA566" s="322"/>
      <c r="AB566" s="322"/>
      <c r="AC566" s="322"/>
      <c r="AD566" s="322"/>
    </row>
    <row r="567" spans="1:30" ht="15.75" customHeight="1">
      <c r="A567" s="361"/>
      <c r="B567" s="361"/>
      <c r="C567" s="361"/>
      <c r="D567" s="361"/>
      <c r="E567" s="361"/>
      <c r="F567" s="361"/>
      <c r="G567" s="361"/>
      <c r="H567" s="361"/>
      <c r="I567" s="361"/>
      <c r="J567" s="361"/>
      <c r="K567" s="37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  <c r="AA567" s="322"/>
      <c r="AB567" s="322"/>
      <c r="AC567" s="322"/>
      <c r="AD567" s="322"/>
    </row>
    <row r="568" spans="1:30" ht="15.75" customHeight="1">
      <c r="A568" s="361"/>
      <c r="B568" s="361"/>
      <c r="C568" s="361"/>
      <c r="D568" s="361"/>
      <c r="E568" s="361"/>
      <c r="F568" s="361"/>
      <c r="G568" s="361"/>
      <c r="H568" s="361"/>
      <c r="I568" s="361"/>
      <c r="J568" s="361"/>
      <c r="K568" s="37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  <c r="AA568" s="322"/>
      <c r="AB568" s="322"/>
      <c r="AC568" s="322"/>
      <c r="AD568" s="322"/>
    </row>
    <row r="569" spans="1:30" ht="15.75" customHeight="1">
      <c r="A569" s="361"/>
      <c r="B569" s="361"/>
      <c r="C569" s="361"/>
      <c r="D569" s="361"/>
      <c r="E569" s="361"/>
      <c r="F569" s="361"/>
      <c r="G569" s="361"/>
      <c r="H569" s="361"/>
      <c r="I569" s="361"/>
      <c r="J569" s="361"/>
      <c r="K569" s="37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  <c r="AA569" s="322"/>
      <c r="AB569" s="322"/>
      <c r="AC569" s="322"/>
      <c r="AD569" s="322"/>
    </row>
    <row r="570" spans="1:30" ht="15.75" customHeight="1">
      <c r="A570" s="361"/>
      <c r="B570" s="361"/>
      <c r="C570" s="361"/>
      <c r="D570" s="361"/>
      <c r="E570" s="361"/>
      <c r="F570" s="361"/>
      <c r="G570" s="361"/>
      <c r="H570" s="361"/>
      <c r="I570" s="361"/>
      <c r="J570" s="361"/>
      <c r="K570" s="37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  <c r="AA570" s="322"/>
      <c r="AB570" s="322"/>
      <c r="AC570" s="322"/>
      <c r="AD570" s="322"/>
    </row>
    <row r="571" spans="1:30" ht="15.75" customHeight="1">
      <c r="A571" s="361"/>
      <c r="B571" s="361"/>
      <c r="C571" s="361"/>
      <c r="D571" s="361"/>
      <c r="E571" s="361"/>
      <c r="F571" s="361"/>
      <c r="G571" s="361"/>
      <c r="H571" s="361"/>
      <c r="I571" s="361"/>
      <c r="J571" s="361"/>
      <c r="K571" s="37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  <c r="AA571" s="322"/>
      <c r="AB571" s="322"/>
      <c r="AC571" s="322"/>
      <c r="AD571" s="322"/>
    </row>
    <row r="572" spans="1:30" ht="15.75" customHeight="1">
      <c r="A572" s="361"/>
      <c r="B572" s="361"/>
      <c r="C572" s="361"/>
      <c r="D572" s="361"/>
      <c r="E572" s="361"/>
      <c r="F572" s="361"/>
      <c r="G572" s="361"/>
      <c r="H572" s="361"/>
      <c r="I572" s="361"/>
      <c r="J572" s="361"/>
      <c r="K572" s="37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  <c r="AA572" s="322"/>
      <c r="AB572" s="322"/>
      <c r="AC572" s="322"/>
      <c r="AD572" s="322"/>
    </row>
    <row r="573" spans="1:30" ht="15.75" customHeight="1">
      <c r="A573" s="361"/>
      <c r="B573" s="361"/>
      <c r="C573" s="361"/>
      <c r="D573" s="361"/>
      <c r="E573" s="361"/>
      <c r="F573" s="361"/>
      <c r="G573" s="361"/>
      <c r="H573" s="361"/>
      <c r="I573" s="361"/>
      <c r="J573" s="361"/>
      <c r="K573" s="37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  <c r="AA573" s="322"/>
      <c r="AB573" s="322"/>
      <c r="AC573" s="322"/>
      <c r="AD573" s="322"/>
    </row>
    <row r="574" spans="1:30" ht="15.75" customHeight="1">
      <c r="A574" s="361"/>
      <c r="B574" s="361"/>
      <c r="C574" s="361"/>
      <c r="D574" s="361"/>
      <c r="E574" s="361"/>
      <c r="F574" s="361"/>
      <c r="G574" s="361"/>
      <c r="H574" s="361"/>
      <c r="I574" s="361"/>
      <c r="J574" s="361"/>
      <c r="K574" s="37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  <c r="AA574" s="322"/>
      <c r="AB574" s="322"/>
      <c r="AC574" s="322"/>
      <c r="AD574" s="322"/>
    </row>
    <row r="575" spans="1:30" ht="15.75" customHeight="1">
      <c r="A575" s="361"/>
      <c r="B575" s="361"/>
      <c r="C575" s="361"/>
      <c r="D575" s="361"/>
      <c r="E575" s="361"/>
      <c r="F575" s="361"/>
      <c r="G575" s="361"/>
      <c r="H575" s="361"/>
      <c r="I575" s="361"/>
      <c r="J575" s="361"/>
      <c r="K575" s="37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  <c r="AA575" s="322"/>
      <c r="AB575" s="322"/>
      <c r="AC575" s="322"/>
      <c r="AD575" s="322"/>
    </row>
    <row r="576" spans="1:30" ht="15.75" customHeight="1">
      <c r="A576" s="361"/>
      <c r="B576" s="361"/>
      <c r="C576" s="361"/>
      <c r="D576" s="361"/>
      <c r="E576" s="361"/>
      <c r="F576" s="361"/>
      <c r="G576" s="361"/>
      <c r="H576" s="361"/>
      <c r="I576" s="361"/>
      <c r="J576" s="361"/>
      <c r="K576" s="37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  <c r="AA576" s="322"/>
      <c r="AB576" s="322"/>
      <c r="AC576" s="322"/>
      <c r="AD576" s="322"/>
    </row>
    <row r="577" spans="1:30" ht="15.75" customHeight="1">
      <c r="A577" s="361"/>
      <c r="B577" s="361"/>
      <c r="C577" s="361"/>
      <c r="D577" s="361"/>
      <c r="E577" s="361"/>
      <c r="F577" s="361"/>
      <c r="G577" s="361"/>
      <c r="H577" s="361"/>
      <c r="I577" s="361"/>
      <c r="J577" s="361"/>
      <c r="K577" s="37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  <c r="AA577" s="322"/>
      <c r="AB577" s="322"/>
      <c r="AC577" s="322"/>
      <c r="AD577" s="322"/>
    </row>
    <row r="578" spans="1:30" ht="15.75" customHeight="1">
      <c r="A578" s="361"/>
      <c r="B578" s="361"/>
      <c r="C578" s="361"/>
      <c r="D578" s="361"/>
      <c r="E578" s="361"/>
      <c r="F578" s="361"/>
      <c r="G578" s="361"/>
      <c r="H578" s="361"/>
      <c r="I578" s="361"/>
      <c r="J578" s="361"/>
      <c r="K578" s="37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  <c r="AA578" s="322"/>
      <c r="AB578" s="322"/>
      <c r="AC578" s="322"/>
      <c r="AD578" s="322"/>
    </row>
    <row r="579" spans="1:30" ht="15.75" customHeight="1">
      <c r="A579" s="361"/>
      <c r="B579" s="361"/>
      <c r="C579" s="361"/>
      <c r="D579" s="361"/>
      <c r="E579" s="361"/>
      <c r="F579" s="361"/>
      <c r="G579" s="361"/>
      <c r="H579" s="361"/>
      <c r="I579" s="361"/>
      <c r="J579" s="361"/>
      <c r="K579" s="37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  <c r="AA579" s="322"/>
      <c r="AB579" s="322"/>
      <c r="AC579" s="322"/>
      <c r="AD579" s="322"/>
    </row>
    <row r="580" spans="1:30" ht="15.75" customHeight="1">
      <c r="A580" s="361"/>
      <c r="B580" s="361"/>
      <c r="C580" s="361"/>
      <c r="D580" s="361"/>
      <c r="E580" s="361"/>
      <c r="F580" s="361"/>
      <c r="G580" s="361"/>
      <c r="H580" s="361"/>
      <c r="I580" s="361"/>
      <c r="J580" s="361"/>
      <c r="K580" s="37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  <c r="AA580" s="322"/>
      <c r="AB580" s="322"/>
      <c r="AC580" s="322"/>
      <c r="AD580" s="322"/>
    </row>
    <row r="581" spans="1:30" ht="15.75" customHeight="1">
      <c r="A581" s="361"/>
      <c r="B581" s="361"/>
      <c r="C581" s="361"/>
      <c r="D581" s="361"/>
      <c r="E581" s="361"/>
      <c r="F581" s="361"/>
      <c r="G581" s="361"/>
      <c r="H581" s="361"/>
      <c r="I581" s="361"/>
      <c r="J581" s="361"/>
      <c r="K581" s="37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  <c r="AA581" s="322"/>
      <c r="AB581" s="322"/>
      <c r="AC581" s="322"/>
      <c r="AD581" s="322"/>
    </row>
    <row r="582" spans="1:30" ht="15.75" customHeight="1">
      <c r="A582" s="361"/>
      <c r="B582" s="361"/>
      <c r="C582" s="361"/>
      <c r="D582" s="361"/>
      <c r="E582" s="361"/>
      <c r="F582" s="361"/>
      <c r="G582" s="361"/>
      <c r="H582" s="361"/>
      <c r="I582" s="361"/>
      <c r="J582" s="361"/>
      <c r="K582" s="37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  <c r="AA582" s="322"/>
      <c r="AB582" s="322"/>
      <c r="AC582" s="322"/>
      <c r="AD582" s="322"/>
    </row>
    <row r="583" spans="1:30" ht="15.75" customHeight="1">
      <c r="A583" s="361"/>
      <c r="B583" s="361"/>
      <c r="C583" s="361"/>
      <c r="D583" s="361"/>
      <c r="E583" s="361"/>
      <c r="F583" s="361"/>
      <c r="G583" s="361"/>
      <c r="H583" s="361"/>
      <c r="I583" s="361"/>
      <c r="J583" s="361"/>
      <c r="K583" s="37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  <c r="AA583" s="322"/>
      <c r="AB583" s="322"/>
      <c r="AC583" s="322"/>
      <c r="AD583" s="322"/>
    </row>
    <row r="584" spans="1:30" ht="15.75" customHeight="1">
      <c r="A584" s="361"/>
      <c r="B584" s="361"/>
      <c r="C584" s="361"/>
      <c r="D584" s="361"/>
      <c r="E584" s="361"/>
      <c r="F584" s="361"/>
      <c r="G584" s="361"/>
      <c r="H584" s="361"/>
      <c r="I584" s="361"/>
      <c r="J584" s="361"/>
      <c r="K584" s="37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  <c r="AA584" s="322"/>
      <c r="AB584" s="322"/>
      <c r="AC584" s="322"/>
      <c r="AD584" s="322"/>
    </row>
    <row r="585" spans="1:30" ht="15.75" customHeight="1">
      <c r="A585" s="361"/>
      <c r="B585" s="361"/>
      <c r="C585" s="361"/>
      <c r="D585" s="361"/>
      <c r="E585" s="361"/>
      <c r="F585" s="361"/>
      <c r="G585" s="361"/>
      <c r="H585" s="361"/>
      <c r="I585" s="361"/>
      <c r="J585" s="361"/>
      <c r="K585" s="37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  <c r="AA585" s="322"/>
      <c r="AB585" s="322"/>
      <c r="AC585" s="322"/>
      <c r="AD585" s="322"/>
    </row>
    <row r="586" spans="1:30" ht="15.75" customHeight="1">
      <c r="A586" s="361"/>
      <c r="B586" s="361"/>
      <c r="C586" s="361"/>
      <c r="D586" s="361"/>
      <c r="E586" s="361"/>
      <c r="F586" s="361"/>
      <c r="G586" s="361"/>
      <c r="H586" s="361"/>
      <c r="I586" s="361"/>
      <c r="J586" s="361"/>
      <c r="K586" s="37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  <c r="AA586" s="322"/>
      <c r="AB586" s="322"/>
      <c r="AC586" s="322"/>
      <c r="AD586" s="322"/>
    </row>
    <row r="587" spans="1:30" ht="15.75" customHeight="1">
      <c r="A587" s="361"/>
      <c r="B587" s="361"/>
      <c r="C587" s="361"/>
      <c r="D587" s="361"/>
      <c r="E587" s="361"/>
      <c r="F587" s="361"/>
      <c r="G587" s="361"/>
      <c r="H587" s="361"/>
      <c r="I587" s="361"/>
      <c r="J587" s="361"/>
      <c r="K587" s="37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  <c r="AA587" s="322"/>
      <c r="AB587" s="322"/>
      <c r="AC587" s="322"/>
      <c r="AD587" s="322"/>
    </row>
    <row r="588" spans="1:30" ht="15.75" customHeight="1">
      <c r="A588" s="361"/>
      <c r="B588" s="361"/>
      <c r="C588" s="361"/>
      <c r="D588" s="361"/>
      <c r="E588" s="361"/>
      <c r="F588" s="361"/>
      <c r="G588" s="361"/>
      <c r="H588" s="361"/>
      <c r="I588" s="361"/>
      <c r="J588" s="361"/>
      <c r="K588" s="37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  <c r="AA588" s="322"/>
      <c r="AB588" s="322"/>
      <c r="AC588" s="322"/>
      <c r="AD588" s="322"/>
    </row>
    <row r="589" spans="1:30" ht="15.75" customHeight="1">
      <c r="A589" s="361"/>
      <c r="B589" s="361"/>
      <c r="C589" s="361"/>
      <c r="D589" s="361"/>
      <c r="E589" s="361"/>
      <c r="F589" s="361"/>
      <c r="G589" s="361"/>
      <c r="H589" s="361"/>
      <c r="I589" s="361"/>
      <c r="J589" s="361"/>
      <c r="K589" s="37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  <c r="AA589" s="322"/>
      <c r="AB589" s="322"/>
      <c r="AC589" s="322"/>
      <c r="AD589" s="322"/>
    </row>
    <row r="590" spans="1:30" ht="15.75" customHeight="1">
      <c r="A590" s="361"/>
      <c r="B590" s="361"/>
      <c r="C590" s="361"/>
      <c r="D590" s="361"/>
      <c r="E590" s="361"/>
      <c r="F590" s="361"/>
      <c r="G590" s="361"/>
      <c r="H590" s="361"/>
      <c r="I590" s="361"/>
      <c r="J590" s="361"/>
      <c r="K590" s="37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  <c r="AA590" s="322"/>
      <c r="AB590" s="322"/>
      <c r="AC590" s="322"/>
      <c r="AD590" s="322"/>
    </row>
    <row r="591" spans="1:30" ht="15.75" customHeight="1">
      <c r="A591" s="361"/>
      <c r="B591" s="361"/>
      <c r="C591" s="361"/>
      <c r="D591" s="361"/>
      <c r="E591" s="361"/>
      <c r="F591" s="361"/>
      <c r="G591" s="361"/>
      <c r="H591" s="361"/>
      <c r="I591" s="361"/>
      <c r="J591" s="361"/>
      <c r="K591" s="37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  <c r="AA591" s="322"/>
      <c r="AB591" s="322"/>
      <c r="AC591" s="322"/>
      <c r="AD591" s="322"/>
    </row>
    <row r="592" spans="1:30" ht="15.75" customHeight="1">
      <c r="A592" s="361"/>
      <c r="B592" s="361"/>
      <c r="C592" s="361"/>
      <c r="D592" s="361"/>
      <c r="E592" s="361"/>
      <c r="F592" s="361"/>
      <c r="G592" s="361"/>
      <c r="H592" s="361"/>
      <c r="I592" s="361"/>
      <c r="J592" s="361"/>
      <c r="K592" s="37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  <c r="AA592" s="322"/>
      <c r="AB592" s="322"/>
      <c r="AC592" s="322"/>
      <c r="AD592" s="322"/>
    </row>
    <row r="593" spans="1:30" ht="15.75" customHeight="1">
      <c r="A593" s="361"/>
      <c r="B593" s="361"/>
      <c r="C593" s="361"/>
      <c r="D593" s="361"/>
      <c r="E593" s="361"/>
      <c r="F593" s="361"/>
      <c r="G593" s="361"/>
      <c r="H593" s="361"/>
      <c r="I593" s="361"/>
      <c r="J593" s="361"/>
      <c r="K593" s="37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  <c r="AA593" s="322"/>
      <c r="AB593" s="322"/>
      <c r="AC593" s="322"/>
      <c r="AD593" s="322"/>
    </row>
    <row r="594" spans="1:30" ht="15.75" customHeight="1">
      <c r="A594" s="361"/>
      <c r="B594" s="361"/>
      <c r="C594" s="361"/>
      <c r="D594" s="361"/>
      <c r="E594" s="361"/>
      <c r="F594" s="361"/>
      <c r="G594" s="361"/>
      <c r="H594" s="361"/>
      <c r="I594" s="361"/>
      <c r="J594" s="361"/>
      <c r="K594" s="37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  <c r="AA594" s="322"/>
      <c r="AB594" s="322"/>
      <c r="AC594" s="322"/>
      <c r="AD594" s="322"/>
    </row>
    <row r="595" spans="1:30" ht="15.75" customHeight="1">
      <c r="A595" s="361"/>
      <c r="B595" s="361"/>
      <c r="C595" s="361"/>
      <c r="D595" s="361"/>
      <c r="E595" s="361"/>
      <c r="F595" s="361"/>
      <c r="G595" s="361"/>
      <c r="H595" s="361"/>
      <c r="I595" s="361"/>
      <c r="J595" s="361"/>
      <c r="K595" s="37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  <c r="AA595" s="322"/>
      <c r="AB595" s="322"/>
      <c r="AC595" s="322"/>
      <c r="AD595" s="322"/>
    </row>
    <row r="596" spans="1:30" ht="15.75" customHeight="1">
      <c r="A596" s="361"/>
      <c r="B596" s="361"/>
      <c r="C596" s="361"/>
      <c r="D596" s="361"/>
      <c r="E596" s="361"/>
      <c r="F596" s="361"/>
      <c r="G596" s="361"/>
      <c r="H596" s="361"/>
      <c r="I596" s="361"/>
      <c r="J596" s="361"/>
      <c r="K596" s="37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  <c r="AA596" s="322"/>
      <c r="AB596" s="322"/>
      <c r="AC596" s="322"/>
      <c r="AD596" s="322"/>
    </row>
    <row r="597" spans="1:30" ht="15.75" customHeight="1">
      <c r="A597" s="361"/>
      <c r="B597" s="361"/>
      <c r="C597" s="361"/>
      <c r="D597" s="361"/>
      <c r="E597" s="361"/>
      <c r="F597" s="361"/>
      <c r="G597" s="361"/>
      <c r="H597" s="361"/>
      <c r="I597" s="361"/>
      <c r="J597" s="361"/>
      <c r="K597" s="37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  <c r="AA597" s="322"/>
      <c r="AB597" s="322"/>
      <c r="AC597" s="322"/>
      <c r="AD597" s="322"/>
    </row>
    <row r="598" spans="1:30" ht="15.75" customHeight="1">
      <c r="A598" s="361"/>
      <c r="B598" s="361"/>
      <c r="C598" s="361"/>
      <c r="D598" s="361"/>
      <c r="E598" s="361"/>
      <c r="F598" s="361"/>
      <c r="G598" s="361"/>
      <c r="H598" s="361"/>
      <c r="I598" s="361"/>
      <c r="J598" s="361"/>
      <c r="K598" s="37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  <c r="AA598" s="322"/>
      <c r="AB598" s="322"/>
      <c r="AC598" s="322"/>
      <c r="AD598" s="322"/>
    </row>
    <row r="599" spans="1:30" ht="15.75" customHeight="1">
      <c r="A599" s="361"/>
      <c r="B599" s="361"/>
      <c r="C599" s="361"/>
      <c r="D599" s="361"/>
      <c r="E599" s="361"/>
      <c r="F599" s="361"/>
      <c r="G599" s="361"/>
      <c r="H599" s="361"/>
      <c r="I599" s="361"/>
      <c r="J599" s="361"/>
      <c r="K599" s="37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  <c r="AA599" s="322"/>
      <c r="AB599" s="322"/>
      <c r="AC599" s="322"/>
      <c r="AD599" s="322"/>
    </row>
    <row r="600" spans="1:30" ht="15.75" customHeight="1">
      <c r="A600" s="361"/>
      <c r="B600" s="361"/>
      <c r="C600" s="361"/>
      <c r="D600" s="361"/>
      <c r="E600" s="361"/>
      <c r="F600" s="361"/>
      <c r="G600" s="361"/>
      <c r="H600" s="361"/>
      <c r="I600" s="361"/>
      <c r="J600" s="361"/>
      <c r="K600" s="37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  <c r="AA600" s="322"/>
      <c r="AB600" s="322"/>
      <c r="AC600" s="322"/>
      <c r="AD600" s="322"/>
    </row>
    <row r="601" spans="1:30" ht="15.75" customHeight="1">
      <c r="A601" s="361"/>
      <c r="B601" s="361"/>
      <c r="C601" s="361"/>
      <c r="D601" s="361"/>
      <c r="E601" s="361"/>
      <c r="F601" s="361"/>
      <c r="G601" s="361"/>
      <c r="H601" s="361"/>
      <c r="I601" s="361"/>
      <c r="J601" s="361"/>
      <c r="K601" s="37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  <c r="AA601" s="322"/>
      <c r="AB601" s="322"/>
      <c r="AC601" s="322"/>
      <c r="AD601" s="322"/>
    </row>
    <row r="602" spans="1:30" ht="15.75" customHeight="1">
      <c r="A602" s="361"/>
      <c r="B602" s="361"/>
      <c r="C602" s="361"/>
      <c r="D602" s="361"/>
      <c r="E602" s="361"/>
      <c r="F602" s="361"/>
      <c r="G602" s="361"/>
      <c r="H602" s="361"/>
      <c r="I602" s="361"/>
      <c r="J602" s="361"/>
      <c r="K602" s="37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  <c r="AA602" s="322"/>
      <c r="AB602" s="322"/>
      <c r="AC602" s="322"/>
      <c r="AD602" s="322"/>
    </row>
    <row r="603" spans="1:30" ht="15.75" customHeight="1">
      <c r="A603" s="361"/>
      <c r="B603" s="361"/>
      <c r="C603" s="361"/>
      <c r="D603" s="361"/>
      <c r="E603" s="361"/>
      <c r="F603" s="361"/>
      <c r="G603" s="361"/>
      <c r="H603" s="361"/>
      <c r="I603" s="361"/>
      <c r="J603" s="361"/>
      <c r="K603" s="37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  <c r="AA603" s="322"/>
      <c r="AB603" s="322"/>
      <c r="AC603" s="322"/>
      <c r="AD603" s="322"/>
    </row>
    <row r="604" spans="1:30" ht="15.75" customHeight="1">
      <c r="A604" s="361"/>
      <c r="B604" s="361"/>
      <c r="C604" s="361"/>
      <c r="D604" s="361"/>
      <c r="E604" s="361"/>
      <c r="F604" s="361"/>
      <c r="G604" s="361"/>
      <c r="H604" s="361"/>
      <c r="I604" s="361"/>
      <c r="J604" s="361"/>
      <c r="K604" s="37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  <c r="AA604" s="322"/>
      <c r="AB604" s="322"/>
      <c r="AC604" s="322"/>
      <c r="AD604" s="322"/>
    </row>
    <row r="605" spans="1:30" ht="15.75" customHeight="1">
      <c r="A605" s="361"/>
      <c r="B605" s="361"/>
      <c r="C605" s="361"/>
      <c r="D605" s="361"/>
      <c r="E605" s="361"/>
      <c r="F605" s="361"/>
      <c r="G605" s="361"/>
      <c r="H605" s="361"/>
      <c r="I605" s="361"/>
      <c r="J605" s="361"/>
      <c r="K605" s="37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  <c r="AA605" s="322"/>
      <c r="AB605" s="322"/>
      <c r="AC605" s="322"/>
      <c r="AD605" s="322"/>
    </row>
    <row r="606" spans="1:30" ht="15.75" customHeight="1">
      <c r="A606" s="361"/>
      <c r="B606" s="361"/>
      <c r="C606" s="361"/>
      <c r="D606" s="361"/>
      <c r="E606" s="361"/>
      <c r="F606" s="361"/>
      <c r="G606" s="361"/>
      <c r="H606" s="361"/>
      <c r="I606" s="361"/>
      <c r="J606" s="361"/>
      <c r="K606" s="37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  <c r="AA606" s="322"/>
      <c r="AB606" s="322"/>
      <c r="AC606" s="322"/>
      <c r="AD606" s="322"/>
    </row>
    <row r="607" spans="1:30" ht="15.75" customHeight="1">
      <c r="A607" s="361"/>
      <c r="B607" s="361"/>
      <c r="C607" s="361"/>
      <c r="D607" s="361"/>
      <c r="E607" s="361"/>
      <c r="F607" s="361"/>
      <c r="G607" s="361"/>
      <c r="H607" s="361"/>
      <c r="I607" s="361"/>
      <c r="J607" s="361"/>
      <c r="K607" s="37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  <c r="AA607" s="322"/>
      <c r="AB607" s="322"/>
      <c r="AC607" s="322"/>
      <c r="AD607" s="322"/>
    </row>
    <row r="608" spans="1:30" ht="15.75" customHeight="1">
      <c r="A608" s="361"/>
      <c r="B608" s="361"/>
      <c r="C608" s="361"/>
      <c r="D608" s="361"/>
      <c r="E608" s="361"/>
      <c r="F608" s="361"/>
      <c r="G608" s="361"/>
      <c r="H608" s="361"/>
      <c r="I608" s="361"/>
      <c r="J608" s="361"/>
      <c r="K608" s="37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  <c r="AA608" s="322"/>
      <c r="AB608" s="322"/>
      <c r="AC608" s="322"/>
      <c r="AD608" s="322"/>
    </row>
    <row r="609" spans="1:30" ht="15.75" customHeight="1">
      <c r="A609" s="361"/>
      <c r="B609" s="361"/>
      <c r="C609" s="361"/>
      <c r="D609" s="361"/>
      <c r="E609" s="361"/>
      <c r="F609" s="361"/>
      <c r="G609" s="361"/>
      <c r="H609" s="361"/>
      <c r="I609" s="361"/>
      <c r="J609" s="361"/>
      <c r="K609" s="37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  <c r="AA609" s="322"/>
      <c r="AB609" s="322"/>
      <c r="AC609" s="322"/>
      <c r="AD609" s="322"/>
    </row>
    <row r="610" spans="1:30" ht="15.75" customHeight="1">
      <c r="A610" s="361"/>
      <c r="B610" s="361"/>
      <c r="C610" s="361"/>
      <c r="D610" s="361"/>
      <c r="E610" s="361"/>
      <c r="F610" s="361"/>
      <c r="G610" s="361"/>
      <c r="H610" s="361"/>
      <c r="I610" s="361"/>
      <c r="J610" s="361"/>
      <c r="K610" s="37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  <c r="AA610" s="322"/>
      <c r="AB610" s="322"/>
      <c r="AC610" s="322"/>
      <c r="AD610" s="322"/>
    </row>
    <row r="611" spans="1:30" ht="15.75" customHeight="1">
      <c r="A611" s="361"/>
      <c r="B611" s="361"/>
      <c r="C611" s="361"/>
      <c r="D611" s="361"/>
      <c r="E611" s="361"/>
      <c r="F611" s="361"/>
      <c r="G611" s="361"/>
      <c r="H611" s="361"/>
      <c r="I611" s="361"/>
      <c r="J611" s="361"/>
      <c r="K611" s="37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  <c r="AA611" s="322"/>
      <c r="AB611" s="322"/>
      <c r="AC611" s="322"/>
      <c r="AD611" s="322"/>
    </row>
    <row r="612" spans="1:30" ht="15.75" customHeight="1">
      <c r="A612" s="361"/>
      <c r="B612" s="361"/>
      <c r="C612" s="361"/>
      <c r="D612" s="361"/>
      <c r="E612" s="361"/>
      <c r="F612" s="361"/>
      <c r="G612" s="361"/>
      <c r="H612" s="361"/>
      <c r="I612" s="361"/>
      <c r="J612" s="361"/>
      <c r="K612" s="37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  <c r="AA612" s="322"/>
      <c r="AB612" s="322"/>
      <c r="AC612" s="322"/>
      <c r="AD612" s="322"/>
    </row>
    <row r="613" spans="1:30" ht="15.75" customHeight="1">
      <c r="A613" s="361"/>
      <c r="B613" s="361"/>
      <c r="C613" s="361"/>
      <c r="D613" s="361"/>
      <c r="E613" s="361"/>
      <c r="F613" s="361"/>
      <c r="G613" s="361"/>
      <c r="H613" s="361"/>
      <c r="I613" s="361"/>
      <c r="J613" s="361"/>
      <c r="K613" s="37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  <c r="AA613" s="322"/>
      <c r="AB613" s="322"/>
      <c r="AC613" s="322"/>
      <c r="AD613" s="322"/>
    </row>
    <row r="614" spans="1:30" ht="15.75" customHeight="1">
      <c r="A614" s="361"/>
      <c r="B614" s="361"/>
      <c r="C614" s="361"/>
      <c r="D614" s="361"/>
      <c r="E614" s="361"/>
      <c r="F614" s="361"/>
      <c r="G614" s="361"/>
      <c r="H614" s="361"/>
      <c r="I614" s="361"/>
      <c r="J614" s="361"/>
      <c r="K614" s="37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  <c r="AA614" s="322"/>
      <c r="AB614" s="322"/>
      <c r="AC614" s="322"/>
      <c r="AD614" s="322"/>
    </row>
    <row r="615" spans="1:30" ht="15.75" customHeight="1">
      <c r="A615" s="361"/>
      <c r="B615" s="361"/>
      <c r="C615" s="361"/>
      <c r="D615" s="361"/>
      <c r="E615" s="361"/>
      <c r="F615" s="361"/>
      <c r="G615" s="361"/>
      <c r="H615" s="361"/>
      <c r="I615" s="361"/>
      <c r="J615" s="361"/>
      <c r="K615" s="37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  <c r="AA615" s="322"/>
      <c r="AB615" s="322"/>
      <c r="AC615" s="322"/>
      <c r="AD615" s="322"/>
    </row>
    <row r="616" spans="1:30" ht="15.75" customHeight="1">
      <c r="A616" s="361"/>
      <c r="B616" s="361"/>
      <c r="C616" s="361"/>
      <c r="D616" s="361"/>
      <c r="E616" s="361"/>
      <c r="F616" s="361"/>
      <c r="G616" s="361"/>
      <c r="H616" s="361"/>
      <c r="I616" s="361"/>
      <c r="J616" s="361"/>
      <c r="K616" s="37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  <c r="AA616" s="322"/>
      <c r="AB616" s="322"/>
      <c r="AC616" s="322"/>
      <c r="AD616" s="322"/>
    </row>
    <row r="617" spans="1:30" ht="15.75" customHeight="1">
      <c r="A617" s="361"/>
      <c r="B617" s="361"/>
      <c r="C617" s="361"/>
      <c r="D617" s="361"/>
      <c r="E617" s="361"/>
      <c r="F617" s="361"/>
      <c r="G617" s="361"/>
      <c r="H617" s="361"/>
      <c r="I617" s="361"/>
      <c r="J617" s="361"/>
      <c r="K617" s="37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  <c r="AA617" s="322"/>
      <c r="AB617" s="322"/>
      <c r="AC617" s="322"/>
      <c r="AD617" s="322"/>
    </row>
    <row r="618" spans="1:30" ht="15.75" customHeight="1">
      <c r="A618" s="361"/>
      <c r="B618" s="361"/>
      <c r="C618" s="361"/>
      <c r="D618" s="361"/>
      <c r="E618" s="361"/>
      <c r="F618" s="361"/>
      <c r="G618" s="361"/>
      <c r="H618" s="361"/>
      <c r="I618" s="361"/>
      <c r="J618" s="361"/>
      <c r="K618" s="37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  <c r="AA618" s="322"/>
      <c r="AB618" s="322"/>
      <c r="AC618" s="322"/>
      <c r="AD618" s="322"/>
    </row>
    <row r="619" spans="1:30" ht="15.75" customHeight="1">
      <c r="A619" s="361"/>
      <c r="B619" s="361"/>
      <c r="C619" s="361"/>
      <c r="D619" s="361"/>
      <c r="E619" s="361"/>
      <c r="F619" s="361"/>
      <c r="G619" s="361"/>
      <c r="H619" s="361"/>
      <c r="I619" s="361"/>
      <c r="J619" s="361"/>
      <c r="K619" s="37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  <c r="AA619" s="322"/>
      <c r="AB619" s="322"/>
      <c r="AC619" s="322"/>
      <c r="AD619" s="322"/>
    </row>
    <row r="620" spans="1:30" ht="15.75" customHeight="1">
      <c r="A620" s="361"/>
      <c r="B620" s="361"/>
      <c r="C620" s="361"/>
      <c r="D620" s="361"/>
      <c r="E620" s="361"/>
      <c r="F620" s="361"/>
      <c r="G620" s="361"/>
      <c r="H620" s="361"/>
      <c r="I620" s="361"/>
      <c r="J620" s="361"/>
      <c r="K620" s="37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  <c r="AA620" s="322"/>
      <c r="AB620" s="322"/>
      <c r="AC620" s="322"/>
      <c r="AD620" s="322"/>
    </row>
    <row r="621" spans="1:30" ht="15.75" customHeight="1">
      <c r="A621" s="361"/>
      <c r="B621" s="361"/>
      <c r="C621" s="361"/>
      <c r="D621" s="361"/>
      <c r="E621" s="361"/>
      <c r="F621" s="361"/>
      <c r="G621" s="361"/>
      <c r="H621" s="361"/>
      <c r="I621" s="361"/>
      <c r="J621" s="361"/>
      <c r="K621" s="37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  <c r="AA621" s="322"/>
      <c r="AB621" s="322"/>
      <c r="AC621" s="322"/>
      <c r="AD621" s="322"/>
    </row>
    <row r="622" spans="1:30" ht="15.75" customHeight="1">
      <c r="A622" s="361"/>
      <c r="B622" s="361"/>
      <c r="C622" s="361"/>
      <c r="D622" s="361"/>
      <c r="E622" s="361"/>
      <c r="F622" s="361"/>
      <c r="G622" s="361"/>
      <c r="H622" s="361"/>
      <c r="I622" s="361"/>
      <c r="J622" s="361"/>
      <c r="K622" s="37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  <c r="AA622" s="322"/>
      <c r="AB622" s="322"/>
      <c r="AC622" s="322"/>
      <c r="AD622" s="322"/>
    </row>
    <row r="623" spans="1:30" ht="15.75" customHeight="1">
      <c r="A623" s="361"/>
      <c r="B623" s="361"/>
      <c r="C623" s="361"/>
      <c r="D623" s="361"/>
      <c r="E623" s="361"/>
      <c r="F623" s="361"/>
      <c r="G623" s="361"/>
      <c r="H623" s="361"/>
      <c r="I623" s="361"/>
      <c r="J623" s="361"/>
      <c r="K623" s="37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  <c r="AA623" s="322"/>
      <c r="AB623" s="322"/>
      <c r="AC623" s="322"/>
      <c r="AD623" s="322"/>
    </row>
    <row r="624" spans="1:30" ht="15.75" customHeight="1">
      <c r="A624" s="361"/>
      <c r="B624" s="361"/>
      <c r="C624" s="361"/>
      <c r="D624" s="361"/>
      <c r="E624" s="361"/>
      <c r="F624" s="361"/>
      <c r="G624" s="361"/>
      <c r="H624" s="361"/>
      <c r="I624" s="361"/>
      <c r="J624" s="361"/>
      <c r="K624" s="37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  <c r="AA624" s="322"/>
      <c r="AB624" s="322"/>
      <c r="AC624" s="322"/>
      <c r="AD624" s="322"/>
    </row>
    <row r="625" spans="1:30" ht="15.75" customHeight="1">
      <c r="A625" s="361"/>
      <c r="B625" s="361"/>
      <c r="C625" s="361"/>
      <c r="D625" s="361"/>
      <c r="E625" s="361"/>
      <c r="F625" s="361"/>
      <c r="G625" s="361"/>
      <c r="H625" s="361"/>
      <c r="I625" s="361"/>
      <c r="J625" s="361"/>
      <c r="K625" s="37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  <c r="AA625" s="322"/>
      <c r="AB625" s="322"/>
      <c r="AC625" s="322"/>
      <c r="AD625" s="322"/>
    </row>
    <row r="626" spans="1:30" ht="15.75" customHeight="1">
      <c r="A626" s="361"/>
      <c r="B626" s="361"/>
      <c r="C626" s="361"/>
      <c r="D626" s="361"/>
      <c r="E626" s="361"/>
      <c r="F626" s="361"/>
      <c r="G626" s="361"/>
      <c r="H626" s="361"/>
      <c r="I626" s="361"/>
      <c r="J626" s="361"/>
      <c r="K626" s="37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  <c r="AA626" s="322"/>
      <c r="AB626" s="322"/>
      <c r="AC626" s="322"/>
      <c r="AD626" s="322"/>
    </row>
    <row r="627" spans="1:30" ht="15.75" customHeight="1">
      <c r="A627" s="361"/>
      <c r="B627" s="361"/>
      <c r="C627" s="361"/>
      <c r="D627" s="361"/>
      <c r="E627" s="361"/>
      <c r="F627" s="361"/>
      <c r="G627" s="361"/>
      <c r="H627" s="361"/>
      <c r="I627" s="361"/>
      <c r="J627" s="361"/>
      <c r="K627" s="37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  <c r="AA627" s="322"/>
      <c r="AB627" s="322"/>
      <c r="AC627" s="322"/>
      <c r="AD627" s="322"/>
    </row>
    <row r="628" spans="1:30" ht="15.75" customHeight="1">
      <c r="A628" s="361"/>
      <c r="B628" s="361"/>
      <c r="C628" s="361"/>
      <c r="D628" s="361"/>
      <c r="E628" s="361"/>
      <c r="F628" s="361"/>
      <c r="G628" s="361"/>
      <c r="H628" s="361"/>
      <c r="I628" s="361"/>
      <c r="J628" s="361"/>
      <c r="K628" s="37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  <c r="AA628" s="322"/>
      <c r="AB628" s="322"/>
      <c r="AC628" s="322"/>
      <c r="AD628" s="322"/>
    </row>
    <row r="629" spans="1:30" ht="15.75" customHeight="1">
      <c r="A629" s="361"/>
      <c r="B629" s="361"/>
      <c r="C629" s="361"/>
      <c r="D629" s="361"/>
      <c r="E629" s="361"/>
      <c r="F629" s="361"/>
      <c r="G629" s="361"/>
      <c r="H629" s="361"/>
      <c r="I629" s="361"/>
      <c r="J629" s="361"/>
      <c r="K629" s="37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  <c r="AA629" s="322"/>
      <c r="AB629" s="322"/>
      <c r="AC629" s="322"/>
      <c r="AD629" s="322"/>
    </row>
    <row r="630" spans="1:30" ht="15.75" customHeight="1">
      <c r="A630" s="361"/>
      <c r="B630" s="361"/>
      <c r="C630" s="361"/>
      <c r="D630" s="361"/>
      <c r="E630" s="361"/>
      <c r="F630" s="361"/>
      <c r="G630" s="361"/>
      <c r="H630" s="361"/>
      <c r="I630" s="361"/>
      <c r="J630" s="361"/>
      <c r="K630" s="37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  <c r="AA630" s="322"/>
      <c r="AB630" s="322"/>
      <c r="AC630" s="322"/>
      <c r="AD630" s="322"/>
    </row>
    <row r="631" spans="1:30" ht="15.75" customHeight="1">
      <c r="A631" s="361"/>
      <c r="B631" s="361"/>
      <c r="C631" s="361"/>
      <c r="D631" s="361"/>
      <c r="E631" s="361"/>
      <c r="F631" s="361"/>
      <c r="G631" s="361"/>
      <c r="H631" s="361"/>
      <c r="I631" s="361"/>
      <c r="J631" s="361"/>
      <c r="K631" s="37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  <c r="AA631" s="322"/>
      <c r="AB631" s="322"/>
      <c r="AC631" s="322"/>
      <c r="AD631" s="322"/>
    </row>
    <row r="632" spans="1:30" ht="15.75" customHeight="1">
      <c r="A632" s="361"/>
      <c r="B632" s="361"/>
      <c r="C632" s="361"/>
      <c r="D632" s="361"/>
      <c r="E632" s="361"/>
      <c r="F632" s="361"/>
      <c r="G632" s="361"/>
      <c r="H632" s="361"/>
      <c r="I632" s="361"/>
      <c r="J632" s="361"/>
      <c r="K632" s="37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  <c r="AA632" s="322"/>
      <c r="AB632" s="322"/>
      <c r="AC632" s="322"/>
      <c r="AD632" s="322"/>
    </row>
    <row r="633" spans="1:30" ht="15.75" customHeight="1">
      <c r="A633" s="361"/>
      <c r="B633" s="361"/>
      <c r="C633" s="361"/>
      <c r="D633" s="361"/>
      <c r="E633" s="361"/>
      <c r="F633" s="361"/>
      <c r="G633" s="361"/>
      <c r="H633" s="361"/>
      <c r="I633" s="361"/>
      <c r="J633" s="361"/>
      <c r="K633" s="37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  <c r="AA633" s="322"/>
      <c r="AB633" s="322"/>
      <c r="AC633" s="322"/>
      <c r="AD633" s="322"/>
    </row>
    <row r="634" spans="1:30" ht="15.75" customHeight="1">
      <c r="A634" s="361"/>
      <c r="B634" s="361"/>
      <c r="C634" s="361"/>
      <c r="D634" s="361"/>
      <c r="E634" s="361"/>
      <c r="F634" s="361"/>
      <c r="G634" s="361"/>
      <c r="H634" s="361"/>
      <c r="I634" s="361"/>
      <c r="J634" s="361"/>
      <c r="K634" s="37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  <c r="AA634" s="322"/>
      <c r="AB634" s="322"/>
      <c r="AC634" s="322"/>
      <c r="AD634" s="322"/>
    </row>
    <row r="635" spans="1:30" ht="15.75" customHeight="1">
      <c r="A635" s="361"/>
      <c r="B635" s="361"/>
      <c r="C635" s="361"/>
      <c r="D635" s="361"/>
      <c r="E635" s="361"/>
      <c r="F635" s="361"/>
      <c r="G635" s="361"/>
      <c r="H635" s="361"/>
      <c r="I635" s="361"/>
      <c r="J635" s="361"/>
      <c r="K635" s="37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  <c r="AA635" s="322"/>
      <c r="AB635" s="322"/>
      <c r="AC635" s="322"/>
      <c r="AD635" s="322"/>
    </row>
    <row r="636" spans="1:30" ht="15.75" customHeight="1">
      <c r="A636" s="361"/>
      <c r="B636" s="361"/>
      <c r="C636" s="361"/>
      <c r="D636" s="361"/>
      <c r="E636" s="361"/>
      <c r="F636" s="361"/>
      <c r="G636" s="361"/>
      <c r="H636" s="361"/>
      <c r="I636" s="361"/>
      <c r="J636" s="361"/>
      <c r="K636" s="37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  <c r="AA636" s="322"/>
      <c r="AB636" s="322"/>
      <c r="AC636" s="322"/>
      <c r="AD636" s="322"/>
    </row>
    <row r="637" spans="1:30" ht="15.75" customHeight="1">
      <c r="A637" s="361"/>
      <c r="B637" s="361"/>
      <c r="C637" s="361"/>
      <c r="D637" s="361"/>
      <c r="E637" s="361"/>
      <c r="F637" s="361"/>
      <c r="G637" s="361"/>
      <c r="H637" s="361"/>
      <c r="I637" s="361"/>
      <c r="J637" s="361"/>
      <c r="K637" s="37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  <c r="AA637" s="322"/>
      <c r="AB637" s="322"/>
      <c r="AC637" s="322"/>
      <c r="AD637" s="322"/>
    </row>
    <row r="638" spans="1:30" ht="15.75" customHeight="1">
      <c r="A638" s="361"/>
      <c r="B638" s="361"/>
      <c r="C638" s="361"/>
      <c r="D638" s="361"/>
      <c r="E638" s="361"/>
      <c r="F638" s="361"/>
      <c r="G638" s="361"/>
      <c r="H638" s="361"/>
      <c r="I638" s="361"/>
      <c r="J638" s="361"/>
      <c r="K638" s="37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  <c r="AA638" s="322"/>
      <c r="AB638" s="322"/>
      <c r="AC638" s="322"/>
      <c r="AD638" s="322"/>
    </row>
    <row r="639" spans="1:30" ht="15.75" customHeight="1">
      <c r="A639" s="361"/>
      <c r="B639" s="361"/>
      <c r="C639" s="361"/>
      <c r="D639" s="361"/>
      <c r="E639" s="361"/>
      <c r="F639" s="361"/>
      <c r="G639" s="361"/>
      <c r="H639" s="361"/>
      <c r="I639" s="361"/>
      <c r="J639" s="361"/>
      <c r="K639" s="37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  <c r="AA639" s="322"/>
      <c r="AB639" s="322"/>
      <c r="AC639" s="322"/>
      <c r="AD639" s="322"/>
    </row>
    <row r="640" spans="1:30" ht="15.75" customHeight="1">
      <c r="A640" s="361"/>
      <c r="B640" s="361"/>
      <c r="C640" s="361"/>
      <c r="D640" s="361"/>
      <c r="E640" s="361"/>
      <c r="F640" s="361"/>
      <c r="G640" s="361"/>
      <c r="H640" s="361"/>
      <c r="I640" s="361"/>
      <c r="J640" s="361"/>
      <c r="K640" s="37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  <c r="AA640" s="322"/>
      <c r="AB640" s="322"/>
      <c r="AC640" s="322"/>
      <c r="AD640" s="322"/>
    </row>
    <row r="641" spans="1:30" ht="15.75" customHeight="1">
      <c r="A641" s="361"/>
      <c r="B641" s="361"/>
      <c r="C641" s="361"/>
      <c r="D641" s="361"/>
      <c r="E641" s="361"/>
      <c r="F641" s="361"/>
      <c r="G641" s="361"/>
      <c r="H641" s="361"/>
      <c r="I641" s="361"/>
      <c r="J641" s="361"/>
      <c r="K641" s="37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  <c r="AA641" s="322"/>
      <c r="AB641" s="322"/>
      <c r="AC641" s="322"/>
      <c r="AD641" s="322"/>
    </row>
    <row r="642" spans="1:30" ht="15.75" customHeight="1">
      <c r="A642" s="361"/>
      <c r="B642" s="361"/>
      <c r="C642" s="361"/>
      <c r="D642" s="361"/>
      <c r="E642" s="361"/>
      <c r="F642" s="361"/>
      <c r="G642" s="361"/>
      <c r="H642" s="361"/>
      <c r="I642" s="361"/>
      <c r="J642" s="361"/>
      <c r="K642" s="37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  <c r="AA642" s="322"/>
      <c r="AB642" s="322"/>
      <c r="AC642" s="322"/>
      <c r="AD642" s="322"/>
    </row>
    <row r="643" spans="1:30" ht="15.75" customHeight="1">
      <c r="A643" s="361"/>
      <c r="B643" s="361"/>
      <c r="C643" s="361"/>
      <c r="D643" s="361"/>
      <c r="E643" s="361"/>
      <c r="F643" s="361"/>
      <c r="G643" s="361"/>
      <c r="H643" s="361"/>
      <c r="I643" s="361"/>
      <c r="J643" s="361"/>
      <c r="K643" s="37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  <c r="AA643" s="322"/>
      <c r="AB643" s="322"/>
      <c r="AC643" s="322"/>
      <c r="AD643" s="322"/>
    </row>
    <row r="644" spans="1:30" ht="15.75" customHeight="1">
      <c r="A644" s="361"/>
      <c r="B644" s="361"/>
      <c r="C644" s="361"/>
      <c r="D644" s="361"/>
      <c r="E644" s="361"/>
      <c r="F644" s="361"/>
      <c r="G644" s="361"/>
      <c r="H644" s="361"/>
      <c r="I644" s="361"/>
      <c r="J644" s="361"/>
      <c r="K644" s="37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  <c r="AA644" s="322"/>
      <c r="AB644" s="322"/>
      <c r="AC644" s="322"/>
      <c r="AD644" s="322"/>
    </row>
    <row r="645" spans="1:30" ht="15.75" customHeight="1">
      <c r="A645" s="361"/>
      <c r="B645" s="361"/>
      <c r="C645" s="361"/>
      <c r="D645" s="361"/>
      <c r="E645" s="361"/>
      <c r="F645" s="361"/>
      <c r="G645" s="361"/>
      <c r="H645" s="361"/>
      <c r="I645" s="361"/>
      <c r="J645" s="361"/>
      <c r="K645" s="37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  <c r="AA645" s="322"/>
      <c r="AB645" s="322"/>
      <c r="AC645" s="322"/>
      <c r="AD645" s="322"/>
    </row>
    <row r="646" spans="1:30" ht="15.75" customHeight="1">
      <c r="A646" s="361"/>
      <c r="B646" s="361"/>
      <c r="C646" s="361"/>
      <c r="D646" s="361"/>
      <c r="E646" s="361"/>
      <c r="F646" s="361"/>
      <c r="G646" s="361"/>
      <c r="H646" s="361"/>
      <c r="I646" s="361"/>
      <c r="J646" s="361"/>
      <c r="K646" s="37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  <c r="AA646" s="322"/>
      <c r="AB646" s="322"/>
      <c r="AC646" s="322"/>
      <c r="AD646" s="322"/>
    </row>
    <row r="647" spans="1:30" ht="15.75" customHeight="1">
      <c r="A647" s="361"/>
      <c r="B647" s="361"/>
      <c r="C647" s="361"/>
      <c r="D647" s="361"/>
      <c r="E647" s="361"/>
      <c r="F647" s="361"/>
      <c r="G647" s="361"/>
      <c r="H647" s="361"/>
      <c r="I647" s="361"/>
      <c r="J647" s="361"/>
      <c r="K647" s="37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  <c r="AA647" s="322"/>
      <c r="AB647" s="322"/>
      <c r="AC647" s="322"/>
      <c r="AD647" s="322"/>
    </row>
    <row r="648" spans="1:30" ht="15.75" customHeight="1">
      <c r="A648" s="361"/>
      <c r="B648" s="361"/>
      <c r="C648" s="361"/>
      <c r="D648" s="361"/>
      <c r="E648" s="361"/>
      <c r="F648" s="361"/>
      <c r="G648" s="361"/>
      <c r="H648" s="361"/>
      <c r="I648" s="361"/>
      <c r="J648" s="361"/>
      <c r="K648" s="37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  <c r="AA648" s="322"/>
      <c r="AB648" s="322"/>
      <c r="AC648" s="322"/>
      <c r="AD648" s="322"/>
    </row>
    <row r="649" spans="1:30" ht="15.75" customHeight="1">
      <c r="A649" s="361"/>
      <c r="B649" s="361"/>
      <c r="C649" s="361"/>
      <c r="D649" s="361"/>
      <c r="E649" s="361"/>
      <c r="F649" s="361"/>
      <c r="G649" s="361"/>
      <c r="H649" s="361"/>
      <c r="I649" s="361"/>
      <c r="J649" s="361"/>
      <c r="K649" s="37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  <c r="AA649" s="322"/>
      <c r="AB649" s="322"/>
      <c r="AC649" s="322"/>
      <c r="AD649" s="322"/>
    </row>
    <row r="650" spans="1:30" ht="15.75" customHeight="1">
      <c r="A650" s="361"/>
      <c r="B650" s="361"/>
      <c r="C650" s="361"/>
      <c r="D650" s="361"/>
      <c r="E650" s="361"/>
      <c r="F650" s="361"/>
      <c r="G650" s="361"/>
      <c r="H650" s="361"/>
      <c r="I650" s="361"/>
      <c r="J650" s="361"/>
      <c r="K650" s="37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  <c r="AA650" s="322"/>
      <c r="AB650" s="322"/>
      <c r="AC650" s="322"/>
      <c r="AD650" s="322"/>
    </row>
    <row r="651" spans="1:30" ht="15.75" customHeight="1">
      <c r="A651" s="361"/>
      <c r="B651" s="361"/>
      <c r="C651" s="361"/>
      <c r="D651" s="361"/>
      <c r="E651" s="361"/>
      <c r="F651" s="361"/>
      <c r="G651" s="361"/>
      <c r="H651" s="361"/>
      <c r="I651" s="361"/>
      <c r="J651" s="361"/>
      <c r="K651" s="37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  <c r="AA651" s="322"/>
      <c r="AB651" s="322"/>
      <c r="AC651" s="322"/>
      <c r="AD651" s="322"/>
    </row>
    <row r="652" spans="1:30" ht="15.75" customHeight="1">
      <c r="A652" s="361"/>
      <c r="B652" s="361"/>
      <c r="C652" s="361"/>
      <c r="D652" s="361"/>
      <c r="E652" s="361"/>
      <c r="F652" s="361"/>
      <c r="G652" s="361"/>
      <c r="H652" s="361"/>
      <c r="I652" s="361"/>
      <c r="J652" s="361"/>
      <c r="K652" s="37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  <c r="AA652" s="322"/>
      <c r="AB652" s="322"/>
      <c r="AC652" s="322"/>
      <c r="AD652" s="322"/>
    </row>
    <row r="653" spans="1:30" ht="15.75" customHeight="1">
      <c r="A653" s="361"/>
      <c r="B653" s="361"/>
      <c r="C653" s="361"/>
      <c r="D653" s="361"/>
      <c r="E653" s="361"/>
      <c r="F653" s="361"/>
      <c r="G653" s="361"/>
      <c r="H653" s="361"/>
      <c r="I653" s="361"/>
      <c r="J653" s="361"/>
      <c r="K653" s="37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  <c r="AA653" s="322"/>
      <c r="AB653" s="322"/>
      <c r="AC653" s="322"/>
      <c r="AD653" s="322"/>
    </row>
    <row r="654" spans="1:30" ht="15.75" customHeight="1">
      <c r="A654" s="361"/>
      <c r="B654" s="361"/>
      <c r="C654" s="361"/>
      <c r="D654" s="361"/>
      <c r="E654" s="361"/>
      <c r="F654" s="361"/>
      <c r="G654" s="361"/>
      <c r="H654" s="361"/>
      <c r="I654" s="361"/>
      <c r="J654" s="361"/>
      <c r="K654" s="37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  <c r="AA654" s="322"/>
      <c r="AB654" s="322"/>
      <c r="AC654" s="322"/>
      <c r="AD654" s="322"/>
    </row>
    <row r="655" spans="1:30" ht="15.75" customHeight="1">
      <c r="A655" s="361"/>
      <c r="B655" s="361"/>
      <c r="C655" s="361"/>
      <c r="D655" s="361"/>
      <c r="E655" s="361"/>
      <c r="F655" s="361"/>
      <c r="G655" s="361"/>
      <c r="H655" s="361"/>
      <c r="I655" s="361"/>
      <c r="J655" s="361"/>
      <c r="K655" s="37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  <c r="AA655" s="322"/>
      <c r="AB655" s="322"/>
      <c r="AC655" s="322"/>
      <c r="AD655" s="322"/>
    </row>
    <row r="656" spans="1:30" ht="15.75" customHeight="1">
      <c r="A656" s="361"/>
      <c r="B656" s="361"/>
      <c r="C656" s="361"/>
      <c r="D656" s="361"/>
      <c r="E656" s="361"/>
      <c r="F656" s="361"/>
      <c r="G656" s="361"/>
      <c r="H656" s="361"/>
      <c r="I656" s="361"/>
      <c r="J656" s="361"/>
      <c r="K656" s="37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  <c r="AA656" s="322"/>
      <c r="AB656" s="322"/>
      <c r="AC656" s="322"/>
      <c r="AD656" s="322"/>
    </row>
    <row r="657" spans="1:30" ht="15.75" customHeight="1">
      <c r="A657" s="361"/>
      <c r="B657" s="361"/>
      <c r="C657" s="361"/>
      <c r="D657" s="361"/>
      <c r="E657" s="361"/>
      <c r="F657" s="361"/>
      <c r="G657" s="361"/>
      <c r="H657" s="361"/>
      <c r="I657" s="361"/>
      <c r="J657" s="361"/>
      <c r="K657" s="37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  <c r="AA657" s="322"/>
      <c r="AB657" s="322"/>
      <c r="AC657" s="322"/>
      <c r="AD657" s="322"/>
    </row>
    <row r="658" spans="1:30" ht="15.75" customHeight="1">
      <c r="A658" s="361"/>
      <c r="B658" s="361"/>
      <c r="C658" s="361"/>
      <c r="D658" s="361"/>
      <c r="E658" s="361"/>
      <c r="F658" s="361"/>
      <c r="G658" s="361"/>
      <c r="H658" s="361"/>
      <c r="I658" s="361"/>
      <c r="J658" s="361"/>
      <c r="K658" s="37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  <c r="AA658" s="322"/>
      <c r="AB658" s="322"/>
      <c r="AC658" s="322"/>
      <c r="AD658" s="322"/>
    </row>
    <row r="659" spans="1:30" ht="15.75" customHeight="1">
      <c r="A659" s="361"/>
      <c r="B659" s="361"/>
      <c r="C659" s="361"/>
      <c r="D659" s="361"/>
      <c r="E659" s="361"/>
      <c r="F659" s="361"/>
      <c r="G659" s="361"/>
      <c r="H659" s="361"/>
      <c r="I659" s="361"/>
      <c r="J659" s="361"/>
      <c r="K659" s="37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  <c r="AA659" s="322"/>
      <c r="AB659" s="322"/>
      <c r="AC659" s="322"/>
      <c r="AD659" s="322"/>
    </row>
    <row r="660" spans="1:30" ht="15.75" customHeight="1">
      <c r="A660" s="361"/>
      <c r="B660" s="361"/>
      <c r="C660" s="361"/>
      <c r="D660" s="361"/>
      <c r="E660" s="361"/>
      <c r="F660" s="361"/>
      <c r="G660" s="361"/>
      <c r="H660" s="361"/>
      <c r="I660" s="361"/>
      <c r="J660" s="361"/>
      <c r="K660" s="37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  <c r="AA660" s="322"/>
      <c r="AB660" s="322"/>
      <c r="AC660" s="322"/>
      <c r="AD660" s="322"/>
    </row>
    <row r="661" spans="1:30" ht="15.75" customHeight="1">
      <c r="A661" s="361"/>
      <c r="B661" s="361"/>
      <c r="C661" s="361"/>
      <c r="D661" s="361"/>
      <c r="E661" s="361"/>
      <c r="F661" s="361"/>
      <c r="G661" s="361"/>
      <c r="H661" s="361"/>
      <c r="I661" s="361"/>
      <c r="J661" s="361"/>
      <c r="K661" s="37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  <c r="AA661" s="322"/>
      <c r="AB661" s="322"/>
      <c r="AC661" s="322"/>
      <c r="AD661" s="322"/>
    </row>
    <row r="662" spans="1:30" ht="15.75" customHeight="1">
      <c r="A662" s="361"/>
      <c r="B662" s="361"/>
      <c r="C662" s="361"/>
      <c r="D662" s="361"/>
      <c r="E662" s="361"/>
      <c r="F662" s="361"/>
      <c r="G662" s="361"/>
      <c r="H662" s="361"/>
      <c r="I662" s="361"/>
      <c r="J662" s="361"/>
      <c r="K662" s="37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  <c r="AA662" s="322"/>
      <c r="AB662" s="322"/>
      <c r="AC662" s="322"/>
      <c r="AD662" s="322"/>
    </row>
    <row r="663" spans="1:30" ht="15.75" customHeight="1">
      <c r="A663" s="361"/>
      <c r="B663" s="361"/>
      <c r="C663" s="361"/>
      <c r="D663" s="361"/>
      <c r="E663" s="361"/>
      <c r="F663" s="361"/>
      <c r="G663" s="361"/>
      <c r="H663" s="361"/>
      <c r="I663" s="361"/>
      <c r="J663" s="361"/>
      <c r="K663" s="37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  <c r="AA663" s="322"/>
      <c r="AB663" s="322"/>
      <c r="AC663" s="322"/>
      <c r="AD663" s="322"/>
    </row>
    <row r="664" spans="1:30" ht="15.75" customHeight="1">
      <c r="A664" s="361"/>
      <c r="B664" s="361"/>
      <c r="C664" s="361"/>
      <c r="D664" s="361"/>
      <c r="E664" s="361"/>
      <c r="F664" s="361"/>
      <c r="G664" s="361"/>
      <c r="H664" s="361"/>
      <c r="I664" s="361"/>
      <c r="J664" s="361"/>
      <c r="K664" s="37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  <c r="AA664" s="322"/>
      <c r="AB664" s="322"/>
      <c r="AC664" s="322"/>
      <c r="AD664" s="322"/>
    </row>
    <row r="665" spans="1:30" ht="15.75" customHeight="1">
      <c r="A665" s="361"/>
      <c r="B665" s="361"/>
      <c r="C665" s="361"/>
      <c r="D665" s="361"/>
      <c r="E665" s="361"/>
      <c r="F665" s="361"/>
      <c r="G665" s="361"/>
      <c r="H665" s="361"/>
      <c r="I665" s="361"/>
      <c r="J665" s="361"/>
      <c r="K665" s="37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  <c r="AA665" s="322"/>
      <c r="AB665" s="322"/>
      <c r="AC665" s="322"/>
      <c r="AD665" s="322"/>
    </row>
    <row r="666" spans="1:30" ht="15.75" customHeight="1">
      <c r="A666" s="361"/>
      <c r="B666" s="361"/>
      <c r="C666" s="361"/>
      <c r="D666" s="361"/>
      <c r="E666" s="361"/>
      <c r="F666" s="361"/>
      <c r="G666" s="361"/>
      <c r="H666" s="361"/>
      <c r="I666" s="361"/>
      <c r="J666" s="361"/>
      <c r="K666" s="37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  <c r="AA666" s="322"/>
      <c r="AB666" s="322"/>
      <c r="AC666" s="322"/>
      <c r="AD666" s="322"/>
    </row>
    <row r="667" spans="1:30" ht="15.75" customHeight="1">
      <c r="A667" s="361"/>
      <c r="B667" s="361"/>
      <c r="C667" s="361"/>
      <c r="D667" s="361"/>
      <c r="E667" s="361"/>
      <c r="F667" s="361"/>
      <c r="G667" s="361"/>
      <c r="H667" s="361"/>
      <c r="I667" s="361"/>
      <c r="J667" s="361"/>
      <c r="K667" s="37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  <c r="AA667" s="322"/>
      <c r="AB667" s="322"/>
      <c r="AC667" s="322"/>
      <c r="AD667" s="322"/>
    </row>
    <row r="668" spans="1:30" ht="15.75" customHeight="1">
      <c r="A668" s="361"/>
      <c r="B668" s="361"/>
      <c r="C668" s="361"/>
      <c r="D668" s="361"/>
      <c r="E668" s="361"/>
      <c r="F668" s="361"/>
      <c r="G668" s="361"/>
      <c r="H668" s="361"/>
      <c r="I668" s="361"/>
      <c r="J668" s="361"/>
      <c r="K668" s="37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  <c r="AA668" s="322"/>
      <c r="AB668" s="322"/>
      <c r="AC668" s="322"/>
      <c r="AD668" s="322"/>
    </row>
    <row r="669" spans="1:30" ht="15.75" customHeight="1">
      <c r="A669" s="361"/>
      <c r="B669" s="361"/>
      <c r="C669" s="361"/>
      <c r="D669" s="361"/>
      <c r="E669" s="361"/>
      <c r="F669" s="361"/>
      <c r="G669" s="361"/>
      <c r="H669" s="361"/>
      <c r="I669" s="361"/>
      <c r="J669" s="361"/>
      <c r="K669" s="37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  <c r="AA669" s="322"/>
      <c r="AB669" s="322"/>
      <c r="AC669" s="322"/>
      <c r="AD669" s="322"/>
    </row>
    <row r="670" spans="1:30" ht="15.75" customHeight="1">
      <c r="A670" s="361"/>
      <c r="B670" s="361"/>
      <c r="C670" s="361"/>
      <c r="D670" s="361"/>
      <c r="E670" s="361"/>
      <c r="F670" s="361"/>
      <c r="G670" s="361"/>
      <c r="H670" s="361"/>
      <c r="I670" s="361"/>
      <c r="J670" s="361"/>
      <c r="K670" s="37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  <c r="AA670" s="322"/>
      <c r="AB670" s="322"/>
      <c r="AC670" s="322"/>
      <c r="AD670" s="322"/>
    </row>
    <row r="671" spans="1:30" ht="15.75" customHeight="1">
      <c r="A671" s="361"/>
      <c r="B671" s="361"/>
      <c r="C671" s="361"/>
      <c r="D671" s="361"/>
      <c r="E671" s="361"/>
      <c r="F671" s="361"/>
      <c r="G671" s="361"/>
      <c r="H671" s="361"/>
      <c r="I671" s="361"/>
      <c r="J671" s="361"/>
      <c r="K671" s="37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  <c r="AA671" s="322"/>
      <c r="AB671" s="322"/>
      <c r="AC671" s="322"/>
      <c r="AD671" s="322"/>
    </row>
    <row r="672" spans="1:30" ht="15.75" customHeight="1">
      <c r="A672" s="361"/>
      <c r="B672" s="361"/>
      <c r="C672" s="361"/>
      <c r="D672" s="361"/>
      <c r="E672" s="361"/>
      <c r="F672" s="361"/>
      <c r="G672" s="361"/>
      <c r="H672" s="361"/>
      <c r="I672" s="361"/>
      <c r="J672" s="361"/>
      <c r="K672" s="37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  <c r="AA672" s="322"/>
      <c r="AB672" s="322"/>
      <c r="AC672" s="322"/>
      <c r="AD672" s="322"/>
    </row>
    <row r="673" spans="1:30" ht="15.75" customHeight="1">
      <c r="A673" s="361"/>
      <c r="B673" s="361"/>
      <c r="C673" s="361"/>
      <c r="D673" s="361"/>
      <c r="E673" s="361"/>
      <c r="F673" s="361"/>
      <c r="G673" s="361"/>
      <c r="H673" s="361"/>
      <c r="I673" s="361"/>
      <c r="J673" s="361"/>
      <c r="K673" s="37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  <c r="AA673" s="322"/>
      <c r="AB673" s="322"/>
      <c r="AC673" s="322"/>
      <c r="AD673" s="322"/>
    </row>
    <row r="674" spans="1:30" ht="15.75" customHeight="1">
      <c r="A674" s="361"/>
      <c r="B674" s="361"/>
      <c r="C674" s="361"/>
      <c r="D674" s="361"/>
      <c r="E674" s="361"/>
      <c r="F674" s="361"/>
      <c r="G674" s="361"/>
      <c r="H674" s="361"/>
      <c r="I674" s="361"/>
      <c r="J674" s="361"/>
      <c r="K674" s="37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  <c r="AA674" s="322"/>
      <c r="AB674" s="322"/>
      <c r="AC674" s="322"/>
      <c r="AD674" s="322"/>
    </row>
    <row r="675" spans="1:30" ht="15.75" customHeight="1">
      <c r="A675" s="361"/>
      <c r="B675" s="361"/>
      <c r="C675" s="361"/>
      <c r="D675" s="361"/>
      <c r="E675" s="361"/>
      <c r="F675" s="361"/>
      <c r="G675" s="361"/>
      <c r="H675" s="361"/>
      <c r="I675" s="361"/>
      <c r="J675" s="361"/>
      <c r="K675" s="37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  <c r="AA675" s="322"/>
      <c r="AB675" s="322"/>
      <c r="AC675" s="322"/>
      <c r="AD675" s="322"/>
    </row>
    <row r="676" spans="1:30" ht="15.75" customHeight="1">
      <c r="A676" s="361"/>
      <c r="B676" s="361"/>
      <c r="C676" s="361"/>
      <c r="D676" s="361"/>
      <c r="E676" s="361"/>
      <c r="F676" s="361"/>
      <c r="G676" s="361"/>
      <c r="H676" s="361"/>
      <c r="I676" s="361"/>
      <c r="J676" s="361"/>
      <c r="K676" s="37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  <c r="AA676" s="322"/>
      <c r="AB676" s="322"/>
      <c r="AC676" s="322"/>
      <c r="AD676" s="322"/>
    </row>
    <row r="677" spans="1:30" ht="15.75" customHeight="1">
      <c r="A677" s="361"/>
      <c r="B677" s="361"/>
      <c r="C677" s="361"/>
      <c r="D677" s="361"/>
      <c r="E677" s="361"/>
      <c r="F677" s="361"/>
      <c r="G677" s="361"/>
      <c r="H677" s="361"/>
      <c r="I677" s="361"/>
      <c r="J677" s="361"/>
      <c r="K677" s="37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  <c r="AA677" s="322"/>
      <c r="AB677" s="322"/>
      <c r="AC677" s="322"/>
      <c r="AD677" s="322"/>
    </row>
    <row r="678" spans="1:30" ht="15.75" customHeight="1">
      <c r="A678" s="361"/>
      <c r="B678" s="361"/>
      <c r="C678" s="361"/>
      <c r="D678" s="361"/>
      <c r="E678" s="361"/>
      <c r="F678" s="361"/>
      <c r="G678" s="361"/>
      <c r="H678" s="361"/>
      <c r="I678" s="361"/>
      <c r="J678" s="361"/>
      <c r="K678" s="37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  <c r="AA678" s="322"/>
      <c r="AB678" s="322"/>
      <c r="AC678" s="322"/>
      <c r="AD678" s="322"/>
    </row>
    <row r="679" spans="1:30" ht="15.75" customHeight="1">
      <c r="A679" s="361"/>
      <c r="B679" s="361"/>
      <c r="C679" s="361"/>
      <c r="D679" s="361"/>
      <c r="E679" s="361"/>
      <c r="F679" s="361"/>
      <c r="G679" s="361"/>
      <c r="H679" s="361"/>
      <c r="I679" s="361"/>
      <c r="J679" s="361"/>
      <c r="K679" s="37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  <c r="AA679" s="322"/>
      <c r="AB679" s="322"/>
      <c r="AC679" s="322"/>
      <c r="AD679" s="322"/>
    </row>
    <row r="680" spans="1:30" ht="15.75" customHeight="1">
      <c r="A680" s="361"/>
      <c r="B680" s="361"/>
      <c r="C680" s="361"/>
      <c r="D680" s="361"/>
      <c r="E680" s="361"/>
      <c r="F680" s="361"/>
      <c r="G680" s="361"/>
      <c r="H680" s="361"/>
      <c r="I680" s="361"/>
      <c r="J680" s="361"/>
      <c r="K680" s="37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  <c r="AA680" s="322"/>
      <c r="AB680" s="322"/>
      <c r="AC680" s="322"/>
      <c r="AD680" s="322"/>
    </row>
    <row r="681" spans="1:30" ht="15.75" customHeight="1">
      <c r="A681" s="361"/>
      <c r="B681" s="361"/>
      <c r="C681" s="361"/>
      <c r="D681" s="361"/>
      <c r="E681" s="361"/>
      <c r="F681" s="361"/>
      <c r="G681" s="361"/>
      <c r="H681" s="361"/>
      <c r="I681" s="361"/>
      <c r="J681" s="361"/>
      <c r="K681" s="37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  <c r="AA681" s="322"/>
      <c r="AB681" s="322"/>
      <c r="AC681" s="322"/>
      <c r="AD681" s="322"/>
    </row>
    <row r="682" spans="1:30" ht="15.75" customHeight="1">
      <c r="A682" s="361"/>
      <c r="B682" s="361"/>
      <c r="C682" s="361"/>
      <c r="D682" s="361"/>
      <c r="E682" s="361"/>
      <c r="F682" s="361"/>
      <c r="G682" s="361"/>
      <c r="H682" s="361"/>
      <c r="I682" s="361"/>
      <c r="J682" s="361"/>
      <c r="K682" s="37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  <c r="AA682" s="322"/>
      <c r="AB682" s="322"/>
      <c r="AC682" s="322"/>
      <c r="AD682" s="322"/>
    </row>
    <row r="683" spans="1:30" ht="15.75" customHeight="1">
      <c r="A683" s="361"/>
      <c r="B683" s="361"/>
      <c r="C683" s="361"/>
      <c r="D683" s="361"/>
      <c r="E683" s="361"/>
      <c r="F683" s="361"/>
      <c r="G683" s="361"/>
      <c r="H683" s="361"/>
      <c r="I683" s="361"/>
      <c r="J683" s="361"/>
      <c r="K683" s="37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  <c r="AA683" s="322"/>
      <c r="AB683" s="322"/>
      <c r="AC683" s="322"/>
      <c r="AD683" s="322"/>
    </row>
    <row r="684" spans="1:30" ht="15.75" customHeight="1">
      <c r="A684" s="361"/>
      <c r="B684" s="361"/>
      <c r="C684" s="361"/>
      <c r="D684" s="361"/>
      <c r="E684" s="361"/>
      <c r="F684" s="361"/>
      <c r="G684" s="361"/>
      <c r="H684" s="361"/>
      <c r="I684" s="361"/>
      <c r="J684" s="361"/>
      <c r="K684" s="37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  <c r="AA684" s="322"/>
      <c r="AB684" s="322"/>
      <c r="AC684" s="322"/>
      <c r="AD684" s="322"/>
    </row>
    <row r="685" spans="1:30" ht="15.75" customHeight="1">
      <c r="A685" s="361"/>
      <c r="B685" s="361"/>
      <c r="C685" s="361"/>
      <c r="D685" s="361"/>
      <c r="E685" s="361"/>
      <c r="F685" s="361"/>
      <c r="G685" s="361"/>
      <c r="H685" s="361"/>
      <c r="I685" s="361"/>
      <c r="J685" s="361"/>
      <c r="K685" s="37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  <c r="AA685" s="322"/>
      <c r="AB685" s="322"/>
      <c r="AC685" s="322"/>
      <c r="AD685" s="322"/>
    </row>
    <row r="686" spans="1:30" ht="15.75" customHeight="1">
      <c r="A686" s="361"/>
      <c r="B686" s="361"/>
      <c r="C686" s="361"/>
      <c r="D686" s="361"/>
      <c r="E686" s="361"/>
      <c r="F686" s="361"/>
      <c r="G686" s="361"/>
      <c r="H686" s="361"/>
      <c r="I686" s="361"/>
      <c r="J686" s="361"/>
      <c r="K686" s="37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  <c r="AA686" s="322"/>
      <c r="AB686" s="322"/>
      <c r="AC686" s="322"/>
      <c r="AD686" s="322"/>
    </row>
    <row r="687" spans="1:30" ht="15.75" customHeight="1">
      <c r="A687" s="361"/>
      <c r="B687" s="361"/>
      <c r="C687" s="361"/>
      <c r="D687" s="361"/>
      <c r="E687" s="361"/>
      <c r="F687" s="361"/>
      <c r="G687" s="361"/>
      <c r="H687" s="361"/>
      <c r="I687" s="361"/>
      <c r="J687" s="361"/>
      <c r="K687" s="37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  <c r="AA687" s="322"/>
      <c r="AB687" s="322"/>
      <c r="AC687" s="322"/>
      <c r="AD687" s="322"/>
    </row>
    <row r="688" spans="1:30" ht="15.75" customHeight="1">
      <c r="A688" s="361"/>
      <c r="B688" s="361"/>
      <c r="C688" s="361"/>
      <c r="D688" s="361"/>
      <c r="E688" s="361"/>
      <c r="F688" s="361"/>
      <c r="G688" s="361"/>
      <c r="H688" s="361"/>
      <c r="I688" s="361"/>
      <c r="J688" s="361"/>
      <c r="K688" s="37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  <c r="AA688" s="322"/>
      <c r="AB688" s="322"/>
      <c r="AC688" s="322"/>
      <c r="AD688" s="322"/>
    </row>
    <row r="689" spans="1:30" ht="15.75" customHeight="1">
      <c r="A689" s="361"/>
      <c r="B689" s="361"/>
      <c r="C689" s="361"/>
      <c r="D689" s="361"/>
      <c r="E689" s="361"/>
      <c r="F689" s="361"/>
      <c r="G689" s="361"/>
      <c r="H689" s="361"/>
      <c r="I689" s="361"/>
      <c r="J689" s="361"/>
      <c r="K689" s="37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  <c r="AA689" s="322"/>
      <c r="AB689" s="322"/>
      <c r="AC689" s="322"/>
      <c r="AD689" s="322"/>
    </row>
    <row r="690" spans="1:30" ht="15.75" customHeight="1">
      <c r="A690" s="361"/>
      <c r="B690" s="361"/>
      <c r="C690" s="361"/>
      <c r="D690" s="361"/>
      <c r="E690" s="361"/>
      <c r="F690" s="361"/>
      <c r="G690" s="361"/>
      <c r="H690" s="361"/>
      <c r="I690" s="361"/>
      <c r="J690" s="361"/>
      <c r="K690" s="37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  <c r="AA690" s="322"/>
      <c r="AB690" s="322"/>
      <c r="AC690" s="322"/>
      <c r="AD690" s="322"/>
    </row>
    <row r="691" spans="1:30" ht="15.75" customHeight="1">
      <c r="A691" s="361"/>
      <c r="B691" s="361"/>
      <c r="C691" s="361"/>
      <c r="D691" s="361"/>
      <c r="E691" s="361"/>
      <c r="F691" s="361"/>
      <c r="G691" s="361"/>
      <c r="H691" s="361"/>
      <c r="I691" s="361"/>
      <c r="J691" s="361"/>
      <c r="K691" s="37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  <c r="AA691" s="322"/>
      <c r="AB691" s="322"/>
      <c r="AC691" s="322"/>
      <c r="AD691" s="322"/>
    </row>
    <row r="692" spans="1:30" ht="15.75" customHeight="1">
      <c r="A692" s="361"/>
      <c r="B692" s="361"/>
      <c r="C692" s="361"/>
      <c r="D692" s="361"/>
      <c r="E692" s="361"/>
      <c r="F692" s="361"/>
      <c r="G692" s="361"/>
      <c r="H692" s="361"/>
      <c r="I692" s="361"/>
      <c r="J692" s="361"/>
      <c r="K692" s="37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  <c r="AA692" s="322"/>
      <c r="AB692" s="322"/>
      <c r="AC692" s="322"/>
      <c r="AD692" s="322"/>
    </row>
    <row r="693" spans="1:30" ht="15.75" customHeight="1">
      <c r="A693" s="361"/>
      <c r="B693" s="361"/>
      <c r="C693" s="361"/>
      <c r="D693" s="361"/>
      <c r="E693" s="361"/>
      <c r="F693" s="361"/>
      <c r="G693" s="361"/>
      <c r="H693" s="361"/>
      <c r="I693" s="361"/>
      <c r="J693" s="361"/>
      <c r="K693" s="37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  <c r="AA693" s="322"/>
      <c r="AB693" s="322"/>
      <c r="AC693" s="322"/>
      <c r="AD693" s="322"/>
    </row>
    <row r="694" spans="1:30" ht="15.75" customHeight="1">
      <c r="A694" s="361"/>
      <c r="B694" s="361"/>
      <c r="C694" s="361"/>
      <c r="D694" s="361"/>
      <c r="E694" s="361"/>
      <c r="F694" s="361"/>
      <c r="G694" s="361"/>
      <c r="H694" s="361"/>
      <c r="I694" s="361"/>
      <c r="J694" s="361"/>
      <c r="K694" s="37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  <c r="AA694" s="322"/>
      <c r="AB694" s="322"/>
      <c r="AC694" s="322"/>
      <c r="AD694" s="322"/>
    </row>
    <row r="695" spans="1:30" ht="15.75" customHeight="1">
      <c r="A695" s="361"/>
      <c r="B695" s="361"/>
      <c r="C695" s="361"/>
      <c r="D695" s="361"/>
      <c r="E695" s="361"/>
      <c r="F695" s="361"/>
      <c r="G695" s="361"/>
      <c r="H695" s="361"/>
      <c r="I695" s="361"/>
      <c r="J695" s="361"/>
      <c r="K695" s="37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  <c r="AA695" s="322"/>
      <c r="AB695" s="322"/>
      <c r="AC695" s="322"/>
      <c r="AD695" s="322"/>
    </row>
    <row r="696" spans="1:30" ht="15.75" customHeight="1">
      <c r="A696" s="361"/>
      <c r="B696" s="361"/>
      <c r="C696" s="361"/>
      <c r="D696" s="361"/>
      <c r="E696" s="361"/>
      <c r="F696" s="361"/>
      <c r="G696" s="361"/>
      <c r="H696" s="361"/>
      <c r="I696" s="361"/>
      <c r="J696" s="361"/>
      <c r="K696" s="37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  <c r="AA696" s="322"/>
      <c r="AB696" s="322"/>
      <c r="AC696" s="322"/>
      <c r="AD696" s="322"/>
    </row>
    <row r="697" spans="1:30" ht="15.75" customHeight="1">
      <c r="A697" s="361"/>
      <c r="B697" s="361"/>
      <c r="C697" s="361"/>
      <c r="D697" s="361"/>
      <c r="E697" s="361"/>
      <c r="F697" s="361"/>
      <c r="G697" s="361"/>
      <c r="H697" s="361"/>
      <c r="I697" s="361"/>
      <c r="J697" s="361"/>
      <c r="K697" s="37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  <c r="AA697" s="322"/>
      <c r="AB697" s="322"/>
      <c r="AC697" s="322"/>
      <c r="AD697" s="322"/>
    </row>
    <row r="698" spans="1:30" ht="15.75" customHeight="1">
      <c r="A698" s="361"/>
      <c r="B698" s="361"/>
      <c r="C698" s="361"/>
      <c r="D698" s="361"/>
      <c r="E698" s="361"/>
      <c r="F698" s="361"/>
      <c r="G698" s="361"/>
      <c r="H698" s="361"/>
      <c r="I698" s="361"/>
      <c r="J698" s="361"/>
      <c r="K698" s="37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  <c r="AA698" s="322"/>
      <c r="AB698" s="322"/>
      <c r="AC698" s="322"/>
      <c r="AD698" s="322"/>
    </row>
    <row r="699" spans="1:30" ht="15.75" customHeight="1">
      <c r="A699" s="361"/>
      <c r="B699" s="361"/>
      <c r="C699" s="361"/>
      <c r="D699" s="361"/>
      <c r="E699" s="361"/>
      <c r="F699" s="361"/>
      <c r="G699" s="361"/>
      <c r="H699" s="361"/>
      <c r="I699" s="361"/>
      <c r="J699" s="361"/>
      <c r="K699" s="37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  <c r="AA699" s="322"/>
      <c r="AB699" s="322"/>
      <c r="AC699" s="322"/>
      <c r="AD699" s="322"/>
    </row>
    <row r="700" spans="1:30" ht="15.75" customHeight="1">
      <c r="A700" s="361"/>
      <c r="B700" s="361"/>
      <c r="C700" s="361"/>
      <c r="D700" s="361"/>
      <c r="E700" s="361"/>
      <c r="F700" s="361"/>
      <c r="G700" s="361"/>
      <c r="H700" s="361"/>
      <c r="I700" s="361"/>
      <c r="J700" s="361"/>
      <c r="K700" s="37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  <c r="AA700" s="322"/>
      <c r="AB700" s="322"/>
      <c r="AC700" s="322"/>
      <c r="AD700" s="322"/>
    </row>
    <row r="701" spans="1:30" ht="15.75" customHeight="1">
      <c r="A701" s="361"/>
      <c r="B701" s="361"/>
      <c r="C701" s="361"/>
      <c r="D701" s="361"/>
      <c r="E701" s="361"/>
      <c r="F701" s="361"/>
      <c r="G701" s="361"/>
      <c r="H701" s="361"/>
      <c r="I701" s="361"/>
      <c r="J701" s="361"/>
      <c r="K701" s="37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  <c r="AA701" s="322"/>
      <c r="AB701" s="322"/>
      <c r="AC701" s="322"/>
      <c r="AD701" s="322"/>
    </row>
    <row r="702" spans="1:30" ht="15.75" customHeight="1">
      <c r="A702" s="361"/>
      <c r="B702" s="361"/>
      <c r="C702" s="361"/>
      <c r="D702" s="361"/>
      <c r="E702" s="361"/>
      <c r="F702" s="361"/>
      <c r="G702" s="361"/>
      <c r="H702" s="361"/>
      <c r="I702" s="361"/>
      <c r="J702" s="361"/>
      <c r="K702" s="37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  <c r="AA702" s="322"/>
      <c r="AB702" s="322"/>
      <c r="AC702" s="322"/>
      <c r="AD702" s="322"/>
    </row>
    <row r="703" spans="1:30" ht="15.75" customHeight="1">
      <c r="A703" s="361"/>
      <c r="B703" s="361"/>
      <c r="C703" s="361"/>
      <c r="D703" s="361"/>
      <c r="E703" s="361"/>
      <c r="F703" s="361"/>
      <c r="G703" s="361"/>
      <c r="H703" s="361"/>
      <c r="I703" s="361"/>
      <c r="J703" s="361"/>
      <c r="K703" s="37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  <c r="AA703" s="322"/>
      <c r="AB703" s="322"/>
      <c r="AC703" s="322"/>
      <c r="AD703" s="322"/>
    </row>
    <row r="704" spans="1:30" ht="15.75" customHeight="1">
      <c r="A704" s="361"/>
      <c r="B704" s="361"/>
      <c r="C704" s="361"/>
      <c r="D704" s="361"/>
      <c r="E704" s="361"/>
      <c r="F704" s="361"/>
      <c r="G704" s="361"/>
      <c r="H704" s="361"/>
      <c r="I704" s="361"/>
      <c r="J704" s="361"/>
      <c r="K704" s="37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  <c r="AA704" s="322"/>
      <c r="AB704" s="322"/>
      <c r="AC704" s="322"/>
      <c r="AD704" s="322"/>
    </row>
    <row r="705" spans="1:30" ht="15.75" customHeight="1">
      <c r="A705" s="361"/>
      <c r="B705" s="361"/>
      <c r="C705" s="361"/>
      <c r="D705" s="361"/>
      <c r="E705" s="361"/>
      <c r="F705" s="361"/>
      <c r="G705" s="361"/>
      <c r="H705" s="361"/>
      <c r="I705" s="361"/>
      <c r="J705" s="361"/>
      <c r="K705" s="37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  <c r="AA705" s="322"/>
      <c r="AB705" s="322"/>
      <c r="AC705" s="322"/>
      <c r="AD705" s="322"/>
    </row>
    <row r="706" spans="1:30" ht="15.75" customHeight="1">
      <c r="A706" s="361"/>
      <c r="B706" s="361"/>
      <c r="C706" s="361"/>
      <c r="D706" s="361"/>
      <c r="E706" s="361"/>
      <c r="F706" s="361"/>
      <c r="G706" s="361"/>
      <c r="H706" s="361"/>
      <c r="I706" s="361"/>
      <c r="J706" s="361"/>
      <c r="K706" s="37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  <c r="AA706" s="322"/>
      <c r="AB706" s="322"/>
      <c r="AC706" s="322"/>
      <c r="AD706" s="322"/>
    </row>
    <row r="707" spans="1:30" ht="15.75" customHeight="1">
      <c r="A707" s="361"/>
      <c r="B707" s="361"/>
      <c r="C707" s="361"/>
      <c r="D707" s="361"/>
      <c r="E707" s="361"/>
      <c r="F707" s="361"/>
      <c r="G707" s="361"/>
      <c r="H707" s="361"/>
      <c r="I707" s="361"/>
      <c r="J707" s="361"/>
      <c r="K707" s="37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  <c r="AA707" s="322"/>
      <c r="AB707" s="322"/>
      <c r="AC707" s="322"/>
      <c r="AD707" s="322"/>
    </row>
    <row r="708" spans="1:30" ht="15.75" customHeight="1">
      <c r="A708" s="361"/>
      <c r="B708" s="361"/>
      <c r="C708" s="361"/>
      <c r="D708" s="361"/>
      <c r="E708" s="361"/>
      <c r="F708" s="361"/>
      <c r="G708" s="361"/>
      <c r="H708" s="361"/>
      <c r="I708" s="361"/>
      <c r="J708" s="361"/>
      <c r="K708" s="37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  <c r="AA708" s="322"/>
      <c r="AB708" s="322"/>
      <c r="AC708" s="322"/>
      <c r="AD708" s="322"/>
    </row>
    <row r="709" spans="1:30" ht="15.75" customHeight="1">
      <c r="A709" s="361"/>
      <c r="B709" s="361"/>
      <c r="C709" s="361"/>
      <c r="D709" s="361"/>
      <c r="E709" s="361"/>
      <c r="F709" s="361"/>
      <c r="G709" s="361"/>
      <c r="H709" s="361"/>
      <c r="I709" s="361"/>
      <c r="J709" s="361"/>
      <c r="K709" s="37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  <c r="AA709" s="322"/>
      <c r="AB709" s="322"/>
      <c r="AC709" s="322"/>
      <c r="AD709" s="322"/>
    </row>
    <row r="710" spans="1:30" ht="15.75" customHeight="1">
      <c r="A710" s="361"/>
      <c r="B710" s="361"/>
      <c r="C710" s="361"/>
      <c r="D710" s="361"/>
      <c r="E710" s="361"/>
      <c r="F710" s="361"/>
      <c r="G710" s="361"/>
      <c r="H710" s="361"/>
      <c r="I710" s="361"/>
      <c r="J710" s="361"/>
      <c r="K710" s="37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  <c r="AA710" s="322"/>
      <c r="AB710" s="322"/>
      <c r="AC710" s="322"/>
      <c r="AD710" s="322"/>
    </row>
    <row r="711" spans="1:30" ht="15.75" customHeight="1">
      <c r="A711" s="361"/>
      <c r="B711" s="361"/>
      <c r="C711" s="361"/>
      <c r="D711" s="361"/>
      <c r="E711" s="361"/>
      <c r="F711" s="361"/>
      <c r="G711" s="361"/>
      <c r="H711" s="361"/>
      <c r="I711" s="361"/>
      <c r="J711" s="361"/>
      <c r="K711" s="37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  <c r="AA711" s="322"/>
      <c r="AB711" s="322"/>
      <c r="AC711" s="322"/>
      <c r="AD711" s="322"/>
    </row>
    <row r="712" spans="1:30" ht="15.75" customHeight="1">
      <c r="A712" s="361"/>
      <c r="B712" s="361"/>
      <c r="C712" s="361"/>
      <c r="D712" s="361"/>
      <c r="E712" s="361"/>
      <c r="F712" s="361"/>
      <c r="G712" s="361"/>
      <c r="H712" s="361"/>
      <c r="I712" s="361"/>
      <c r="J712" s="361"/>
      <c r="K712" s="37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  <c r="AA712" s="322"/>
      <c r="AB712" s="322"/>
      <c r="AC712" s="322"/>
      <c r="AD712" s="322"/>
    </row>
    <row r="713" spans="1:30" ht="15.75" customHeight="1">
      <c r="A713" s="361"/>
      <c r="B713" s="361"/>
      <c r="C713" s="361"/>
      <c r="D713" s="361"/>
      <c r="E713" s="361"/>
      <c r="F713" s="361"/>
      <c r="G713" s="361"/>
      <c r="H713" s="361"/>
      <c r="I713" s="361"/>
      <c r="J713" s="361"/>
      <c r="K713" s="37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  <c r="AA713" s="322"/>
      <c r="AB713" s="322"/>
      <c r="AC713" s="322"/>
      <c r="AD713" s="322"/>
    </row>
    <row r="714" spans="1:30" ht="15.75" customHeight="1">
      <c r="A714" s="361"/>
      <c r="B714" s="361"/>
      <c r="C714" s="361"/>
      <c r="D714" s="361"/>
      <c r="E714" s="361"/>
      <c r="F714" s="361"/>
      <c r="G714" s="361"/>
      <c r="H714" s="361"/>
      <c r="I714" s="361"/>
      <c r="J714" s="361"/>
      <c r="K714" s="37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  <c r="AA714" s="322"/>
      <c r="AB714" s="322"/>
      <c r="AC714" s="322"/>
      <c r="AD714" s="322"/>
    </row>
    <row r="715" spans="1:30" ht="15.75" customHeight="1">
      <c r="A715" s="361"/>
      <c r="B715" s="361"/>
      <c r="C715" s="361"/>
      <c r="D715" s="361"/>
      <c r="E715" s="361"/>
      <c r="F715" s="361"/>
      <c r="G715" s="361"/>
      <c r="H715" s="361"/>
      <c r="I715" s="361"/>
      <c r="J715" s="361"/>
      <c r="K715" s="37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  <c r="AA715" s="322"/>
      <c r="AB715" s="322"/>
      <c r="AC715" s="322"/>
      <c r="AD715" s="322"/>
    </row>
    <row r="716" spans="1:30" ht="15.75" customHeight="1">
      <c r="A716" s="361"/>
      <c r="B716" s="361"/>
      <c r="C716" s="361"/>
      <c r="D716" s="361"/>
      <c r="E716" s="361"/>
      <c r="F716" s="361"/>
      <c r="G716" s="361"/>
      <c r="H716" s="361"/>
      <c r="I716" s="361"/>
      <c r="J716" s="361"/>
      <c r="K716" s="37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  <c r="AA716" s="322"/>
      <c r="AB716" s="322"/>
      <c r="AC716" s="322"/>
      <c r="AD716" s="322"/>
    </row>
    <row r="717" spans="1:30" ht="15.75" customHeight="1">
      <c r="A717" s="361"/>
      <c r="B717" s="361"/>
      <c r="C717" s="361"/>
      <c r="D717" s="361"/>
      <c r="E717" s="361"/>
      <c r="F717" s="361"/>
      <c r="G717" s="361"/>
      <c r="H717" s="361"/>
      <c r="I717" s="361"/>
      <c r="J717" s="361"/>
      <c r="K717" s="37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  <c r="AA717" s="322"/>
      <c r="AB717" s="322"/>
      <c r="AC717" s="322"/>
      <c r="AD717" s="322"/>
    </row>
    <row r="718" spans="1:30" ht="15.75" customHeight="1">
      <c r="A718" s="361"/>
      <c r="B718" s="361"/>
      <c r="C718" s="361"/>
      <c r="D718" s="361"/>
      <c r="E718" s="361"/>
      <c r="F718" s="361"/>
      <c r="G718" s="361"/>
      <c r="H718" s="361"/>
      <c r="I718" s="361"/>
      <c r="J718" s="361"/>
      <c r="K718" s="37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  <c r="AA718" s="322"/>
      <c r="AB718" s="322"/>
      <c r="AC718" s="322"/>
      <c r="AD718" s="322"/>
    </row>
    <row r="719" spans="1:30" ht="15.75" customHeight="1">
      <c r="A719" s="361"/>
      <c r="B719" s="361"/>
      <c r="C719" s="361"/>
      <c r="D719" s="361"/>
      <c r="E719" s="361"/>
      <c r="F719" s="361"/>
      <c r="G719" s="361"/>
      <c r="H719" s="361"/>
      <c r="I719" s="361"/>
      <c r="J719" s="361"/>
      <c r="K719" s="37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  <c r="AA719" s="322"/>
      <c r="AB719" s="322"/>
      <c r="AC719" s="322"/>
      <c r="AD719" s="322"/>
    </row>
    <row r="720" spans="1:30" ht="15.75" customHeight="1">
      <c r="A720" s="361"/>
      <c r="B720" s="361"/>
      <c r="C720" s="361"/>
      <c r="D720" s="361"/>
      <c r="E720" s="361"/>
      <c r="F720" s="361"/>
      <c r="G720" s="361"/>
      <c r="H720" s="361"/>
      <c r="I720" s="361"/>
      <c r="J720" s="361"/>
      <c r="K720" s="37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  <c r="AA720" s="322"/>
      <c r="AB720" s="322"/>
      <c r="AC720" s="322"/>
      <c r="AD720" s="322"/>
    </row>
    <row r="721" spans="1:30" ht="15.75" customHeight="1">
      <c r="A721" s="361"/>
      <c r="B721" s="361"/>
      <c r="C721" s="361"/>
      <c r="D721" s="361"/>
      <c r="E721" s="361"/>
      <c r="F721" s="361"/>
      <c r="G721" s="361"/>
      <c r="H721" s="361"/>
      <c r="I721" s="361"/>
      <c r="J721" s="361"/>
      <c r="K721" s="37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  <c r="AA721" s="322"/>
      <c r="AB721" s="322"/>
      <c r="AC721" s="322"/>
      <c r="AD721" s="322"/>
    </row>
    <row r="722" spans="1:30" ht="15.75" customHeight="1">
      <c r="A722" s="361"/>
      <c r="B722" s="361"/>
      <c r="C722" s="361"/>
      <c r="D722" s="361"/>
      <c r="E722" s="361"/>
      <c r="F722" s="361"/>
      <c r="G722" s="361"/>
      <c r="H722" s="361"/>
      <c r="I722" s="361"/>
      <c r="J722" s="361"/>
      <c r="K722" s="37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  <c r="AA722" s="322"/>
      <c r="AB722" s="322"/>
      <c r="AC722" s="322"/>
      <c r="AD722" s="322"/>
    </row>
    <row r="723" spans="1:30" ht="15.75" customHeight="1">
      <c r="A723" s="361"/>
      <c r="B723" s="361"/>
      <c r="C723" s="361"/>
      <c r="D723" s="361"/>
      <c r="E723" s="361"/>
      <c r="F723" s="361"/>
      <c r="G723" s="361"/>
      <c r="H723" s="361"/>
      <c r="I723" s="361"/>
      <c r="J723" s="361"/>
      <c r="K723" s="37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  <c r="AA723" s="322"/>
      <c r="AB723" s="322"/>
      <c r="AC723" s="322"/>
      <c r="AD723" s="322"/>
    </row>
    <row r="724" spans="1:30" ht="15.75" customHeight="1">
      <c r="A724" s="361"/>
      <c r="B724" s="361"/>
      <c r="C724" s="361"/>
      <c r="D724" s="361"/>
      <c r="E724" s="361"/>
      <c r="F724" s="361"/>
      <c r="G724" s="361"/>
      <c r="H724" s="361"/>
      <c r="I724" s="361"/>
      <c r="J724" s="361"/>
      <c r="K724" s="37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  <c r="AA724" s="322"/>
      <c r="AB724" s="322"/>
      <c r="AC724" s="322"/>
      <c r="AD724" s="322"/>
    </row>
    <row r="725" spans="1:30" ht="15.75" customHeight="1">
      <c r="A725" s="361"/>
      <c r="B725" s="361"/>
      <c r="C725" s="361"/>
      <c r="D725" s="361"/>
      <c r="E725" s="361"/>
      <c r="F725" s="361"/>
      <c r="G725" s="361"/>
      <c r="H725" s="361"/>
      <c r="I725" s="361"/>
      <c r="J725" s="361"/>
      <c r="K725" s="37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  <c r="AA725" s="322"/>
      <c r="AB725" s="322"/>
      <c r="AC725" s="322"/>
      <c r="AD725" s="322"/>
    </row>
    <row r="726" spans="1:30" ht="15.75" customHeight="1">
      <c r="A726" s="361"/>
      <c r="B726" s="361"/>
      <c r="C726" s="361"/>
      <c r="D726" s="361"/>
      <c r="E726" s="361"/>
      <c r="F726" s="361"/>
      <c r="G726" s="361"/>
      <c r="H726" s="361"/>
      <c r="I726" s="361"/>
      <c r="J726" s="361"/>
      <c r="K726" s="37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  <c r="AA726" s="322"/>
      <c r="AB726" s="322"/>
      <c r="AC726" s="322"/>
      <c r="AD726" s="322"/>
    </row>
    <row r="727" spans="1:30" ht="15.75" customHeight="1">
      <c r="A727" s="361"/>
      <c r="B727" s="361"/>
      <c r="C727" s="361"/>
      <c r="D727" s="361"/>
      <c r="E727" s="361"/>
      <c r="F727" s="361"/>
      <c r="G727" s="361"/>
      <c r="H727" s="361"/>
      <c r="I727" s="361"/>
      <c r="J727" s="361"/>
      <c r="K727" s="37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  <c r="AA727" s="322"/>
      <c r="AB727" s="322"/>
      <c r="AC727" s="322"/>
      <c r="AD727" s="322"/>
    </row>
    <row r="728" spans="1:30" ht="15.75" customHeight="1">
      <c r="A728" s="361"/>
      <c r="B728" s="361"/>
      <c r="C728" s="361"/>
      <c r="D728" s="361"/>
      <c r="E728" s="361"/>
      <c r="F728" s="361"/>
      <c r="G728" s="361"/>
      <c r="H728" s="361"/>
      <c r="I728" s="361"/>
      <c r="J728" s="361"/>
      <c r="K728" s="37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  <c r="AA728" s="322"/>
      <c r="AB728" s="322"/>
      <c r="AC728" s="322"/>
      <c r="AD728" s="322"/>
    </row>
    <row r="729" spans="1:30" ht="15.75" customHeight="1">
      <c r="A729" s="361"/>
      <c r="B729" s="361"/>
      <c r="C729" s="361"/>
      <c r="D729" s="361"/>
      <c r="E729" s="361"/>
      <c r="F729" s="361"/>
      <c r="G729" s="361"/>
      <c r="H729" s="361"/>
      <c r="I729" s="361"/>
      <c r="J729" s="361"/>
      <c r="K729" s="37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  <c r="AA729" s="322"/>
      <c r="AB729" s="322"/>
      <c r="AC729" s="322"/>
      <c r="AD729" s="322"/>
    </row>
    <row r="730" spans="1:30" ht="15.75" customHeight="1">
      <c r="A730" s="361"/>
      <c r="B730" s="361"/>
      <c r="C730" s="361"/>
      <c r="D730" s="361"/>
      <c r="E730" s="361"/>
      <c r="F730" s="361"/>
      <c r="G730" s="361"/>
      <c r="H730" s="361"/>
      <c r="I730" s="361"/>
      <c r="J730" s="361"/>
      <c r="K730" s="37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  <c r="AA730" s="322"/>
      <c r="AB730" s="322"/>
      <c r="AC730" s="322"/>
      <c r="AD730" s="322"/>
    </row>
    <row r="731" spans="1:30" ht="15.75" customHeight="1">
      <c r="A731" s="361"/>
      <c r="B731" s="361"/>
      <c r="C731" s="361"/>
      <c r="D731" s="361"/>
      <c r="E731" s="361"/>
      <c r="F731" s="361"/>
      <c r="G731" s="361"/>
      <c r="H731" s="361"/>
      <c r="I731" s="361"/>
      <c r="J731" s="361"/>
      <c r="K731" s="37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  <c r="AA731" s="322"/>
      <c r="AB731" s="322"/>
      <c r="AC731" s="322"/>
      <c r="AD731" s="322"/>
    </row>
    <row r="732" spans="1:30" ht="15.75" customHeight="1">
      <c r="A732" s="361"/>
      <c r="B732" s="361"/>
      <c r="C732" s="361"/>
      <c r="D732" s="361"/>
      <c r="E732" s="361"/>
      <c r="F732" s="361"/>
      <c r="G732" s="361"/>
      <c r="H732" s="361"/>
      <c r="I732" s="361"/>
      <c r="J732" s="361"/>
      <c r="K732" s="37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  <c r="AA732" s="322"/>
      <c r="AB732" s="322"/>
      <c r="AC732" s="322"/>
      <c r="AD732" s="322"/>
    </row>
    <row r="733" spans="1:30" ht="15.75" customHeight="1">
      <c r="A733" s="361"/>
      <c r="B733" s="361"/>
      <c r="C733" s="361"/>
      <c r="D733" s="361"/>
      <c r="E733" s="361"/>
      <c r="F733" s="361"/>
      <c r="G733" s="361"/>
      <c r="H733" s="361"/>
      <c r="I733" s="361"/>
      <c r="J733" s="361"/>
      <c r="K733" s="37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  <c r="AA733" s="322"/>
      <c r="AB733" s="322"/>
      <c r="AC733" s="322"/>
      <c r="AD733" s="322"/>
    </row>
    <row r="734" spans="1:30" ht="15.75" customHeight="1">
      <c r="A734" s="361"/>
      <c r="B734" s="361"/>
      <c r="C734" s="361"/>
      <c r="D734" s="361"/>
      <c r="E734" s="361"/>
      <c r="F734" s="361"/>
      <c r="G734" s="361"/>
      <c r="H734" s="361"/>
      <c r="I734" s="361"/>
      <c r="J734" s="361"/>
      <c r="K734" s="37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  <c r="AA734" s="322"/>
      <c r="AB734" s="322"/>
      <c r="AC734" s="322"/>
      <c r="AD734" s="322"/>
    </row>
    <row r="735" spans="1:30" ht="15.75" customHeight="1">
      <c r="A735" s="361"/>
      <c r="B735" s="361"/>
      <c r="C735" s="361"/>
      <c r="D735" s="361"/>
      <c r="E735" s="361"/>
      <c r="F735" s="361"/>
      <c r="G735" s="361"/>
      <c r="H735" s="361"/>
      <c r="I735" s="361"/>
      <c r="J735" s="361"/>
      <c r="K735" s="37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  <c r="AA735" s="322"/>
      <c r="AB735" s="322"/>
      <c r="AC735" s="322"/>
      <c r="AD735" s="322"/>
    </row>
    <row r="736" spans="1:30" ht="15.75" customHeight="1">
      <c r="A736" s="361"/>
      <c r="B736" s="361"/>
      <c r="C736" s="361"/>
      <c r="D736" s="361"/>
      <c r="E736" s="361"/>
      <c r="F736" s="361"/>
      <c r="G736" s="361"/>
      <c r="H736" s="361"/>
      <c r="I736" s="361"/>
      <c r="J736" s="361"/>
      <c r="K736" s="37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  <c r="AA736" s="322"/>
      <c r="AB736" s="322"/>
      <c r="AC736" s="322"/>
      <c r="AD736" s="322"/>
    </row>
    <row r="737" spans="1:30" ht="15.75" customHeight="1">
      <c r="A737" s="361"/>
      <c r="B737" s="361"/>
      <c r="C737" s="361"/>
      <c r="D737" s="361"/>
      <c r="E737" s="361"/>
      <c r="F737" s="361"/>
      <c r="G737" s="361"/>
      <c r="H737" s="361"/>
      <c r="I737" s="361"/>
      <c r="J737" s="361"/>
      <c r="K737" s="37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  <c r="AA737" s="322"/>
      <c r="AB737" s="322"/>
      <c r="AC737" s="322"/>
      <c r="AD737" s="322"/>
    </row>
    <row r="738" spans="1:30" ht="15.75" customHeight="1">
      <c r="A738" s="361"/>
      <c r="B738" s="361"/>
      <c r="C738" s="361"/>
      <c r="D738" s="361"/>
      <c r="E738" s="361"/>
      <c r="F738" s="361"/>
      <c r="G738" s="361"/>
      <c r="H738" s="361"/>
      <c r="I738" s="361"/>
      <c r="J738" s="361"/>
      <c r="K738" s="37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  <c r="AA738" s="322"/>
      <c r="AB738" s="322"/>
      <c r="AC738" s="322"/>
      <c r="AD738" s="322"/>
    </row>
    <row r="739" spans="1:30" ht="15.75" customHeight="1">
      <c r="A739" s="361"/>
      <c r="B739" s="361"/>
      <c r="C739" s="361"/>
      <c r="D739" s="361"/>
      <c r="E739" s="361"/>
      <c r="F739" s="361"/>
      <c r="G739" s="361"/>
      <c r="H739" s="361"/>
      <c r="I739" s="361"/>
      <c r="J739" s="361"/>
      <c r="K739" s="37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  <c r="AA739" s="322"/>
      <c r="AB739" s="322"/>
      <c r="AC739" s="322"/>
      <c r="AD739" s="322"/>
    </row>
    <row r="740" spans="1:30" ht="15.75" customHeight="1">
      <c r="A740" s="361"/>
      <c r="B740" s="361"/>
      <c r="C740" s="361"/>
      <c r="D740" s="361"/>
      <c r="E740" s="361"/>
      <c r="F740" s="361"/>
      <c r="G740" s="361"/>
      <c r="H740" s="361"/>
      <c r="I740" s="361"/>
      <c r="J740" s="361"/>
      <c r="K740" s="37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  <c r="AA740" s="322"/>
      <c r="AB740" s="322"/>
      <c r="AC740" s="322"/>
      <c r="AD740" s="322"/>
    </row>
    <row r="741" spans="1:30" ht="15.75" customHeight="1">
      <c r="A741" s="361"/>
      <c r="B741" s="361"/>
      <c r="C741" s="361"/>
      <c r="D741" s="361"/>
      <c r="E741" s="361"/>
      <c r="F741" s="361"/>
      <c r="G741" s="361"/>
      <c r="H741" s="361"/>
      <c r="I741" s="361"/>
      <c r="J741" s="361"/>
      <c r="K741" s="37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  <c r="AA741" s="322"/>
      <c r="AB741" s="322"/>
      <c r="AC741" s="322"/>
      <c r="AD741" s="322"/>
    </row>
    <row r="742" spans="1:30" ht="15.75" customHeight="1">
      <c r="A742" s="361"/>
      <c r="B742" s="361"/>
      <c r="C742" s="361"/>
      <c r="D742" s="361"/>
      <c r="E742" s="361"/>
      <c r="F742" s="361"/>
      <c r="G742" s="361"/>
      <c r="H742" s="361"/>
      <c r="I742" s="361"/>
      <c r="J742" s="361"/>
      <c r="K742" s="37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  <c r="AA742" s="322"/>
      <c r="AB742" s="322"/>
      <c r="AC742" s="322"/>
      <c r="AD742" s="322"/>
    </row>
    <row r="743" spans="1:30" ht="15.75" customHeight="1">
      <c r="A743" s="361"/>
      <c r="B743" s="361"/>
      <c r="C743" s="361"/>
      <c r="D743" s="361"/>
      <c r="E743" s="361"/>
      <c r="F743" s="361"/>
      <c r="G743" s="361"/>
      <c r="H743" s="361"/>
      <c r="I743" s="361"/>
      <c r="J743" s="361"/>
      <c r="K743" s="37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  <c r="AA743" s="322"/>
      <c r="AB743" s="322"/>
      <c r="AC743" s="322"/>
      <c r="AD743" s="322"/>
    </row>
    <row r="744" spans="1:30" ht="15.75" customHeight="1">
      <c r="A744" s="361"/>
      <c r="B744" s="361"/>
      <c r="C744" s="361"/>
      <c r="D744" s="361"/>
      <c r="E744" s="361"/>
      <c r="F744" s="361"/>
      <c r="G744" s="361"/>
      <c r="H744" s="361"/>
      <c r="I744" s="361"/>
      <c r="J744" s="361"/>
      <c r="K744" s="37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  <c r="AA744" s="322"/>
      <c r="AB744" s="322"/>
      <c r="AC744" s="322"/>
      <c r="AD744" s="322"/>
    </row>
    <row r="745" spans="1:30" ht="15.75" customHeight="1">
      <c r="A745" s="361"/>
      <c r="B745" s="361"/>
      <c r="C745" s="361"/>
      <c r="D745" s="361"/>
      <c r="E745" s="361"/>
      <c r="F745" s="361"/>
      <c r="G745" s="361"/>
      <c r="H745" s="361"/>
      <c r="I745" s="361"/>
      <c r="J745" s="361"/>
      <c r="K745" s="37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  <c r="AA745" s="322"/>
      <c r="AB745" s="322"/>
      <c r="AC745" s="322"/>
      <c r="AD745" s="322"/>
    </row>
    <row r="746" spans="1:30" ht="15.75" customHeight="1">
      <c r="A746" s="361"/>
      <c r="B746" s="361"/>
      <c r="C746" s="361"/>
      <c r="D746" s="361"/>
      <c r="E746" s="361"/>
      <c r="F746" s="361"/>
      <c r="G746" s="361"/>
      <c r="H746" s="361"/>
      <c r="I746" s="361"/>
      <c r="J746" s="361"/>
      <c r="K746" s="37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  <c r="AA746" s="322"/>
      <c r="AB746" s="322"/>
      <c r="AC746" s="322"/>
      <c r="AD746" s="322"/>
    </row>
    <row r="747" spans="1:30" ht="15.75" customHeight="1">
      <c r="A747" s="361"/>
      <c r="B747" s="361"/>
      <c r="C747" s="361"/>
      <c r="D747" s="361"/>
      <c r="E747" s="361"/>
      <c r="F747" s="361"/>
      <c r="G747" s="361"/>
      <c r="H747" s="361"/>
      <c r="I747" s="361"/>
      <c r="J747" s="361"/>
      <c r="K747" s="37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  <c r="AA747" s="322"/>
      <c r="AB747" s="322"/>
      <c r="AC747" s="322"/>
      <c r="AD747" s="322"/>
    </row>
    <row r="748" spans="1:30" ht="15.75" customHeight="1">
      <c r="A748" s="361"/>
      <c r="B748" s="361"/>
      <c r="C748" s="361"/>
      <c r="D748" s="361"/>
      <c r="E748" s="361"/>
      <c r="F748" s="361"/>
      <c r="G748" s="361"/>
      <c r="H748" s="361"/>
      <c r="I748" s="361"/>
      <c r="J748" s="361"/>
      <c r="K748" s="37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  <c r="AA748" s="322"/>
      <c r="AB748" s="322"/>
      <c r="AC748" s="322"/>
      <c r="AD748" s="322"/>
    </row>
    <row r="749" spans="1:30" ht="15.75" customHeight="1">
      <c r="A749" s="361"/>
      <c r="B749" s="361"/>
      <c r="C749" s="361"/>
      <c r="D749" s="361"/>
      <c r="E749" s="361"/>
      <c r="F749" s="361"/>
      <c r="G749" s="361"/>
      <c r="H749" s="361"/>
      <c r="I749" s="361"/>
      <c r="J749" s="361"/>
      <c r="K749" s="37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  <c r="AA749" s="322"/>
      <c r="AB749" s="322"/>
      <c r="AC749" s="322"/>
      <c r="AD749" s="322"/>
    </row>
    <row r="750" spans="1:30" ht="15.75" customHeight="1">
      <c r="A750" s="361"/>
      <c r="B750" s="361"/>
      <c r="C750" s="361"/>
      <c r="D750" s="361"/>
      <c r="E750" s="361"/>
      <c r="F750" s="361"/>
      <c r="G750" s="361"/>
      <c r="H750" s="361"/>
      <c r="I750" s="361"/>
      <c r="J750" s="361"/>
      <c r="K750" s="37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  <c r="AA750" s="322"/>
      <c r="AB750" s="322"/>
      <c r="AC750" s="322"/>
      <c r="AD750" s="322"/>
    </row>
    <row r="751" spans="1:30" ht="15.75" customHeight="1">
      <c r="A751" s="361"/>
      <c r="B751" s="361"/>
      <c r="C751" s="361"/>
      <c r="D751" s="361"/>
      <c r="E751" s="361"/>
      <c r="F751" s="361"/>
      <c r="G751" s="361"/>
      <c r="H751" s="361"/>
      <c r="I751" s="361"/>
      <c r="J751" s="361"/>
      <c r="K751" s="37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  <c r="AA751" s="322"/>
      <c r="AB751" s="322"/>
      <c r="AC751" s="322"/>
      <c r="AD751" s="322"/>
    </row>
    <row r="752" spans="1:30" ht="15.75" customHeight="1">
      <c r="A752" s="361"/>
      <c r="B752" s="361"/>
      <c r="C752" s="361"/>
      <c r="D752" s="361"/>
      <c r="E752" s="361"/>
      <c r="F752" s="361"/>
      <c r="G752" s="361"/>
      <c r="H752" s="361"/>
      <c r="I752" s="361"/>
      <c r="J752" s="361"/>
      <c r="K752" s="37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  <c r="AA752" s="322"/>
      <c r="AB752" s="322"/>
      <c r="AC752" s="322"/>
      <c r="AD752" s="322"/>
    </row>
    <row r="753" spans="1:30" ht="15.75" customHeight="1">
      <c r="A753" s="361"/>
      <c r="B753" s="361"/>
      <c r="C753" s="361"/>
      <c r="D753" s="361"/>
      <c r="E753" s="361"/>
      <c r="F753" s="361"/>
      <c r="G753" s="361"/>
      <c r="H753" s="361"/>
      <c r="I753" s="361"/>
      <c r="J753" s="361"/>
      <c r="K753" s="37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  <c r="AA753" s="322"/>
      <c r="AB753" s="322"/>
      <c r="AC753" s="322"/>
      <c r="AD753" s="322"/>
    </row>
    <row r="754" spans="1:30" ht="15.75" customHeight="1">
      <c r="A754" s="361"/>
      <c r="B754" s="361"/>
      <c r="C754" s="361"/>
      <c r="D754" s="361"/>
      <c r="E754" s="361"/>
      <c r="F754" s="361"/>
      <c r="G754" s="361"/>
      <c r="H754" s="361"/>
      <c r="I754" s="361"/>
      <c r="J754" s="361"/>
      <c r="K754" s="37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  <c r="AA754" s="322"/>
      <c r="AB754" s="322"/>
      <c r="AC754" s="322"/>
      <c r="AD754" s="322"/>
    </row>
    <row r="755" spans="1:30" ht="15.75" customHeight="1">
      <c r="A755" s="361"/>
      <c r="B755" s="361"/>
      <c r="C755" s="361"/>
      <c r="D755" s="361"/>
      <c r="E755" s="361"/>
      <c r="F755" s="361"/>
      <c r="G755" s="361"/>
      <c r="H755" s="361"/>
      <c r="I755" s="361"/>
      <c r="J755" s="361"/>
      <c r="K755" s="37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  <c r="AA755" s="322"/>
      <c r="AB755" s="322"/>
      <c r="AC755" s="322"/>
      <c r="AD755" s="322"/>
    </row>
    <row r="756" spans="1:30" ht="15.75" customHeight="1">
      <c r="A756" s="361"/>
      <c r="B756" s="361"/>
      <c r="C756" s="361"/>
      <c r="D756" s="361"/>
      <c r="E756" s="361"/>
      <c r="F756" s="361"/>
      <c r="G756" s="361"/>
      <c r="H756" s="361"/>
      <c r="I756" s="361"/>
      <c r="J756" s="361"/>
      <c r="K756" s="37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  <c r="AA756" s="322"/>
      <c r="AB756" s="322"/>
      <c r="AC756" s="322"/>
      <c r="AD756" s="322"/>
    </row>
    <row r="757" spans="1:30" ht="15.75" customHeight="1">
      <c r="A757" s="361"/>
      <c r="B757" s="361"/>
      <c r="C757" s="361"/>
      <c r="D757" s="361"/>
      <c r="E757" s="361"/>
      <c r="F757" s="361"/>
      <c r="G757" s="361"/>
      <c r="H757" s="361"/>
      <c r="I757" s="361"/>
      <c r="J757" s="361"/>
      <c r="K757" s="37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  <c r="AA757" s="322"/>
      <c r="AB757" s="322"/>
      <c r="AC757" s="322"/>
      <c r="AD757" s="322"/>
    </row>
    <row r="758" spans="1:30" ht="15.75" customHeight="1">
      <c r="A758" s="361"/>
      <c r="B758" s="361"/>
      <c r="C758" s="361"/>
      <c r="D758" s="361"/>
      <c r="E758" s="361"/>
      <c r="F758" s="361"/>
      <c r="G758" s="361"/>
      <c r="H758" s="361"/>
      <c r="I758" s="361"/>
      <c r="J758" s="361"/>
      <c r="K758" s="37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  <c r="AA758" s="322"/>
      <c r="AB758" s="322"/>
      <c r="AC758" s="322"/>
      <c r="AD758" s="322"/>
    </row>
    <row r="759" spans="1:30" ht="15.75" customHeight="1">
      <c r="A759" s="361"/>
      <c r="B759" s="361"/>
      <c r="C759" s="361"/>
      <c r="D759" s="361"/>
      <c r="E759" s="361"/>
      <c r="F759" s="361"/>
      <c r="G759" s="361"/>
      <c r="H759" s="361"/>
      <c r="I759" s="361"/>
      <c r="J759" s="361"/>
      <c r="K759" s="37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  <c r="AA759" s="322"/>
      <c r="AB759" s="322"/>
      <c r="AC759" s="322"/>
      <c r="AD759" s="322"/>
    </row>
    <row r="760" spans="1:30" ht="15.75" customHeight="1">
      <c r="A760" s="361"/>
      <c r="B760" s="361"/>
      <c r="C760" s="361"/>
      <c r="D760" s="361"/>
      <c r="E760" s="361"/>
      <c r="F760" s="361"/>
      <c r="G760" s="361"/>
      <c r="H760" s="361"/>
      <c r="I760" s="361"/>
      <c r="J760" s="361"/>
      <c r="K760" s="37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  <c r="AA760" s="322"/>
      <c r="AB760" s="322"/>
      <c r="AC760" s="322"/>
      <c r="AD760" s="322"/>
    </row>
    <row r="761" spans="1:30" ht="15.75" customHeight="1">
      <c r="A761" s="361"/>
      <c r="B761" s="361"/>
      <c r="C761" s="361"/>
      <c r="D761" s="361"/>
      <c r="E761" s="361"/>
      <c r="F761" s="361"/>
      <c r="G761" s="361"/>
      <c r="H761" s="361"/>
      <c r="I761" s="361"/>
      <c r="J761" s="361"/>
      <c r="K761" s="37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  <c r="AA761" s="322"/>
      <c r="AB761" s="322"/>
      <c r="AC761" s="322"/>
      <c r="AD761" s="322"/>
    </row>
    <row r="762" spans="1:30" ht="15.75" customHeight="1">
      <c r="A762" s="361"/>
      <c r="B762" s="361"/>
      <c r="C762" s="361"/>
      <c r="D762" s="361"/>
      <c r="E762" s="361"/>
      <c r="F762" s="361"/>
      <c r="G762" s="361"/>
      <c r="H762" s="361"/>
      <c r="I762" s="361"/>
      <c r="J762" s="361"/>
      <c r="K762" s="37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  <c r="AA762" s="322"/>
      <c r="AB762" s="322"/>
      <c r="AC762" s="322"/>
      <c r="AD762" s="322"/>
    </row>
    <row r="763" spans="1:30" ht="15.75" customHeight="1">
      <c r="A763" s="361"/>
      <c r="B763" s="361"/>
      <c r="C763" s="361"/>
      <c r="D763" s="361"/>
      <c r="E763" s="361"/>
      <c r="F763" s="361"/>
      <c r="G763" s="361"/>
      <c r="H763" s="361"/>
      <c r="I763" s="361"/>
      <c r="J763" s="361"/>
      <c r="K763" s="37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  <c r="AA763" s="322"/>
      <c r="AB763" s="322"/>
      <c r="AC763" s="322"/>
      <c r="AD763" s="322"/>
    </row>
    <row r="764" spans="1:30" ht="15.75" customHeight="1">
      <c r="A764" s="361"/>
      <c r="B764" s="361"/>
      <c r="C764" s="361"/>
      <c r="D764" s="361"/>
      <c r="E764" s="361"/>
      <c r="F764" s="361"/>
      <c r="G764" s="361"/>
      <c r="H764" s="361"/>
      <c r="I764" s="361"/>
      <c r="J764" s="361"/>
      <c r="K764" s="37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  <c r="AA764" s="322"/>
      <c r="AB764" s="322"/>
      <c r="AC764" s="322"/>
      <c r="AD764" s="322"/>
    </row>
    <row r="765" spans="1:30" ht="15.75" customHeight="1">
      <c r="A765" s="361"/>
      <c r="B765" s="361"/>
      <c r="C765" s="361"/>
      <c r="D765" s="361"/>
      <c r="E765" s="361"/>
      <c r="F765" s="361"/>
      <c r="G765" s="361"/>
      <c r="H765" s="361"/>
      <c r="I765" s="361"/>
      <c r="J765" s="361"/>
      <c r="K765" s="37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  <c r="AA765" s="322"/>
      <c r="AB765" s="322"/>
      <c r="AC765" s="322"/>
      <c r="AD765" s="322"/>
    </row>
    <row r="766" spans="1:30" ht="15.75" customHeight="1">
      <c r="A766" s="361"/>
      <c r="B766" s="361"/>
      <c r="C766" s="361"/>
      <c r="D766" s="361"/>
      <c r="E766" s="361"/>
      <c r="F766" s="361"/>
      <c r="G766" s="361"/>
      <c r="H766" s="361"/>
      <c r="I766" s="361"/>
      <c r="J766" s="361"/>
      <c r="K766" s="37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  <c r="AA766" s="322"/>
      <c r="AB766" s="322"/>
      <c r="AC766" s="322"/>
      <c r="AD766" s="322"/>
    </row>
    <row r="767" spans="1:30" ht="15.75" customHeight="1">
      <c r="A767" s="361"/>
      <c r="B767" s="361"/>
      <c r="C767" s="361"/>
      <c r="D767" s="361"/>
      <c r="E767" s="361"/>
      <c r="F767" s="361"/>
      <c r="G767" s="361"/>
      <c r="H767" s="361"/>
      <c r="I767" s="361"/>
      <c r="J767" s="361"/>
      <c r="K767" s="37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  <c r="AA767" s="322"/>
      <c r="AB767" s="322"/>
      <c r="AC767" s="322"/>
      <c r="AD767" s="322"/>
    </row>
    <row r="768" spans="1:30" ht="15.75" customHeight="1">
      <c r="A768" s="361"/>
      <c r="B768" s="361"/>
      <c r="C768" s="361"/>
      <c r="D768" s="361"/>
      <c r="E768" s="361"/>
      <c r="F768" s="361"/>
      <c r="G768" s="361"/>
      <c r="H768" s="361"/>
      <c r="I768" s="361"/>
      <c r="J768" s="361"/>
      <c r="K768" s="37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  <c r="AA768" s="322"/>
      <c r="AB768" s="322"/>
      <c r="AC768" s="322"/>
      <c r="AD768" s="322"/>
    </row>
    <row r="769" spans="1:30" ht="15.75" customHeight="1">
      <c r="A769" s="361"/>
      <c r="B769" s="361"/>
      <c r="C769" s="361"/>
      <c r="D769" s="361"/>
      <c r="E769" s="361"/>
      <c r="F769" s="361"/>
      <c r="G769" s="361"/>
      <c r="H769" s="361"/>
      <c r="I769" s="361"/>
      <c r="J769" s="361"/>
      <c r="K769" s="37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  <c r="AA769" s="322"/>
      <c r="AB769" s="322"/>
      <c r="AC769" s="322"/>
      <c r="AD769" s="322"/>
    </row>
    <row r="770" spans="1:30" ht="15.75" customHeight="1">
      <c r="A770" s="361"/>
      <c r="B770" s="361"/>
      <c r="C770" s="361"/>
      <c r="D770" s="361"/>
      <c r="E770" s="361"/>
      <c r="F770" s="361"/>
      <c r="G770" s="361"/>
      <c r="H770" s="361"/>
      <c r="I770" s="361"/>
      <c r="J770" s="361"/>
      <c r="K770" s="37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  <c r="AA770" s="322"/>
      <c r="AB770" s="322"/>
      <c r="AC770" s="322"/>
      <c r="AD770" s="322"/>
    </row>
    <row r="771" spans="1:30" ht="15.75" customHeight="1">
      <c r="A771" s="361"/>
      <c r="B771" s="361"/>
      <c r="C771" s="361"/>
      <c r="D771" s="361"/>
      <c r="E771" s="361"/>
      <c r="F771" s="361"/>
      <c r="G771" s="361"/>
      <c r="H771" s="361"/>
      <c r="I771" s="361"/>
      <c r="J771" s="361"/>
      <c r="K771" s="37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  <c r="AA771" s="322"/>
      <c r="AB771" s="322"/>
      <c r="AC771" s="322"/>
      <c r="AD771" s="322"/>
    </row>
    <row r="772" spans="1:30" ht="15.75" customHeight="1">
      <c r="A772" s="361"/>
      <c r="B772" s="361"/>
      <c r="C772" s="361"/>
      <c r="D772" s="361"/>
      <c r="E772" s="361"/>
      <c r="F772" s="361"/>
      <c r="G772" s="361"/>
      <c r="H772" s="361"/>
      <c r="I772" s="361"/>
      <c r="J772" s="361"/>
      <c r="K772" s="37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  <c r="AA772" s="322"/>
      <c r="AB772" s="322"/>
      <c r="AC772" s="322"/>
      <c r="AD772" s="322"/>
    </row>
    <row r="773" spans="1:30" ht="15.75" customHeight="1">
      <c r="A773" s="361"/>
      <c r="B773" s="361"/>
      <c r="C773" s="361"/>
      <c r="D773" s="361"/>
      <c r="E773" s="361"/>
      <c r="F773" s="361"/>
      <c r="G773" s="361"/>
      <c r="H773" s="361"/>
      <c r="I773" s="361"/>
      <c r="J773" s="361"/>
      <c r="K773" s="37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  <c r="AA773" s="322"/>
      <c r="AB773" s="322"/>
      <c r="AC773" s="322"/>
      <c r="AD773" s="322"/>
    </row>
    <row r="774" spans="1:30" ht="15.75" customHeight="1">
      <c r="A774" s="361"/>
      <c r="B774" s="361"/>
      <c r="C774" s="361"/>
      <c r="D774" s="361"/>
      <c r="E774" s="361"/>
      <c r="F774" s="361"/>
      <c r="G774" s="361"/>
      <c r="H774" s="361"/>
      <c r="I774" s="361"/>
      <c r="J774" s="361"/>
      <c r="K774" s="37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  <c r="AA774" s="322"/>
      <c r="AB774" s="322"/>
      <c r="AC774" s="322"/>
      <c r="AD774" s="322"/>
    </row>
    <row r="775" spans="1:30" ht="15.75" customHeight="1">
      <c r="A775" s="361"/>
      <c r="B775" s="361"/>
      <c r="C775" s="361"/>
      <c r="D775" s="361"/>
      <c r="E775" s="361"/>
      <c r="F775" s="361"/>
      <c r="G775" s="361"/>
      <c r="H775" s="361"/>
      <c r="I775" s="361"/>
      <c r="J775" s="361"/>
      <c r="K775" s="37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  <c r="AA775" s="322"/>
      <c r="AB775" s="322"/>
      <c r="AC775" s="322"/>
      <c r="AD775" s="322"/>
    </row>
    <row r="776" spans="1:30" ht="15.75" customHeight="1">
      <c r="A776" s="361"/>
      <c r="B776" s="361"/>
      <c r="C776" s="361"/>
      <c r="D776" s="361"/>
      <c r="E776" s="361"/>
      <c r="F776" s="361"/>
      <c r="G776" s="361"/>
      <c r="H776" s="361"/>
      <c r="I776" s="361"/>
      <c r="J776" s="361"/>
      <c r="K776" s="37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  <c r="AA776" s="322"/>
      <c r="AB776" s="322"/>
      <c r="AC776" s="322"/>
      <c r="AD776" s="322"/>
    </row>
    <row r="777" spans="1:30" ht="15.75" customHeight="1">
      <c r="A777" s="361"/>
      <c r="B777" s="361"/>
      <c r="C777" s="361"/>
      <c r="D777" s="361"/>
      <c r="E777" s="361"/>
      <c r="F777" s="361"/>
      <c r="G777" s="361"/>
      <c r="H777" s="361"/>
      <c r="I777" s="361"/>
      <c r="J777" s="361"/>
      <c r="K777" s="37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  <c r="AA777" s="322"/>
      <c r="AB777" s="322"/>
      <c r="AC777" s="322"/>
      <c r="AD777" s="322"/>
    </row>
    <row r="778" spans="1:30" ht="15.75" customHeight="1">
      <c r="A778" s="361"/>
      <c r="B778" s="361"/>
      <c r="C778" s="361"/>
      <c r="D778" s="361"/>
      <c r="E778" s="361"/>
      <c r="F778" s="361"/>
      <c r="G778" s="361"/>
      <c r="H778" s="361"/>
      <c r="I778" s="361"/>
      <c r="J778" s="361"/>
      <c r="K778" s="37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  <c r="AA778" s="322"/>
      <c r="AB778" s="322"/>
      <c r="AC778" s="322"/>
      <c r="AD778" s="322"/>
    </row>
    <row r="779" spans="1:30" ht="15.75" customHeight="1">
      <c r="A779" s="361"/>
      <c r="B779" s="361"/>
      <c r="C779" s="361"/>
      <c r="D779" s="361"/>
      <c r="E779" s="361"/>
      <c r="F779" s="361"/>
      <c r="G779" s="361"/>
      <c r="H779" s="361"/>
      <c r="I779" s="361"/>
      <c r="J779" s="361"/>
      <c r="K779" s="37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  <c r="AA779" s="322"/>
      <c r="AB779" s="322"/>
      <c r="AC779" s="322"/>
      <c r="AD779" s="322"/>
    </row>
    <row r="780" spans="1:30" ht="15.75" customHeight="1">
      <c r="A780" s="361"/>
      <c r="B780" s="361"/>
      <c r="C780" s="361"/>
      <c r="D780" s="361"/>
      <c r="E780" s="361"/>
      <c r="F780" s="361"/>
      <c r="G780" s="361"/>
      <c r="H780" s="361"/>
      <c r="I780" s="361"/>
      <c r="J780" s="361"/>
      <c r="K780" s="37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  <c r="AA780" s="322"/>
      <c r="AB780" s="322"/>
      <c r="AC780" s="322"/>
      <c r="AD780" s="322"/>
    </row>
    <row r="781" spans="1:30" ht="15.75" customHeight="1">
      <c r="A781" s="361"/>
      <c r="B781" s="361"/>
      <c r="C781" s="361"/>
      <c r="D781" s="361"/>
      <c r="E781" s="361"/>
      <c r="F781" s="361"/>
      <c r="G781" s="361"/>
      <c r="H781" s="361"/>
      <c r="I781" s="361"/>
      <c r="J781" s="361"/>
      <c r="K781" s="37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  <c r="AA781" s="322"/>
      <c r="AB781" s="322"/>
      <c r="AC781" s="322"/>
      <c r="AD781" s="322"/>
    </row>
    <row r="782" spans="1:30" ht="15.75" customHeight="1">
      <c r="A782" s="361"/>
      <c r="B782" s="361"/>
      <c r="C782" s="361"/>
      <c r="D782" s="361"/>
      <c r="E782" s="361"/>
      <c r="F782" s="361"/>
      <c r="G782" s="361"/>
      <c r="H782" s="361"/>
      <c r="I782" s="361"/>
      <c r="J782" s="361"/>
      <c r="K782" s="37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  <c r="AA782" s="322"/>
      <c r="AB782" s="322"/>
      <c r="AC782" s="322"/>
      <c r="AD782" s="322"/>
    </row>
    <row r="783" spans="1:30" ht="15.75" customHeight="1">
      <c r="A783" s="361"/>
      <c r="B783" s="361"/>
      <c r="C783" s="361"/>
      <c r="D783" s="361"/>
      <c r="E783" s="361"/>
      <c r="F783" s="361"/>
      <c r="G783" s="361"/>
      <c r="H783" s="361"/>
      <c r="I783" s="361"/>
      <c r="J783" s="361"/>
      <c r="K783" s="37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  <c r="AA783" s="322"/>
      <c r="AB783" s="322"/>
      <c r="AC783" s="322"/>
      <c r="AD783" s="322"/>
    </row>
    <row r="784" spans="1:30" ht="15.75" customHeight="1">
      <c r="A784" s="361"/>
      <c r="B784" s="361"/>
      <c r="C784" s="361"/>
      <c r="D784" s="361"/>
      <c r="E784" s="361"/>
      <c r="F784" s="361"/>
      <c r="G784" s="361"/>
      <c r="H784" s="361"/>
      <c r="I784" s="361"/>
      <c r="J784" s="361"/>
      <c r="K784" s="37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  <c r="AA784" s="322"/>
      <c r="AB784" s="322"/>
      <c r="AC784" s="322"/>
      <c r="AD784" s="322"/>
    </row>
    <row r="785" spans="1:30" ht="15.75" customHeight="1">
      <c r="A785" s="361"/>
      <c r="B785" s="361"/>
      <c r="C785" s="361"/>
      <c r="D785" s="361"/>
      <c r="E785" s="361"/>
      <c r="F785" s="361"/>
      <c r="G785" s="361"/>
      <c r="H785" s="361"/>
      <c r="I785" s="361"/>
      <c r="J785" s="361"/>
      <c r="K785" s="37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  <c r="AA785" s="322"/>
      <c r="AB785" s="322"/>
      <c r="AC785" s="322"/>
      <c r="AD785" s="322"/>
    </row>
    <row r="786" spans="1:30" ht="15.75" customHeight="1">
      <c r="A786" s="361"/>
      <c r="B786" s="361"/>
      <c r="C786" s="361"/>
      <c r="D786" s="361"/>
      <c r="E786" s="361"/>
      <c r="F786" s="361"/>
      <c r="G786" s="361"/>
      <c r="H786" s="361"/>
      <c r="I786" s="361"/>
      <c r="J786" s="361"/>
      <c r="K786" s="37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  <c r="AA786" s="322"/>
      <c r="AB786" s="322"/>
      <c r="AC786" s="322"/>
      <c r="AD786" s="322"/>
    </row>
    <row r="787" spans="1:30" ht="15.75" customHeight="1">
      <c r="A787" s="361"/>
      <c r="B787" s="361"/>
      <c r="C787" s="361"/>
      <c r="D787" s="361"/>
      <c r="E787" s="361"/>
      <c r="F787" s="361"/>
      <c r="G787" s="361"/>
      <c r="H787" s="361"/>
      <c r="I787" s="361"/>
      <c r="J787" s="361"/>
      <c r="K787" s="37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  <c r="AA787" s="322"/>
      <c r="AB787" s="322"/>
      <c r="AC787" s="322"/>
      <c r="AD787" s="322"/>
    </row>
    <row r="788" spans="1:30" ht="15.75" customHeight="1">
      <c r="A788" s="361"/>
      <c r="B788" s="361"/>
      <c r="C788" s="361"/>
      <c r="D788" s="361"/>
      <c r="E788" s="361"/>
      <c r="F788" s="361"/>
      <c r="G788" s="361"/>
      <c r="H788" s="361"/>
      <c r="I788" s="361"/>
      <c r="J788" s="361"/>
      <c r="K788" s="37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  <c r="AA788" s="322"/>
      <c r="AB788" s="322"/>
      <c r="AC788" s="322"/>
      <c r="AD788" s="322"/>
    </row>
    <row r="789" spans="1:30" ht="15.75" customHeight="1">
      <c r="A789" s="361"/>
      <c r="B789" s="361"/>
      <c r="C789" s="361"/>
      <c r="D789" s="361"/>
      <c r="E789" s="361"/>
      <c r="F789" s="361"/>
      <c r="G789" s="361"/>
      <c r="H789" s="361"/>
      <c r="I789" s="361"/>
      <c r="J789" s="361"/>
      <c r="K789" s="37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  <c r="AA789" s="322"/>
      <c r="AB789" s="322"/>
      <c r="AC789" s="322"/>
      <c r="AD789" s="322"/>
    </row>
    <row r="790" spans="1:30" ht="15.75" customHeight="1">
      <c r="A790" s="361"/>
      <c r="B790" s="361"/>
      <c r="C790" s="361"/>
      <c r="D790" s="361"/>
      <c r="E790" s="361"/>
      <c r="F790" s="361"/>
      <c r="G790" s="361"/>
      <c r="H790" s="361"/>
      <c r="I790" s="361"/>
      <c r="J790" s="361"/>
      <c r="K790" s="37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  <c r="AA790" s="322"/>
      <c r="AB790" s="322"/>
      <c r="AC790" s="322"/>
      <c r="AD790" s="322"/>
    </row>
    <row r="791" spans="1:30" ht="15.75" customHeight="1">
      <c r="A791" s="361"/>
      <c r="B791" s="361"/>
      <c r="C791" s="361"/>
      <c r="D791" s="361"/>
      <c r="E791" s="361"/>
      <c r="F791" s="361"/>
      <c r="G791" s="361"/>
      <c r="H791" s="361"/>
      <c r="I791" s="361"/>
      <c r="J791" s="361"/>
      <c r="K791" s="37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  <c r="AA791" s="322"/>
      <c r="AB791" s="322"/>
      <c r="AC791" s="322"/>
      <c r="AD791" s="322"/>
    </row>
    <row r="792" spans="1:30" ht="15.75" customHeight="1">
      <c r="A792" s="361"/>
      <c r="B792" s="361"/>
      <c r="C792" s="361"/>
      <c r="D792" s="361"/>
      <c r="E792" s="361"/>
      <c r="F792" s="361"/>
      <c r="G792" s="361"/>
      <c r="H792" s="361"/>
      <c r="I792" s="361"/>
      <c r="J792" s="361"/>
      <c r="K792" s="37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  <c r="AA792" s="322"/>
      <c r="AB792" s="322"/>
      <c r="AC792" s="322"/>
      <c r="AD792" s="322"/>
    </row>
    <row r="793" spans="1:30" ht="15.75" customHeight="1">
      <c r="A793" s="361"/>
      <c r="B793" s="361"/>
      <c r="C793" s="361"/>
      <c r="D793" s="361"/>
      <c r="E793" s="361"/>
      <c r="F793" s="361"/>
      <c r="G793" s="361"/>
      <c r="H793" s="361"/>
      <c r="I793" s="361"/>
      <c r="J793" s="361"/>
      <c r="K793" s="37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  <c r="AA793" s="322"/>
      <c r="AB793" s="322"/>
      <c r="AC793" s="322"/>
      <c r="AD793" s="322"/>
    </row>
    <row r="794" spans="1:30" ht="15.75" customHeight="1">
      <c r="A794" s="361"/>
      <c r="B794" s="361"/>
      <c r="C794" s="361"/>
      <c r="D794" s="361"/>
      <c r="E794" s="361"/>
      <c r="F794" s="361"/>
      <c r="G794" s="361"/>
      <c r="H794" s="361"/>
      <c r="I794" s="361"/>
      <c r="J794" s="361"/>
      <c r="K794" s="37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  <c r="AA794" s="322"/>
      <c r="AB794" s="322"/>
      <c r="AC794" s="322"/>
      <c r="AD794" s="322"/>
    </row>
    <row r="795" spans="1:30" ht="15.75" customHeight="1">
      <c r="A795" s="361"/>
      <c r="B795" s="361"/>
      <c r="C795" s="361"/>
      <c r="D795" s="361"/>
      <c r="E795" s="361"/>
      <c r="F795" s="361"/>
      <c r="G795" s="361"/>
      <c r="H795" s="361"/>
      <c r="I795" s="361"/>
      <c r="J795" s="361"/>
      <c r="K795" s="37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  <c r="AA795" s="322"/>
      <c r="AB795" s="322"/>
      <c r="AC795" s="322"/>
      <c r="AD795" s="322"/>
    </row>
    <row r="796" spans="1:30" ht="15.75" customHeight="1">
      <c r="A796" s="361"/>
      <c r="B796" s="361"/>
      <c r="C796" s="361"/>
      <c r="D796" s="361"/>
      <c r="E796" s="361"/>
      <c r="F796" s="361"/>
      <c r="G796" s="361"/>
      <c r="H796" s="361"/>
      <c r="I796" s="361"/>
      <c r="J796" s="361"/>
      <c r="K796" s="37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  <c r="AA796" s="322"/>
      <c r="AB796" s="322"/>
      <c r="AC796" s="322"/>
      <c r="AD796" s="322"/>
    </row>
    <row r="797" spans="1:30" ht="15.75" customHeight="1">
      <c r="A797" s="361"/>
      <c r="B797" s="361"/>
      <c r="C797" s="361"/>
      <c r="D797" s="361"/>
      <c r="E797" s="361"/>
      <c r="F797" s="361"/>
      <c r="G797" s="361"/>
      <c r="H797" s="361"/>
      <c r="I797" s="361"/>
      <c r="J797" s="361"/>
      <c r="K797" s="37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  <c r="AA797" s="322"/>
      <c r="AB797" s="322"/>
      <c r="AC797" s="322"/>
      <c r="AD797" s="322"/>
    </row>
    <row r="798" spans="1:30" ht="15.75" customHeight="1">
      <c r="A798" s="361"/>
      <c r="B798" s="361"/>
      <c r="C798" s="361"/>
      <c r="D798" s="361"/>
      <c r="E798" s="361"/>
      <c r="F798" s="361"/>
      <c r="G798" s="361"/>
      <c r="H798" s="361"/>
      <c r="I798" s="361"/>
      <c r="J798" s="361"/>
      <c r="K798" s="37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  <c r="AA798" s="322"/>
      <c r="AB798" s="322"/>
      <c r="AC798" s="322"/>
      <c r="AD798" s="322"/>
    </row>
    <row r="799" spans="1:30" ht="15.75" customHeight="1">
      <c r="A799" s="361"/>
      <c r="B799" s="361"/>
      <c r="C799" s="361"/>
      <c r="D799" s="361"/>
      <c r="E799" s="361"/>
      <c r="F799" s="361"/>
      <c r="G799" s="361"/>
      <c r="H799" s="361"/>
      <c r="I799" s="361"/>
      <c r="J799" s="361"/>
      <c r="K799" s="37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  <c r="AA799" s="322"/>
      <c r="AB799" s="322"/>
      <c r="AC799" s="322"/>
      <c r="AD799" s="322"/>
    </row>
    <row r="800" spans="1:30" ht="15.75" customHeight="1">
      <c r="A800" s="361"/>
      <c r="B800" s="361"/>
      <c r="C800" s="361"/>
      <c r="D800" s="361"/>
      <c r="E800" s="361"/>
      <c r="F800" s="361"/>
      <c r="G800" s="361"/>
      <c r="H800" s="361"/>
      <c r="I800" s="361"/>
      <c r="J800" s="361"/>
      <c r="K800" s="37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  <c r="AA800" s="322"/>
      <c r="AB800" s="322"/>
      <c r="AC800" s="322"/>
      <c r="AD800" s="322"/>
    </row>
    <row r="801" spans="1:30" ht="15.75" customHeight="1">
      <c r="A801" s="361"/>
      <c r="B801" s="361"/>
      <c r="C801" s="361"/>
      <c r="D801" s="361"/>
      <c r="E801" s="361"/>
      <c r="F801" s="361"/>
      <c r="G801" s="361"/>
      <c r="H801" s="361"/>
      <c r="I801" s="361"/>
      <c r="J801" s="361"/>
      <c r="K801" s="37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  <c r="AA801" s="322"/>
      <c r="AB801" s="322"/>
      <c r="AC801" s="322"/>
      <c r="AD801" s="322"/>
    </row>
    <row r="802" spans="1:30" ht="15.75" customHeight="1">
      <c r="A802" s="361"/>
      <c r="B802" s="361"/>
      <c r="C802" s="361"/>
      <c r="D802" s="361"/>
      <c r="E802" s="361"/>
      <c r="F802" s="361"/>
      <c r="G802" s="361"/>
      <c r="H802" s="361"/>
      <c r="I802" s="361"/>
      <c r="J802" s="361"/>
      <c r="K802" s="37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  <c r="AA802" s="322"/>
      <c r="AB802" s="322"/>
      <c r="AC802" s="322"/>
      <c r="AD802" s="322"/>
    </row>
    <row r="803" spans="1:30" ht="15.75" customHeight="1">
      <c r="A803" s="361"/>
      <c r="B803" s="361"/>
      <c r="C803" s="361"/>
      <c r="D803" s="361"/>
      <c r="E803" s="361"/>
      <c r="F803" s="361"/>
      <c r="G803" s="361"/>
      <c r="H803" s="361"/>
      <c r="I803" s="361"/>
      <c r="J803" s="361"/>
      <c r="K803" s="37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  <c r="AA803" s="322"/>
      <c r="AB803" s="322"/>
      <c r="AC803" s="322"/>
      <c r="AD803" s="322"/>
    </row>
    <row r="804" spans="1:30" ht="15.75" customHeight="1">
      <c r="A804" s="361"/>
      <c r="B804" s="361"/>
      <c r="C804" s="361"/>
      <c r="D804" s="361"/>
      <c r="E804" s="361"/>
      <c r="F804" s="361"/>
      <c r="G804" s="361"/>
      <c r="H804" s="361"/>
      <c r="I804" s="361"/>
      <c r="J804" s="361"/>
      <c r="K804" s="37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  <c r="AA804" s="322"/>
      <c r="AB804" s="322"/>
      <c r="AC804" s="322"/>
      <c r="AD804" s="322"/>
    </row>
    <row r="805" spans="1:30" ht="15.75" customHeight="1">
      <c r="A805" s="361"/>
      <c r="B805" s="361"/>
      <c r="C805" s="361"/>
      <c r="D805" s="361"/>
      <c r="E805" s="361"/>
      <c r="F805" s="361"/>
      <c r="G805" s="361"/>
      <c r="H805" s="361"/>
      <c r="I805" s="361"/>
      <c r="J805" s="361"/>
      <c r="K805" s="37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  <c r="AA805" s="322"/>
      <c r="AB805" s="322"/>
      <c r="AC805" s="322"/>
      <c r="AD805" s="322"/>
    </row>
    <row r="806" spans="1:30" ht="15.75" customHeight="1">
      <c r="A806" s="361"/>
      <c r="B806" s="361"/>
      <c r="C806" s="361"/>
      <c r="D806" s="361"/>
      <c r="E806" s="361"/>
      <c r="F806" s="361"/>
      <c r="G806" s="361"/>
      <c r="H806" s="361"/>
      <c r="I806" s="361"/>
      <c r="J806" s="361"/>
      <c r="K806" s="37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  <c r="AA806" s="322"/>
      <c r="AB806" s="322"/>
      <c r="AC806" s="322"/>
      <c r="AD806" s="322"/>
    </row>
    <row r="807" spans="1:30" ht="15.75" customHeight="1">
      <c r="A807" s="361"/>
      <c r="B807" s="361"/>
      <c r="C807" s="361"/>
      <c r="D807" s="361"/>
      <c r="E807" s="361"/>
      <c r="F807" s="361"/>
      <c r="G807" s="361"/>
      <c r="H807" s="361"/>
      <c r="I807" s="361"/>
      <c r="J807" s="361"/>
      <c r="K807" s="37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  <c r="AA807" s="322"/>
      <c r="AB807" s="322"/>
      <c r="AC807" s="322"/>
      <c r="AD807" s="322"/>
    </row>
    <row r="808" spans="1:30" ht="15.75" customHeight="1">
      <c r="A808" s="361"/>
      <c r="B808" s="361"/>
      <c r="C808" s="361"/>
      <c r="D808" s="361"/>
      <c r="E808" s="361"/>
      <c r="F808" s="361"/>
      <c r="G808" s="361"/>
      <c r="H808" s="361"/>
      <c r="I808" s="361"/>
      <c r="J808" s="361"/>
      <c r="K808" s="37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  <c r="AA808" s="322"/>
      <c r="AB808" s="322"/>
      <c r="AC808" s="322"/>
      <c r="AD808" s="322"/>
    </row>
    <row r="809" spans="1:30" ht="15.75" customHeight="1">
      <c r="A809" s="361"/>
      <c r="B809" s="361"/>
      <c r="C809" s="361"/>
      <c r="D809" s="361"/>
      <c r="E809" s="361"/>
      <c r="F809" s="361"/>
      <c r="G809" s="361"/>
      <c r="H809" s="361"/>
      <c r="I809" s="361"/>
      <c r="J809" s="361"/>
      <c r="K809" s="37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  <c r="AA809" s="322"/>
      <c r="AB809" s="322"/>
      <c r="AC809" s="322"/>
      <c r="AD809" s="322"/>
    </row>
    <row r="810" spans="1:30" ht="15.75" customHeight="1">
      <c r="A810" s="361"/>
      <c r="B810" s="361"/>
      <c r="C810" s="361"/>
      <c r="D810" s="361"/>
      <c r="E810" s="361"/>
      <c r="F810" s="361"/>
      <c r="G810" s="361"/>
      <c r="H810" s="361"/>
      <c r="I810" s="361"/>
      <c r="J810" s="361"/>
      <c r="K810" s="37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  <c r="AA810" s="322"/>
      <c r="AB810" s="322"/>
      <c r="AC810" s="322"/>
      <c r="AD810" s="322"/>
    </row>
    <row r="811" spans="1:30" ht="15.75" customHeight="1">
      <c r="A811" s="361"/>
      <c r="B811" s="361"/>
      <c r="C811" s="361"/>
      <c r="D811" s="361"/>
      <c r="E811" s="361"/>
      <c r="F811" s="361"/>
      <c r="G811" s="361"/>
      <c r="H811" s="361"/>
      <c r="I811" s="361"/>
      <c r="J811" s="361"/>
      <c r="K811" s="37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  <c r="AA811" s="322"/>
      <c r="AB811" s="322"/>
      <c r="AC811" s="322"/>
      <c r="AD811" s="322"/>
    </row>
    <row r="812" spans="1:30" ht="15.75" customHeight="1">
      <c r="A812" s="361"/>
      <c r="B812" s="361"/>
      <c r="C812" s="361"/>
      <c r="D812" s="361"/>
      <c r="E812" s="361"/>
      <c r="F812" s="361"/>
      <c r="G812" s="361"/>
      <c r="H812" s="361"/>
      <c r="I812" s="361"/>
      <c r="J812" s="361"/>
      <c r="K812" s="37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  <c r="AA812" s="322"/>
      <c r="AB812" s="322"/>
      <c r="AC812" s="322"/>
      <c r="AD812" s="322"/>
    </row>
    <row r="813" spans="1:30" ht="15.75" customHeight="1">
      <c r="A813" s="361"/>
      <c r="B813" s="361"/>
      <c r="C813" s="361"/>
      <c r="D813" s="361"/>
      <c r="E813" s="361"/>
      <c r="F813" s="361"/>
      <c r="G813" s="361"/>
      <c r="H813" s="361"/>
      <c r="I813" s="361"/>
      <c r="J813" s="361"/>
      <c r="K813" s="37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  <c r="AA813" s="322"/>
      <c r="AB813" s="322"/>
      <c r="AC813" s="322"/>
      <c r="AD813" s="322"/>
    </row>
    <row r="814" spans="1:30" ht="15.75" customHeight="1">
      <c r="A814" s="361"/>
      <c r="B814" s="361"/>
      <c r="C814" s="361"/>
      <c r="D814" s="361"/>
      <c r="E814" s="361"/>
      <c r="F814" s="361"/>
      <c r="G814" s="361"/>
      <c r="H814" s="361"/>
      <c r="I814" s="361"/>
      <c r="J814" s="361"/>
      <c r="K814" s="37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  <c r="AA814" s="322"/>
      <c r="AB814" s="322"/>
      <c r="AC814" s="322"/>
      <c r="AD814" s="322"/>
    </row>
    <row r="815" spans="1:30" ht="15.75" customHeight="1">
      <c r="A815" s="361"/>
      <c r="B815" s="361"/>
      <c r="C815" s="361"/>
      <c r="D815" s="361"/>
      <c r="E815" s="361"/>
      <c r="F815" s="361"/>
      <c r="G815" s="361"/>
      <c r="H815" s="361"/>
      <c r="I815" s="361"/>
      <c r="J815" s="361"/>
      <c r="K815" s="37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  <c r="AA815" s="322"/>
      <c r="AB815" s="322"/>
      <c r="AC815" s="322"/>
      <c r="AD815" s="322"/>
    </row>
    <row r="816" spans="1:30" ht="15.75" customHeight="1">
      <c r="A816" s="361"/>
      <c r="B816" s="361"/>
      <c r="C816" s="361"/>
      <c r="D816" s="361"/>
      <c r="E816" s="361"/>
      <c r="F816" s="361"/>
      <c r="G816" s="361"/>
      <c r="H816" s="361"/>
      <c r="I816" s="361"/>
      <c r="J816" s="361"/>
      <c r="K816" s="37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  <c r="AA816" s="322"/>
      <c r="AB816" s="322"/>
      <c r="AC816" s="322"/>
      <c r="AD816" s="322"/>
    </row>
    <row r="817" spans="1:30" ht="15.75" customHeight="1">
      <c r="A817" s="361"/>
      <c r="B817" s="361"/>
      <c r="C817" s="361"/>
      <c r="D817" s="361"/>
      <c r="E817" s="361"/>
      <c r="F817" s="361"/>
      <c r="G817" s="361"/>
      <c r="H817" s="361"/>
      <c r="I817" s="361"/>
      <c r="J817" s="361"/>
      <c r="K817" s="37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  <c r="AA817" s="322"/>
      <c r="AB817" s="322"/>
      <c r="AC817" s="322"/>
      <c r="AD817" s="322"/>
    </row>
    <row r="818" spans="1:30" ht="15.75" customHeight="1">
      <c r="A818" s="361"/>
      <c r="B818" s="361"/>
      <c r="C818" s="361"/>
      <c r="D818" s="361"/>
      <c r="E818" s="361"/>
      <c r="F818" s="361"/>
      <c r="G818" s="361"/>
      <c r="H818" s="361"/>
      <c r="I818" s="361"/>
      <c r="J818" s="361"/>
      <c r="K818" s="37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  <c r="AA818" s="322"/>
      <c r="AB818" s="322"/>
      <c r="AC818" s="322"/>
      <c r="AD818" s="322"/>
    </row>
    <row r="819" spans="1:30" ht="15.75" customHeight="1">
      <c r="A819" s="361"/>
      <c r="B819" s="361"/>
      <c r="C819" s="361"/>
      <c r="D819" s="361"/>
      <c r="E819" s="361"/>
      <c r="F819" s="361"/>
      <c r="G819" s="361"/>
      <c r="H819" s="361"/>
      <c r="I819" s="361"/>
      <c r="J819" s="361"/>
      <c r="K819" s="37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  <c r="AA819" s="322"/>
      <c r="AB819" s="322"/>
      <c r="AC819" s="322"/>
      <c r="AD819" s="322"/>
    </row>
    <row r="820" spans="1:30" ht="15.75" customHeight="1">
      <c r="A820" s="361"/>
      <c r="B820" s="361"/>
      <c r="C820" s="361"/>
      <c r="D820" s="361"/>
      <c r="E820" s="361"/>
      <c r="F820" s="361"/>
      <c r="G820" s="361"/>
      <c r="H820" s="361"/>
      <c r="I820" s="361"/>
      <c r="J820" s="361"/>
      <c r="K820" s="37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  <c r="AA820" s="322"/>
      <c r="AB820" s="322"/>
      <c r="AC820" s="322"/>
      <c r="AD820" s="322"/>
    </row>
    <row r="821" spans="1:30" ht="15.75" customHeight="1">
      <c r="A821" s="361"/>
      <c r="B821" s="361"/>
      <c r="C821" s="361"/>
      <c r="D821" s="361"/>
      <c r="E821" s="361"/>
      <c r="F821" s="361"/>
      <c r="G821" s="361"/>
      <c r="H821" s="361"/>
      <c r="I821" s="361"/>
      <c r="J821" s="361"/>
      <c r="K821" s="37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  <c r="AA821" s="322"/>
      <c r="AB821" s="322"/>
      <c r="AC821" s="322"/>
      <c r="AD821" s="322"/>
    </row>
    <row r="822" spans="1:30" ht="15.75" customHeight="1">
      <c r="A822" s="361"/>
      <c r="B822" s="361"/>
      <c r="C822" s="361"/>
      <c r="D822" s="361"/>
      <c r="E822" s="361"/>
      <c r="F822" s="361"/>
      <c r="G822" s="361"/>
      <c r="H822" s="361"/>
      <c r="I822" s="361"/>
      <c r="J822" s="361"/>
      <c r="K822" s="37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  <c r="AA822" s="322"/>
      <c r="AB822" s="322"/>
      <c r="AC822" s="322"/>
      <c r="AD822" s="322"/>
    </row>
    <row r="823" spans="1:30" ht="15.75" customHeight="1">
      <c r="A823" s="361"/>
      <c r="B823" s="361"/>
      <c r="C823" s="361"/>
      <c r="D823" s="361"/>
      <c r="E823" s="361"/>
      <c r="F823" s="361"/>
      <c r="G823" s="361"/>
      <c r="H823" s="361"/>
      <c r="I823" s="361"/>
      <c r="J823" s="361"/>
      <c r="K823" s="37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  <c r="AA823" s="322"/>
      <c r="AB823" s="322"/>
      <c r="AC823" s="322"/>
      <c r="AD823" s="322"/>
    </row>
    <row r="824" spans="1:30" ht="15.75" customHeight="1">
      <c r="A824" s="361"/>
      <c r="B824" s="361"/>
      <c r="C824" s="361"/>
      <c r="D824" s="361"/>
      <c r="E824" s="361"/>
      <c r="F824" s="361"/>
      <c r="G824" s="361"/>
      <c r="H824" s="361"/>
      <c r="I824" s="361"/>
      <c r="J824" s="361"/>
      <c r="K824" s="37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  <c r="AA824" s="322"/>
      <c r="AB824" s="322"/>
      <c r="AC824" s="322"/>
      <c r="AD824" s="322"/>
    </row>
    <row r="825" spans="1:30" ht="15.75" customHeight="1">
      <c r="A825" s="361"/>
      <c r="B825" s="361"/>
      <c r="C825" s="361"/>
      <c r="D825" s="361"/>
      <c r="E825" s="361"/>
      <c r="F825" s="361"/>
      <c r="G825" s="361"/>
      <c r="H825" s="361"/>
      <c r="I825" s="361"/>
      <c r="J825" s="361"/>
      <c r="K825" s="37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  <c r="AA825" s="322"/>
      <c r="AB825" s="322"/>
      <c r="AC825" s="322"/>
      <c r="AD825" s="322"/>
    </row>
    <row r="826" spans="1:30" ht="15.75" customHeight="1">
      <c r="A826" s="361"/>
      <c r="B826" s="361"/>
      <c r="C826" s="361"/>
      <c r="D826" s="361"/>
      <c r="E826" s="361"/>
      <c r="F826" s="361"/>
      <c r="G826" s="361"/>
      <c r="H826" s="361"/>
      <c r="I826" s="361"/>
      <c r="J826" s="361"/>
      <c r="K826" s="37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  <c r="AA826" s="322"/>
      <c r="AB826" s="322"/>
      <c r="AC826" s="322"/>
      <c r="AD826" s="322"/>
    </row>
    <row r="827" spans="1:30" ht="15.75" customHeight="1">
      <c r="A827" s="361"/>
      <c r="B827" s="361"/>
      <c r="C827" s="361"/>
      <c r="D827" s="361"/>
      <c r="E827" s="361"/>
      <c r="F827" s="361"/>
      <c r="G827" s="361"/>
      <c r="H827" s="361"/>
      <c r="I827" s="361"/>
      <c r="J827" s="361"/>
      <c r="K827" s="37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  <c r="AA827" s="322"/>
      <c r="AB827" s="322"/>
      <c r="AC827" s="322"/>
      <c r="AD827" s="322"/>
    </row>
    <row r="828" spans="1:30" ht="15.75" customHeight="1">
      <c r="A828" s="361"/>
      <c r="B828" s="361"/>
      <c r="C828" s="361"/>
      <c r="D828" s="361"/>
      <c r="E828" s="361"/>
      <c r="F828" s="361"/>
      <c r="G828" s="361"/>
      <c r="H828" s="361"/>
      <c r="I828" s="361"/>
      <c r="J828" s="361"/>
      <c r="K828" s="37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  <c r="AA828" s="322"/>
      <c r="AB828" s="322"/>
      <c r="AC828" s="322"/>
      <c r="AD828" s="322"/>
    </row>
    <row r="829" spans="1:30" ht="15.75" customHeight="1">
      <c r="A829" s="361"/>
      <c r="B829" s="361"/>
      <c r="C829" s="361"/>
      <c r="D829" s="361"/>
      <c r="E829" s="361"/>
      <c r="F829" s="361"/>
      <c r="G829" s="361"/>
      <c r="H829" s="361"/>
      <c r="I829" s="361"/>
      <c r="J829" s="361"/>
      <c r="K829" s="37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  <c r="AA829" s="322"/>
      <c r="AB829" s="322"/>
      <c r="AC829" s="322"/>
      <c r="AD829" s="322"/>
    </row>
    <row r="830" spans="1:30" ht="15.75" customHeight="1">
      <c r="A830" s="361"/>
      <c r="B830" s="361"/>
      <c r="C830" s="361"/>
      <c r="D830" s="361"/>
      <c r="E830" s="361"/>
      <c r="F830" s="361"/>
      <c r="G830" s="361"/>
      <c r="H830" s="361"/>
      <c r="I830" s="361"/>
      <c r="J830" s="361"/>
      <c r="K830" s="37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  <c r="AA830" s="322"/>
      <c r="AB830" s="322"/>
      <c r="AC830" s="322"/>
      <c r="AD830" s="322"/>
    </row>
    <row r="831" spans="1:30" ht="15.75" customHeight="1">
      <c r="A831" s="361"/>
      <c r="B831" s="361"/>
      <c r="C831" s="361"/>
      <c r="D831" s="361"/>
      <c r="E831" s="361"/>
      <c r="F831" s="361"/>
      <c r="G831" s="361"/>
      <c r="H831" s="361"/>
      <c r="I831" s="361"/>
      <c r="J831" s="361"/>
      <c r="K831" s="37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  <c r="AA831" s="322"/>
      <c r="AB831" s="322"/>
      <c r="AC831" s="322"/>
      <c r="AD831" s="322"/>
    </row>
    <row r="832" spans="1:30" ht="15.75" customHeight="1">
      <c r="A832" s="361"/>
      <c r="B832" s="361"/>
      <c r="C832" s="361"/>
      <c r="D832" s="361"/>
      <c r="E832" s="361"/>
      <c r="F832" s="361"/>
      <c r="G832" s="361"/>
      <c r="H832" s="361"/>
      <c r="I832" s="361"/>
      <c r="J832" s="361"/>
      <c r="K832" s="37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  <c r="AA832" s="322"/>
      <c r="AB832" s="322"/>
      <c r="AC832" s="322"/>
      <c r="AD832" s="322"/>
    </row>
    <row r="833" spans="1:30" ht="15.75" customHeight="1">
      <c r="A833" s="361"/>
      <c r="B833" s="361"/>
      <c r="C833" s="361"/>
      <c r="D833" s="361"/>
      <c r="E833" s="361"/>
      <c r="F833" s="361"/>
      <c r="G833" s="361"/>
      <c r="H833" s="361"/>
      <c r="I833" s="361"/>
      <c r="J833" s="361"/>
      <c r="K833" s="37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  <c r="AA833" s="322"/>
      <c r="AB833" s="322"/>
      <c r="AC833" s="322"/>
      <c r="AD833" s="322"/>
    </row>
    <row r="834" spans="1:30" ht="15.75" customHeight="1">
      <c r="A834" s="361"/>
      <c r="B834" s="361"/>
      <c r="C834" s="361"/>
      <c r="D834" s="361"/>
      <c r="E834" s="361"/>
      <c r="F834" s="361"/>
      <c r="G834" s="361"/>
      <c r="H834" s="361"/>
      <c r="I834" s="361"/>
      <c r="J834" s="361"/>
      <c r="K834" s="37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  <c r="AA834" s="322"/>
      <c r="AB834" s="322"/>
      <c r="AC834" s="322"/>
      <c r="AD834" s="322"/>
    </row>
    <row r="835" spans="1:30" ht="15.75" customHeight="1">
      <c r="A835" s="361"/>
      <c r="B835" s="361"/>
      <c r="C835" s="361"/>
      <c r="D835" s="361"/>
      <c r="E835" s="361"/>
      <c r="F835" s="361"/>
      <c r="G835" s="361"/>
      <c r="H835" s="361"/>
      <c r="I835" s="361"/>
      <c r="J835" s="361"/>
      <c r="K835" s="37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  <c r="AA835" s="322"/>
      <c r="AB835" s="322"/>
      <c r="AC835" s="322"/>
      <c r="AD835" s="322"/>
    </row>
    <row r="836" spans="1:30" ht="15.75" customHeight="1">
      <c r="A836" s="361"/>
      <c r="B836" s="361"/>
      <c r="C836" s="361"/>
      <c r="D836" s="361"/>
      <c r="E836" s="361"/>
      <c r="F836" s="361"/>
      <c r="G836" s="361"/>
      <c r="H836" s="361"/>
      <c r="I836" s="361"/>
      <c r="J836" s="361"/>
      <c r="K836" s="37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  <c r="AA836" s="322"/>
      <c r="AB836" s="322"/>
      <c r="AC836" s="322"/>
      <c r="AD836" s="322"/>
    </row>
    <row r="837" spans="1:30" ht="15.75" customHeight="1">
      <c r="A837" s="361"/>
      <c r="B837" s="361"/>
      <c r="C837" s="361"/>
      <c r="D837" s="361"/>
      <c r="E837" s="361"/>
      <c r="F837" s="361"/>
      <c r="G837" s="361"/>
      <c r="H837" s="361"/>
      <c r="I837" s="361"/>
      <c r="J837" s="361"/>
      <c r="K837" s="37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  <c r="AA837" s="322"/>
      <c r="AB837" s="322"/>
      <c r="AC837" s="322"/>
      <c r="AD837" s="322"/>
    </row>
    <row r="838" spans="1:30" ht="15.75" customHeight="1">
      <c r="A838" s="361"/>
      <c r="B838" s="361"/>
      <c r="C838" s="361"/>
      <c r="D838" s="361"/>
      <c r="E838" s="361"/>
      <c r="F838" s="361"/>
      <c r="G838" s="361"/>
      <c r="H838" s="361"/>
      <c r="I838" s="361"/>
      <c r="J838" s="361"/>
      <c r="K838" s="37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  <c r="AA838" s="322"/>
      <c r="AB838" s="322"/>
      <c r="AC838" s="322"/>
      <c r="AD838" s="322"/>
    </row>
    <row r="839" spans="1:30" ht="15.75" customHeight="1">
      <c r="A839" s="361"/>
      <c r="B839" s="361"/>
      <c r="C839" s="361"/>
      <c r="D839" s="361"/>
      <c r="E839" s="361"/>
      <c r="F839" s="361"/>
      <c r="G839" s="361"/>
      <c r="H839" s="361"/>
      <c r="I839" s="361"/>
      <c r="J839" s="361"/>
      <c r="K839" s="37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  <c r="AA839" s="322"/>
      <c r="AB839" s="322"/>
      <c r="AC839" s="322"/>
      <c r="AD839" s="322"/>
    </row>
    <row r="840" spans="1:30" ht="15.75" customHeight="1">
      <c r="A840" s="361"/>
      <c r="B840" s="361"/>
      <c r="C840" s="361"/>
      <c r="D840" s="361"/>
      <c r="E840" s="361"/>
      <c r="F840" s="361"/>
      <c r="G840" s="361"/>
      <c r="H840" s="361"/>
      <c r="I840" s="361"/>
      <c r="J840" s="361"/>
      <c r="K840" s="37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  <c r="AA840" s="322"/>
      <c r="AB840" s="322"/>
      <c r="AC840" s="322"/>
      <c r="AD840" s="322"/>
    </row>
    <row r="841" spans="1:30" ht="15.75" customHeight="1">
      <c r="A841" s="361"/>
      <c r="B841" s="361"/>
      <c r="C841" s="361"/>
      <c r="D841" s="361"/>
      <c r="E841" s="361"/>
      <c r="F841" s="361"/>
      <c r="G841" s="361"/>
      <c r="H841" s="361"/>
      <c r="I841" s="361"/>
      <c r="J841" s="361"/>
      <c r="K841" s="37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  <c r="AA841" s="322"/>
      <c r="AB841" s="322"/>
      <c r="AC841" s="322"/>
      <c r="AD841" s="322"/>
    </row>
    <row r="842" spans="1:30" ht="15.75" customHeight="1">
      <c r="A842" s="361"/>
      <c r="B842" s="361"/>
      <c r="C842" s="361"/>
      <c r="D842" s="361"/>
      <c r="E842" s="361"/>
      <c r="F842" s="361"/>
      <c r="G842" s="361"/>
      <c r="H842" s="361"/>
      <c r="I842" s="361"/>
      <c r="J842" s="361"/>
      <c r="K842" s="37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  <c r="AA842" s="322"/>
      <c r="AB842" s="322"/>
      <c r="AC842" s="322"/>
      <c r="AD842" s="322"/>
    </row>
    <row r="843" spans="1:30" ht="15.75" customHeight="1">
      <c r="A843" s="361"/>
      <c r="B843" s="361"/>
      <c r="C843" s="361"/>
      <c r="D843" s="361"/>
      <c r="E843" s="361"/>
      <c r="F843" s="361"/>
      <c r="G843" s="361"/>
      <c r="H843" s="361"/>
      <c r="I843" s="361"/>
      <c r="J843" s="361"/>
      <c r="K843" s="37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  <c r="AA843" s="322"/>
      <c r="AB843" s="322"/>
      <c r="AC843" s="322"/>
      <c r="AD843" s="322"/>
    </row>
    <row r="844" spans="1:30" ht="15.75" customHeight="1">
      <c r="A844" s="361"/>
      <c r="B844" s="361"/>
      <c r="C844" s="361"/>
      <c r="D844" s="361"/>
      <c r="E844" s="361"/>
      <c r="F844" s="361"/>
      <c r="G844" s="361"/>
      <c r="H844" s="361"/>
      <c r="I844" s="361"/>
      <c r="J844" s="361"/>
      <c r="K844" s="37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  <c r="AA844" s="322"/>
      <c r="AB844" s="322"/>
      <c r="AC844" s="322"/>
      <c r="AD844" s="322"/>
    </row>
    <row r="845" spans="1:30" ht="15.75" customHeight="1">
      <c r="A845" s="361"/>
      <c r="B845" s="361"/>
      <c r="C845" s="361"/>
      <c r="D845" s="361"/>
      <c r="E845" s="361"/>
      <c r="F845" s="361"/>
      <c r="G845" s="361"/>
      <c r="H845" s="361"/>
      <c r="I845" s="361"/>
      <c r="J845" s="361"/>
      <c r="K845" s="37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  <c r="AA845" s="322"/>
      <c r="AB845" s="322"/>
      <c r="AC845" s="322"/>
      <c r="AD845" s="322"/>
    </row>
    <row r="846" spans="1:30" ht="15.75" customHeight="1">
      <c r="A846" s="361"/>
      <c r="B846" s="361"/>
      <c r="C846" s="361"/>
      <c r="D846" s="361"/>
      <c r="E846" s="361"/>
      <c r="F846" s="361"/>
      <c r="G846" s="361"/>
      <c r="H846" s="361"/>
      <c r="I846" s="361"/>
      <c r="J846" s="361"/>
      <c r="K846" s="37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  <c r="AA846" s="322"/>
      <c r="AB846" s="322"/>
      <c r="AC846" s="322"/>
      <c r="AD846" s="322"/>
    </row>
    <row r="847" spans="1:30" ht="15.75" customHeight="1">
      <c r="A847" s="361"/>
      <c r="B847" s="361"/>
      <c r="C847" s="361"/>
      <c r="D847" s="361"/>
      <c r="E847" s="361"/>
      <c r="F847" s="361"/>
      <c r="G847" s="361"/>
      <c r="H847" s="361"/>
      <c r="I847" s="361"/>
      <c r="J847" s="361"/>
      <c r="K847" s="37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  <c r="AA847" s="322"/>
      <c r="AB847" s="322"/>
      <c r="AC847" s="322"/>
      <c r="AD847" s="322"/>
    </row>
    <row r="848" spans="1:30" ht="15.75" customHeight="1">
      <c r="A848" s="361"/>
      <c r="B848" s="361"/>
      <c r="C848" s="361"/>
      <c r="D848" s="361"/>
      <c r="E848" s="361"/>
      <c r="F848" s="361"/>
      <c r="G848" s="361"/>
      <c r="H848" s="361"/>
      <c r="I848" s="361"/>
      <c r="J848" s="361"/>
      <c r="K848" s="37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  <c r="AA848" s="322"/>
      <c r="AB848" s="322"/>
      <c r="AC848" s="322"/>
      <c r="AD848" s="322"/>
    </row>
    <row r="849" spans="1:30" ht="15.75" customHeight="1">
      <c r="A849" s="361"/>
      <c r="B849" s="361"/>
      <c r="C849" s="361"/>
      <c r="D849" s="361"/>
      <c r="E849" s="361"/>
      <c r="F849" s="361"/>
      <c r="G849" s="361"/>
      <c r="H849" s="361"/>
      <c r="I849" s="361"/>
      <c r="J849" s="361"/>
      <c r="K849" s="37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  <c r="AA849" s="322"/>
      <c r="AB849" s="322"/>
      <c r="AC849" s="322"/>
      <c r="AD849" s="322"/>
    </row>
    <row r="850" spans="1:30" ht="15.75" customHeight="1">
      <c r="A850" s="361"/>
      <c r="B850" s="361"/>
      <c r="C850" s="361"/>
      <c r="D850" s="361"/>
      <c r="E850" s="361"/>
      <c r="F850" s="361"/>
      <c r="G850" s="361"/>
      <c r="H850" s="361"/>
      <c r="I850" s="361"/>
      <c r="J850" s="361"/>
      <c r="K850" s="37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  <c r="AA850" s="322"/>
      <c r="AB850" s="322"/>
      <c r="AC850" s="322"/>
      <c r="AD850" s="322"/>
    </row>
    <row r="851" spans="1:30" ht="15.75" customHeight="1">
      <c r="A851" s="361"/>
      <c r="B851" s="361"/>
      <c r="C851" s="361"/>
      <c r="D851" s="361"/>
      <c r="E851" s="361"/>
      <c r="F851" s="361"/>
      <c r="G851" s="361"/>
      <c r="H851" s="361"/>
      <c r="I851" s="361"/>
      <c r="J851" s="361"/>
      <c r="K851" s="37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  <c r="AA851" s="322"/>
      <c r="AB851" s="322"/>
      <c r="AC851" s="322"/>
      <c r="AD851" s="322"/>
    </row>
    <row r="852" spans="1:30" ht="15.75" customHeight="1">
      <c r="A852" s="361"/>
      <c r="B852" s="361"/>
      <c r="C852" s="361"/>
      <c r="D852" s="361"/>
      <c r="E852" s="361"/>
      <c r="F852" s="361"/>
      <c r="G852" s="361"/>
      <c r="H852" s="361"/>
      <c r="I852" s="361"/>
      <c r="J852" s="361"/>
      <c r="K852" s="37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  <c r="AA852" s="322"/>
      <c r="AB852" s="322"/>
      <c r="AC852" s="322"/>
      <c r="AD852" s="322"/>
    </row>
    <row r="853" spans="1:30" ht="15.75" customHeight="1">
      <c r="A853" s="361"/>
      <c r="B853" s="361"/>
      <c r="C853" s="361"/>
      <c r="D853" s="361"/>
      <c r="E853" s="361"/>
      <c r="F853" s="361"/>
      <c r="G853" s="361"/>
      <c r="H853" s="361"/>
      <c r="I853" s="361"/>
      <c r="J853" s="361"/>
      <c r="K853" s="37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  <c r="AA853" s="322"/>
      <c r="AB853" s="322"/>
      <c r="AC853" s="322"/>
      <c r="AD853" s="322"/>
    </row>
    <row r="854" spans="1:30" ht="15.75" customHeight="1">
      <c r="A854" s="361"/>
      <c r="B854" s="361"/>
      <c r="C854" s="361"/>
      <c r="D854" s="361"/>
      <c r="E854" s="361"/>
      <c r="F854" s="361"/>
      <c r="G854" s="361"/>
      <c r="H854" s="361"/>
      <c r="I854" s="361"/>
      <c r="J854" s="361"/>
      <c r="K854" s="37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  <c r="AA854" s="322"/>
      <c r="AB854" s="322"/>
      <c r="AC854" s="322"/>
      <c r="AD854" s="322"/>
    </row>
    <row r="855" spans="1:30" ht="15.75" customHeight="1">
      <c r="A855" s="361"/>
      <c r="B855" s="361"/>
      <c r="C855" s="361"/>
      <c r="D855" s="361"/>
      <c r="E855" s="361"/>
      <c r="F855" s="361"/>
      <c r="G855" s="361"/>
      <c r="H855" s="361"/>
      <c r="I855" s="361"/>
      <c r="J855" s="361"/>
      <c r="K855" s="37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  <c r="AA855" s="322"/>
      <c r="AB855" s="322"/>
      <c r="AC855" s="322"/>
      <c r="AD855" s="322"/>
    </row>
    <row r="856" spans="1:30" ht="15.75" customHeight="1">
      <c r="A856" s="361"/>
      <c r="B856" s="361"/>
      <c r="C856" s="361"/>
      <c r="D856" s="361"/>
      <c r="E856" s="361"/>
      <c r="F856" s="361"/>
      <c r="G856" s="361"/>
      <c r="H856" s="361"/>
      <c r="I856" s="361"/>
      <c r="J856" s="361"/>
      <c r="K856" s="37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  <c r="AA856" s="322"/>
      <c r="AB856" s="322"/>
      <c r="AC856" s="322"/>
      <c r="AD856" s="322"/>
    </row>
    <row r="857" spans="1:30" ht="15.75" customHeight="1">
      <c r="A857" s="361"/>
      <c r="B857" s="361"/>
      <c r="C857" s="361"/>
      <c r="D857" s="361"/>
      <c r="E857" s="361"/>
      <c r="F857" s="361"/>
      <c r="G857" s="361"/>
      <c r="H857" s="361"/>
      <c r="I857" s="361"/>
      <c r="J857" s="361"/>
      <c r="K857" s="37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  <c r="AA857" s="322"/>
      <c r="AB857" s="322"/>
      <c r="AC857" s="322"/>
      <c r="AD857" s="322"/>
    </row>
    <row r="858" spans="1:30" ht="15.75" customHeight="1">
      <c r="A858" s="361"/>
      <c r="B858" s="361"/>
      <c r="C858" s="361"/>
      <c r="D858" s="361"/>
      <c r="E858" s="361"/>
      <c r="F858" s="361"/>
      <c r="G858" s="361"/>
      <c r="H858" s="361"/>
      <c r="I858" s="361"/>
      <c r="J858" s="361"/>
      <c r="K858" s="37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  <c r="AA858" s="322"/>
      <c r="AB858" s="322"/>
      <c r="AC858" s="322"/>
      <c r="AD858" s="322"/>
    </row>
    <row r="859" spans="1:30" ht="15.75" customHeight="1">
      <c r="A859" s="361"/>
      <c r="B859" s="361"/>
      <c r="C859" s="361"/>
      <c r="D859" s="361"/>
      <c r="E859" s="361"/>
      <c r="F859" s="361"/>
      <c r="G859" s="361"/>
      <c r="H859" s="361"/>
      <c r="I859" s="361"/>
      <c r="J859" s="361"/>
      <c r="K859" s="37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  <c r="AA859" s="322"/>
      <c r="AB859" s="322"/>
      <c r="AC859" s="322"/>
      <c r="AD859" s="322"/>
    </row>
    <row r="860" spans="1:30" ht="15.75" customHeight="1">
      <c r="A860" s="361"/>
      <c r="B860" s="361"/>
      <c r="C860" s="361"/>
      <c r="D860" s="361"/>
      <c r="E860" s="361"/>
      <c r="F860" s="361"/>
      <c r="G860" s="361"/>
      <c r="H860" s="361"/>
      <c r="I860" s="361"/>
      <c r="J860" s="361"/>
      <c r="K860" s="37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  <c r="AA860" s="322"/>
      <c r="AB860" s="322"/>
      <c r="AC860" s="322"/>
      <c r="AD860" s="322"/>
    </row>
    <row r="861" spans="1:30" ht="15.75" customHeight="1">
      <c r="A861" s="361"/>
      <c r="B861" s="361"/>
      <c r="C861" s="361"/>
      <c r="D861" s="361"/>
      <c r="E861" s="361"/>
      <c r="F861" s="361"/>
      <c r="G861" s="361"/>
      <c r="H861" s="361"/>
      <c r="I861" s="361"/>
      <c r="J861" s="361"/>
      <c r="K861" s="37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  <c r="AA861" s="322"/>
      <c r="AB861" s="322"/>
      <c r="AC861" s="322"/>
      <c r="AD861" s="322"/>
    </row>
    <row r="862" spans="1:30" ht="15.75" customHeight="1">
      <c r="A862" s="361"/>
      <c r="B862" s="361"/>
      <c r="C862" s="361"/>
      <c r="D862" s="361"/>
      <c r="E862" s="361"/>
      <c r="F862" s="361"/>
      <c r="G862" s="361"/>
      <c r="H862" s="361"/>
      <c r="I862" s="361"/>
      <c r="J862" s="361"/>
      <c r="K862" s="37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  <c r="AA862" s="322"/>
      <c r="AB862" s="322"/>
      <c r="AC862" s="322"/>
      <c r="AD862" s="322"/>
    </row>
    <row r="863" spans="1:30" ht="15.75" customHeight="1">
      <c r="A863" s="361"/>
      <c r="B863" s="361"/>
      <c r="C863" s="361"/>
      <c r="D863" s="361"/>
      <c r="E863" s="361"/>
      <c r="F863" s="361"/>
      <c r="G863" s="361"/>
      <c r="H863" s="361"/>
      <c r="I863" s="361"/>
      <c r="J863" s="361"/>
      <c r="K863" s="37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  <c r="AA863" s="322"/>
      <c r="AB863" s="322"/>
      <c r="AC863" s="322"/>
      <c r="AD863" s="322"/>
    </row>
    <row r="864" spans="1:30" ht="15.75" customHeight="1">
      <c r="A864" s="361"/>
      <c r="B864" s="361"/>
      <c r="C864" s="361"/>
      <c r="D864" s="361"/>
      <c r="E864" s="361"/>
      <c r="F864" s="361"/>
      <c r="G864" s="361"/>
      <c r="H864" s="361"/>
      <c r="I864" s="361"/>
      <c r="J864" s="361"/>
      <c r="K864" s="37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  <c r="AA864" s="322"/>
      <c r="AB864" s="322"/>
      <c r="AC864" s="322"/>
      <c r="AD864" s="322"/>
    </row>
    <row r="865" spans="1:30" ht="15.75" customHeight="1">
      <c r="A865" s="361"/>
      <c r="B865" s="361"/>
      <c r="C865" s="361"/>
      <c r="D865" s="361"/>
      <c r="E865" s="361"/>
      <c r="F865" s="361"/>
      <c r="G865" s="361"/>
      <c r="H865" s="361"/>
      <c r="I865" s="361"/>
      <c r="J865" s="361"/>
      <c r="K865" s="37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  <c r="AA865" s="322"/>
      <c r="AB865" s="322"/>
      <c r="AC865" s="322"/>
      <c r="AD865" s="322"/>
    </row>
    <row r="866" spans="1:30" ht="15.75" customHeight="1">
      <c r="A866" s="361"/>
      <c r="B866" s="361"/>
      <c r="C866" s="361"/>
      <c r="D866" s="361"/>
      <c r="E866" s="361"/>
      <c r="F866" s="361"/>
      <c r="G866" s="361"/>
      <c r="H866" s="361"/>
      <c r="I866" s="361"/>
      <c r="J866" s="361"/>
      <c r="K866" s="37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  <c r="AA866" s="322"/>
      <c r="AB866" s="322"/>
      <c r="AC866" s="322"/>
      <c r="AD866" s="322"/>
    </row>
    <row r="867" spans="1:30" ht="15.75" customHeight="1">
      <c r="A867" s="361"/>
      <c r="B867" s="361"/>
      <c r="C867" s="361"/>
      <c r="D867" s="361"/>
      <c r="E867" s="361"/>
      <c r="F867" s="361"/>
      <c r="G867" s="361"/>
      <c r="H867" s="361"/>
      <c r="I867" s="361"/>
      <c r="J867" s="361"/>
      <c r="K867" s="37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  <c r="AA867" s="322"/>
      <c r="AB867" s="322"/>
      <c r="AC867" s="322"/>
      <c r="AD867" s="322"/>
    </row>
    <row r="868" spans="1:30" ht="15.75" customHeight="1">
      <c r="A868" s="361"/>
      <c r="B868" s="361"/>
      <c r="C868" s="361"/>
      <c r="D868" s="361"/>
      <c r="E868" s="361"/>
      <c r="F868" s="361"/>
      <c r="G868" s="361"/>
      <c r="H868" s="361"/>
      <c r="I868" s="361"/>
      <c r="J868" s="361"/>
      <c r="K868" s="37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  <c r="AA868" s="322"/>
      <c r="AB868" s="322"/>
      <c r="AC868" s="322"/>
      <c r="AD868" s="322"/>
    </row>
    <row r="869" spans="1:30" ht="15.75" customHeight="1">
      <c r="A869" s="361"/>
      <c r="B869" s="361"/>
      <c r="C869" s="361"/>
      <c r="D869" s="361"/>
      <c r="E869" s="361"/>
      <c r="F869" s="361"/>
      <c r="G869" s="361"/>
      <c r="H869" s="361"/>
      <c r="I869" s="361"/>
      <c r="J869" s="361"/>
      <c r="K869" s="37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  <c r="AA869" s="322"/>
      <c r="AB869" s="322"/>
      <c r="AC869" s="322"/>
      <c r="AD869" s="322"/>
    </row>
    <row r="870" spans="1:30" ht="15.75" customHeight="1">
      <c r="A870" s="361"/>
      <c r="B870" s="361"/>
      <c r="C870" s="361"/>
      <c r="D870" s="361"/>
      <c r="E870" s="361"/>
      <c r="F870" s="361"/>
      <c r="G870" s="361"/>
      <c r="H870" s="361"/>
      <c r="I870" s="361"/>
      <c r="J870" s="361"/>
      <c r="K870" s="37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  <c r="AA870" s="322"/>
      <c r="AB870" s="322"/>
      <c r="AC870" s="322"/>
      <c r="AD870" s="322"/>
    </row>
    <row r="871" spans="1:30" ht="15.75" customHeight="1">
      <c r="A871" s="361"/>
      <c r="B871" s="361"/>
      <c r="C871" s="361"/>
      <c r="D871" s="361"/>
      <c r="E871" s="361"/>
      <c r="F871" s="361"/>
      <c r="G871" s="361"/>
      <c r="H871" s="361"/>
      <c r="I871" s="361"/>
      <c r="J871" s="361"/>
      <c r="K871" s="37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  <c r="AA871" s="322"/>
      <c r="AB871" s="322"/>
      <c r="AC871" s="322"/>
      <c r="AD871" s="322"/>
    </row>
    <row r="872" spans="1:30" ht="15.75" customHeight="1">
      <c r="A872" s="361"/>
      <c r="B872" s="361"/>
      <c r="C872" s="361"/>
      <c r="D872" s="361"/>
      <c r="E872" s="361"/>
      <c r="F872" s="361"/>
      <c r="G872" s="361"/>
      <c r="H872" s="361"/>
      <c r="I872" s="361"/>
      <c r="J872" s="361"/>
      <c r="K872" s="37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  <c r="AA872" s="322"/>
      <c r="AB872" s="322"/>
      <c r="AC872" s="322"/>
      <c r="AD872" s="322"/>
    </row>
    <row r="873" spans="1:30" ht="15.75" customHeight="1">
      <c r="A873" s="361"/>
      <c r="B873" s="361"/>
      <c r="C873" s="361"/>
      <c r="D873" s="361"/>
      <c r="E873" s="361"/>
      <c r="F873" s="361"/>
      <c r="G873" s="361"/>
      <c r="H873" s="361"/>
      <c r="I873" s="361"/>
      <c r="J873" s="361"/>
      <c r="K873" s="37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  <c r="AA873" s="322"/>
      <c r="AB873" s="322"/>
      <c r="AC873" s="322"/>
      <c r="AD873" s="322"/>
    </row>
    <row r="874" spans="1:30" ht="15.75" customHeight="1">
      <c r="A874" s="361"/>
      <c r="B874" s="361"/>
      <c r="C874" s="361"/>
      <c r="D874" s="361"/>
      <c r="E874" s="361"/>
      <c r="F874" s="361"/>
      <c r="G874" s="361"/>
      <c r="H874" s="361"/>
      <c r="I874" s="361"/>
      <c r="J874" s="361"/>
      <c r="K874" s="37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  <c r="AA874" s="322"/>
      <c r="AB874" s="322"/>
      <c r="AC874" s="322"/>
      <c r="AD874" s="322"/>
    </row>
    <row r="875" spans="1:30" ht="15.75" customHeight="1">
      <c r="A875" s="361"/>
      <c r="B875" s="361"/>
      <c r="C875" s="361"/>
      <c r="D875" s="361"/>
      <c r="E875" s="361"/>
      <c r="F875" s="361"/>
      <c r="G875" s="361"/>
      <c r="H875" s="361"/>
      <c r="I875" s="361"/>
      <c r="J875" s="361"/>
      <c r="K875" s="37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  <c r="AA875" s="322"/>
      <c r="AB875" s="322"/>
      <c r="AC875" s="322"/>
      <c r="AD875" s="322"/>
    </row>
    <row r="876" spans="1:30" ht="15.75" customHeight="1">
      <c r="A876" s="361"/>
      <c r="B876" s="361"/>
      <c r="C876" s="361"/>
      <c r="D876" s="361"/>
      <c r="E876" s="361"/>
      <c r="F876" s="361"/>
      <c r="G876" s="361"/>
      <c r="H876" s="361"/>
      <c r="I876" s="361"/>
      <c r="J876" s="361"/>
      <c r="K876" s="37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  <c r="AA876" s="322"/>
      <c r="AB876" s="322"/>
      <c r="AC876" s="322"/>
      <c r="AD876" s="322"/>
    </row>
    <row r="877" spans="1:30" ht="15.75" customHeight="1">
      <c r="A877" s="361"/>
      <c r="B877" s="361"/>
      <c r="C877" s="361"/>
      <c r="D877" s="361"/>
      <c r="E877" s="361"/>
      <c r="F877" s="361"/>
      <c r="G877" s="361"/>
      <c r="H877" s="361"/>
      <c r="I877" s="361"/>
      <c r="J877" s="361"/>
      <c r="K877" s="37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  <c r="AA877" s="322"/>
      <c r="AB877" s="322"/>
      <c r="AC877" s="322"/>
      <c r="AD877" s="322"/>
    </row>
    <row r="878" spans="1:30" ht="15.75" customHeight="1">
      <c r="A878" s="361"/>
      <c r="B878" s="361"/>
      <c r="C878" s="361"/>
      <c r="D878" s="361"/>
      <c r="E878" s="361"/>
      <c r="F878" s="361"/>
      <c r="G878" s="361"/>
      <c r="H878" s="361"/>
      <c r="I878" s="361"/>
      <c r="J878" s="361"/>
      <c r="K878" s="37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  <c r="AA878" s="322"/>
      <c r="AB878" s="322"/>
      <c r="AC878" s="322"/>
      <c r="AD878" s="322"/>
    </row>
    <row r="879" spans="1:30" ht="15.75" customHeight="1">
      <c r="A879" s="361"/>
      <c r="B879" s="361"/>
      <c r="C879" s="361"/>
      <c r="D879" s="361"/>
      <c r="E879" s="361"/>
      <c r="F879" s="361"/>
      <c r="G879" s="361"/>
      <c r="H879" s="361"/>
      <c r="I879" s="361"/>
      <c r="J879" s="361"/>
      <c r="K879" s="37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  <c r="AA879" s="322"/>
      <c r="AB879" s="322"/>
      <c r="AC879" s="322"/>
      <c r="AD879" s="322"/>
    </row>
    <row r="880" spans="1:30" ht="15.75" customHeight="1">
      <c r="A880" s="361"/>
      <c r="B880" s="361"/>
      <c r="C880" s="361"/>
      <c r="D880" s="361"/>
      <c r="E880" s="361"/>
      <c r="F880" s="361"/>
      <c r="G880" s="361"/>
      <c r="H880" s="361"/>
      <c r="I880" s="361"/>
      <c r="J880" s="361"/>
      <c r="K880" s="37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  <c r="AA880" s="322"/>
      <c r="AB880" s="322"/>
      <c r="AC880" s="322"/>
      <c r="AD880" s="322"/>
    </row>
    <row r="881" spans="1:30" ht="15.75" customHeight="1">
      <c r="A881" s="361"/>
      <c r="B881" s="361"/>
      <c r="C881" s="361"/>
      <c r="D881" s="361"/>
      <c r="E881" s="361"/>
      <c r="F881" s="361"/>
      <c r="G881" s="361"/>
      <c r="H881" s="361"/>
      <c r="I881" s="361"/>
      <c r="J881" s="361"/>
      <c r="K881" s="37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  <c r="AA881" s="322"/>
      <c r="AB881" s="322"/>
      <c r="AC881" s="322"/>
      <c r="AD881" s="322"/>
    </row>
    <row r="882" spans="1:30" ht="15.75" customHeight="1">
      <c r="A882" s="361"/>
      <c r="B882" s="361"/>
      <c r="C882" s="361"/>
      <c r="D882" s="361"/>
      <c r="E882" s="361"/>
      <c r="F882" s="361"/>
      <c r="G882" s="361"/>
      <c r="H882" s="361"/>
      <c r="I882" s="361"/>
      <c r="J882" s="361"/>
      <c r="K882" s="37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  <c r="AA882" s="322"/>
      <c r="AB882" s="322"/>
      <c r="AC882" s="322"/>
      <c r="AD882" s="322"/>
    </row>
    <row r="883" spans="1:30" ht="15.75" customHeight="1">
      <c r="A883" s="361"/>
      <c r="B883" s="361"/>
      <c r="C883" s="361"/>
      <c r="D883" s="361"/>
      <c r="E883" s="361"/>
      <c r="F883" s="361"/>
      <c r="G883" s="361"/>
      <c r="H883" s="361"/>
      <c r="I883" s="361"/>
      <c r="J883" s="361"/>
      <c r="K883" s="37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  <c r="AA883" s="322"/>
      <c r="AB883" s="322"/>
      <c r="AC883" s="322"/>
      <c r="AD883" s="322"/>
    </row>
    <row r="884" spans="1:30" ht="15.75" customHeight="1">
      <c r="A884" s="361"/>
      <c r="B884" s="361"/>
      <c r="C884" s="361"/>
      <c r="D884" s="361"/>
      <c r="E884" s="361"/>
      <c r="F884" s="361"/>
      <c r="G884" s="361"/>
      <c r="H884" s="361"/>
      <c r="I884" s="361"/>
      <c r="J884" s="361"/>
      <c r="K884" s="37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  <c r="AA884" s="322"/>
      <c r="AB884" s="322"/>
      <c r="AC884" s="322"/>
      <c r="AD884" s="322"/>
    </row>
    <row r="885" spans="1:30" ht="15.75" customHeight="1">
      <c r="A885" s="361"/>
      <c r="B885" s="361"/>
      <c r="C885" s="361"/>
      <c r="D885" s="361"/>
      <c r="E885" s="361"/>
      <c r="F885" s="361"/>
      <c r="G885" s="361"/>
      <c r="H885" s="361"/>
      <c r="I885" s="361"/>
      <c r="J885" s="361"/>
      <c r="K885" s="37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  <c r="AA885" s="322"/>
      <c r="AB885" s="322"/>
      <c r="AC885" s="322"/>
      <c r="AD885" s="322"/>
    </row>
    <row r="886" spans="1:30" ht="15.75" customHeight="1">
      <c r="A886" s="361"/>
      <c r="B886" s="361"/>
      <c r="C886" s="361"/>
      <c r="D886" s="361"/>
      <c r="E886" s="361"/>
      <c r="F886" s="361"/>
      <c r="G886" s="361"/>
      <c r="H886" s="361"/>
      <c r="I886" s="361"/>
      <c r="J886" s="361"/>
      <c r="K886" s="37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  <c r="AA886" s="322"/>
      <c r="AB886" s="322"/>
      <c r="AC886" s="322"/>
      <c r="AD886" s="322"/>
    </row>
    <row r="887" spans="1:30" ht="15.75" customHeight="1">
      <c r="A887" s="361"/>
      <c r="B887" s="361"/>
      <c r="C887" s="361"/>
      <c r="D887" s="361"/>
      <c r="E887" s="361"/>
      <c r="F887" s="361"/>
      <c r="G887" s="361"/>
      <c r="H887" s="361"/>
      <c r="I887" s="361"/>
      <c r="J887" s="361"/>
      <c r="K887" s="37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  <c r="AA887" s="322"/>
      <c r="AB887" s="322"/>
      <c r="AC887" s="322"/>
      <c r="AD887" s="322"/>
    </row>
    <row r="888" spans="1:30" ht="15.75" customHeight="1">
      <c r="A888" s="361"/>
      <c r="B888" s="361"/>
      <c r="C888" s="361"/>
      <c r="D888" s="361"/>
      <c r="E888" s="361"/>
      <c r="F888" s="361"/>
      <c r="G888" s="361"/>
      <c r="H888" s="361"/>
      <c r="I888" s="361"/>
      <c r="J888" s="361"/>
      <c r="K888" s="37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  <c r="AA888" s="322"/>
      <c r="AB888" s="322"/>
      <c r="AC888" s="322"/>
      <c r="AD888" s="322"/>
    </row>
    <row r="889" spans="1:30" ht="15.75" customHeight="1">
      <c r="A889" s="361"/>
      <c r="B889" s="361"/>
      <c r="C889" s="361"/>
      <c r="D889" s="361"/>
      <c r="E889" s="361"/>
      <c r="F889" s="361"/>
      <c r="G889" s="361"/>
      <c r="H889" s="361"/>
      <c r="I889" s="361"/>
      <c r="J889" s="361"/>
      <c r="K889" s="37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  <c r="AA889" s="322"/>
      <c r="AB889" s="322"/>
      <c r="AC889" s="322"/>
      <c r="AD889" s="322"/>
    </row>
    <row r="890" spans="1:30" ht="15.75" customHeight="1">
      <c r="A890" s="361"/>
      <c r="B890" s="361"/>
      <c r="C890" s="361"/>
      <c r="D890" s="361"/>
      <c r="E890" s="361"/>
      <c r="F890" s="361"/>
      <c r="G890" s="361"/>
      <c r="H890" s="361"/>
      <c r="I890" s="361"/>
      <c r="J890" s="361"/>
      <c r="K890" s="37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  <c r="AA890" s="322"/>
      <c r="AB890" s="322"/>
      <c r="AC890" s="322"/>
      <c r="AD890" s="322"/>
    </row>
    <row r="891" spans="1:30" ht="15.75" customHeight="1">
      <c r="A891" s="361"/>
      <c r="B891" s="361"/>
      <c r="C891" s="361"/>
      <c r="D891" s="361"/>
      <c r="E891" s="361"/>
      <c r="F891" s="361"/>
      <c r="G891" s="361"/>
      <c r="H891" s="361"/>
      <c r="I891" s="361"/>
      <c r="J891" s="361"/>
      <c r="K891" s="37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  <c r="AA891" s="322"/>
      <c r="AB891" s="322"/>
      <c r="AC891" s="322"/>
      <c r="AD891" s="322"/>
    </row>
    <row r="892" spans="1:30" ht="15.75" customHeight="1">
      <c r="A892" s="361"/>
      <c r="B892" s="361"/>
      <c r="C892" s="361"/>
      <c r="D892" s="361"/>
      <c r="E892" s="361"/>
      <c r="F892" s="361"/>
      <c r="G892" s="361"/>
      <c r="H892" s="361"/>
      <c r="I892" s="361"/>
      <c r="J892" s="361"/>
      <c r="K892" s="37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  <c r="AA892" s="322"/>
      <c r="AB892" s="322"/>
      <c r="AC892" s="322"/>
      <c r="AD892" s="322"/>
    </row>
    <row r="893" spans="1:30" ht="15.75" customHeight="1">
      <c r="A893" s="361"/>
      <c r="B893" s="361"/>
      <c r="C893" s="361"/>
      <c r="D893" s="361"/>
      <c r="E893" s="361"/>
      <c r="F893" s="361"/>
      <c r="G893" s="361"/>
      <c r="H893" s="361"/>
      <c r="I893" s="361"/>
      <c r="J893" s="361"/>
      <c r="K893" s="37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  <c r="AA893" s="322"/>
      <c r="AB893" s="322"/>
      <c r="AC893" s="322"/>
      <c r="AD893" s="322"/>
    </row>
    <row r="894" spans="1:30" ht="15.75" customHeight="1">
      <c r="A894" s="361"/>
      <c r="B894" s="361"/>
      <c r="C894" s="361"/>
      <c r="D894" s="361"/>
      <c r="E894" s="361"/>
      <c r="F894" s="361"/>
      <c r="G894" s="361"/>
      <c r="H894" s="361"/>
      <c r="I894" s="361"/>
      <c r="J894" s="361"/>
      <c r="K894" s="37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  <c r="AA894" s="322"/>
      <c r="AB894" s="322"/>
      <c r="AC894" s="322"/>
      <c r="AD894" s="322"/>
    </row>
    <row r="895" spans="1:30" ht="15.75" customHeight="1">
      <c r="A895" s="361"/>
      <c r="B895" s="361"/>
      <c r="C895" s="361"/>
      <c r="D895" s="361"/>
      <c r="E895" s="361"/>
      <c r="F895" s="361"/>
      <c r="G895" s="361"/>
      <c r="H895" s="361"/>
      <c r="I895" s="361"/>
      <c r="J895" s="361"/>
      <c r="K895" s="37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  <c r="AA895" s="322"/>
      <c r="AB895" s="322"/>
      <c r="AC895" s="322"/>
      <c r="AD895" s="322"/>
    </row>
    <row r="896" spans="1:30" ht="15.75" customHeight="1">
      <c r="A896" s="361"/>
      <c r="B896" s="361"/>
      <c r="C896" s="361"/>
      <c r="D896" s="361"/>
      <c r="E896" s="361"/>
      <c r="F896" s="361"/>
      <c r="G896" s="361"/>
      <c r="H896" s="361"/>
      <c r="I896" s="361"/>
      <c r="J896" s="361"/>
      <c r="K896" s="37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  <c r="AA896" s="322"/>
      <c r="AB896" s="322"/>
      <c r="AC896" s="322"/>
      <c r="AD896" s="322"/>
    </row>
    <row r="897" spans="1:30" ht="15.75" customHeight="1">
      <c r="A897" s="361"/>
      <c r="B897" s="361"/>
      <c r="C897" s="361"/>
      <c r="D897" s="361"/>
      <c r="E897" s="361"/>
      <c r="F897" s="361"/>
      <c r="G897" s="361"/>
      <c r="H897" s="361"/>
      <c r="I897" s="361"/>
      <c r="J897" s="361"/>
      <c r="K897" s="37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  <c r="AA897" s="322"/>
      <c r="AB897" s="322"/>
      <c r="AC897" s="322"/>
      <c r="AD897" s="322"/>
    </row>
    <row r="898" spans="1:30" ht="15.75" customHeight="1">
      <c r="A898" s="361"/>
      <c r="B898" s="361"/>
      <c r="C898" s="361"/>
      <c r="D898" s="361"/>
      <c r="E898" s="361"/>
      <c r="F898" s="361"/>
      <c r="G898" s="361"/>
      <c r="H898" s="361"/>
      <c r="I898" s="361"/>
      <c r="J898" s="361"/>
      <c r="K898" s="37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  <c r="AA898" s="322"/>
      <c r="AB898" s="322"/>
      <c r="AC898" s="322"/>
      <c r="AD898" s="322"/>
    </row>
    <row r="899" spans="1:30" ht="15.75" customHeight="1">
      <c r="A899" s="361"/>
      <c r="B899" s="361"/>
      <c r="C899" s="361"/>
      <c r="D899" s="361"/>
      <c r="E899" s="361"/>
      <c r="F899" s="361"/>
      <c r="G899" s="361"/>
      <c r="H899" s="361"/>
      <c r="I899" s="361"/>
      <c r="J899" s="361"/>
      <c r="K899" s="37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  <c r="AA899" s="322"/>
      <c r="AB899" s="322"/>
      <c r="AC899" s="322"/>
      <c r="AD899" s="322"/>
    </row>
    <row r="900" spans="1:30" ht="15.75" customHeight="1">
      <c r="A900" s="361"/>
      <c r="B900" s="361"/>
      <c r="C900" s="361"/>
      <c r="D900" s="361"/>
      <c r="E900" s="361"/>
      <c r="F900" s="361"/>
      <c r="G900" s="361"/>
      <c r="H900" s="361"/>
      <c r="I900" s="361"/>
      <c r="J900" s="361"/>
      <c r="K900" s="37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  <c r="AA900" s="322"/>
      <c r="AB900" s="322"/>
      <c r="AC900" s="322"/>
      <c r="AD900" s="322"/>
    </row>
    <row r="901" spans="1:30" ht="15.75" customHeight="1">
      <c r="A901" s="361"/>
      <c r="B901" s="361"/>
      <c r="C901" s="361"/>
      <c r="D901" s="361"/>
      <c r="E901" s="361"/>
      <c r="F901" s="361"/>
      <c r="G901" s="361"/>
      <c r="H901" s="361"/>
      <c r="I901" s="361"/>
      <c r="J901" s="361"/>
      <c r="K901" s="37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  <c r="AA901" s="322"/>
      <c r="AB901" s="322"/>
      <c r="AC901" s="322"/>
      <c r="AD901" s="322"/>
    </row>
    <row r="902" spans="1:30" ht="15.75" customHeight="1">
      <c r="A902" s="361"/>
      <c r="B902" s="361"/>
      <c r="C902" s="361"/>
      <c r="D902" s="361"/>
      <c r="E902" s="361"/>
      <c r="F902" s="361"/>
      <c r="G902" s="361"/>
      <c r="H902" s="361"/>
      <c r="I902" s="361"/>
      <c r="J902" s="361"/>
      <c r="K902" s="37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  <c r="AA902" s="322"/>
      <c r="AB902" s="322"/>
      <c r="AC902" s="322"/>
      <c r="AD902" s="322"/>
    </row>
    <row r="903" spans="1:30" ht="15.75" customHeight="1">
      <c r="A903" s="361"/>
      <c r="B903" s="361"/>
      <c r="C903" s="361"/>
      <c r="D903" s="361"/>
      <c r="E903" s="361"/>
      <c r="F903" s="361"/>
      <c r="G903" s="361"/>
      <c r="H903" s="361"/>
      <c r="I903" s="361"/>
      <c r="J903" s="361"/>
      <c r="K903" s="37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  <c r="AA903" s="322"/>
      <c r="AB903" s="322"/>
      <c r="AC903" s="322"/>
      <c r="AD903" s="322"/>
    </row>
    <row r="904" spans="1:30" ht="15.75" customHeight="1">
      <c r="A904" s="361"/>
      <c r="B904" s="361"/>
      <c r="C904" s="361"/>
      <c r="D904" s="361"/>
      <c r="E904" s="361"/>
      <c r="F904" s="361"/>
      <c r="G904" s="361"/>
      <c r="H904" s="361"/>
      <c r="I904" s="361"/>
      <c r="J904" s="361"/>
      <c r="K904" s="37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  <c r="AA904" s="322"/>
      <c r="AB904" s="322"/>
      <c r="AC904" s="322"/>
      <c r="AD904" s="322"/>
    </row>
    <row r="905" spans="1:30" ht="15.75" customHeight="1">
      <c r="A905" s="361"/>
      <c r="B905" s="361"/>
      <c r="C905" s="361"/>
      <c r="D905" s="361"/>
      <c r="E905" s="361"/>
      <c r="F905" s="361"/>
      <c r="G905" s="361"/>
      <c r="H905" s="361"/>
      <c r="I905" s="361"/>
      <c r="J905" s="361"/>
      <c r="K905" s="37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  <c r="AA905" s="322"/>
      <c r="AB905" s="322"/>
      <c r="AC905" s="322"/>
      <c r="AD905" s="322"/>
    </row>
    <row r="906" spans="1:30" ht="15.75" customHeight="1">
      <c r="A906" s="361"/>
      <c r="B906" s="361"/>
      <c r="C906" s="361"/>
      <c r="D906" s="361"/>
      <c r="E906" s="361"/>
      <c r="F906" s="361"/>
      <c r="G906" s="361"/>
      <c r="H906" s="361"/>
      <c r="I906" s="361"/>
      <c r="J906" s="361"/>
      <c r="K906" s="37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  <c r="AA906" s="322"/>
      <c r="AB906" s="322"/>
      <c r="AC906" s="322"/>
      <c r="AD906" s="322"/>
    </row>
    <row r="907" spans="1:30" ht="15.75" customHeight="1">
      <c r="A907" s="361"/>
      <c r="B907" s="361"/>
      <c r="C907" s="361"/>
      <c r="D907" s="361"/>
      <c r="E907" s="361"/>
      <c r="F907" s="361"/>
      <c r="G907" s="361"/>
      <c r="H907" s="361"/>
      <c r="I907" s="361"/>
      <c r="J907" s="361"/>
      <c r="K907" s="37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  <c r="AA907" s="322"/>
      <c r="AB907" s="322"/>
      <c r="AC907" s="322"/>
      <c r="AD907" s="322"/>
    </row>
    <row r="908" spans="1:30" ht="15.75" customHeight="1">
      <c r="A908" s="361"/>
      <c r="B908" s="361"/>
      <c r="C908" s="361"/>
      <c r="D908" s="361"/>
      <c r="E908" s="361"/>
      <c r="F908" s="361"/>
      <c r="G908" s="361"/>
      <c r="H908" s="361"/>
      <c r="I908" s="361"/>
      <c r="J908" s="361"/>
      <c r="K908" s="37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  <c r="AA908" s="322"/>
      <c r="AB908" s="322"/>
      <c r="AC908" s="322"/>
      <c r="AD908" s="322"/>
    </row>
    <row r="909" spans="1:30" ht="15.75" customHeight="1">
      <c r="A909" s="361"/>
      <c r="B909" s="361"/>
      <c r="C909" s="361"/>
      <c r="D909" s="361"/>
      <c r="E909" s="361"/>
      <c r="F909" s="361"/>
      <c r="G909" s="361"/>
      <c r="H909" s="361"/>
      <c r="I909" s="361"/>
      <c r="J909" s="361"/>
      <c r="K909" s="37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  <c r="AA909" s="322"/>
      <c r="AB909" s="322"/>
      <c r="AC909" s="322"/>
      <c r="AD909" s="322"/>
    </row>
    <row r="910" spans="1:30" ht="15.75" customHeight="1">
      <c r="A910" s="361"/>
      <c r="B910" s="361"/>
      <c r="C910" s="361"/>
      <c r="D910" s="361"/>
      <c r="E910" s="361"/>
      <c r="F910" s="361"/>
      <c r="G910" s="361"/>
      <c r="H910" s="361"/>
      <c r="I910" s="361"/>
      <c r="J910" s="361"/>
      <c r="K910" s="37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  <c r="AA910" s="322"/>
      <c r="AB910" s="322"/>
      <c r="AC910" s="322"/>
      <c r="AD910" s="322"/>
    </row>
    <row r="911" spans="1:30" ht="15.75" customHeight="1">
      <c r="A911" s="361"/>
      <c r="B911" s="361"/>
      <c r="C911" s="361"/>
      <c r="D911" s="361"/>
      <c r="E911" s="361"/>
      <c r="F911" s="361"/>
      <c r="G911" s="361"/>
      <c r="H911" s="361"/>
      <c r="I911" s="361"/>
      <c r="J911" s="361"/>
      <c r="K911" s="37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  <c r="AA911" s="322"/>
      <c r="AB911" s="322"/>
      <c r="AC911" s="322"/>
      <c r="AD911" s="322"/>
    </row>
    <row r="912" spans="1:30" ht="15.75" customHeight="1">
      <c r="A912" s="361"/>
      <c r="B912" s="361"/>
      <c r="C912" s="361"/>
      <c r="D912" s="361"/>
      <c r="E912" s="361"/>
      <c r="F912" s="361"/>
      <c r="G912" s="361"/>
      <c r="H912" s="361"/>
      <c r="I912" s="361"/>
      <c r="J912" s="361"/>
      <c r="K912" s="37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  <c r="AA912" s="322"/>
      <c r="AB912" s="322"/>
      <c r="AC912" s="322"/>
      <c r="AD912" s="322"/>
    </row>
    <row r="913" spans="1:30" ht="15.75" customHeight="1">
      <c r="A913" s="361"/>
      <c r="B913" s="361"/>
      <c r="C913" s="361"/>
      <c r="D913" s="361"/>
      <c r="E913" s="361"/>
      <c r="F913" s="361"/>
      <c r="G913" s="361"/>
      <c r="H913" s="361"/>
      <c r="I913" s="361"/>
      <c r="J913" s="361"/>
      <c r="K913" s="37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  <c r="AA913" s="322"/>
      <c r="AB913" s="322"/>
      <c r="AC913" s="322"/>
      <c r="AD913" s="322"/>
    </row>
    <row r="914" spans="1:30" ht="15.75" customHeight="1">
      <c r="A914" s="361"/>
      <c r="B914" s="361"/>
      <c r="C914" s="361"/>
      <c r="D914" s="361"/>
      <c r="E914" s="361"/>
      <c r="F914" s="361"/>
      <c r="G914" s="361"/>
      <c r="H914" s="361"/>
      <c r="I914" s="361"/>
      <c r="J914" s="361"/>
      <c r="K914" s="37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  <c r="AA914" s="322"/>
      <c r="AB914" s="322"/>
      <c r="AC914" s="322"/>
      <c r="AD914" s="322"/>
    </row>
    <row r="915" spans="1:30" ht="15.75" customHeight="1">
      <c r="A915" s="361"/>
      <c r="B915" s="361"/>
      <c r="C915" s="361"/>
      <c r="D915" s="361"/>
      <c r="E915" s="361"/>
      <c r="F915" s="361"/>
      <c r="G915" s="361"/>
      <c r="H915" s="361"/>
      <c r="I915" s="361"/>
      <c r="J915" s="361"/>
      <c r="K915" s="37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  <c r="AA915" s="322"/>
      <c r="AB915" s="322"/>
      <c r="AC915" s="322"/>
      <c r="AD915" s="322"/>
    </row>
    <row r="916" spans="1:30" ht="15.75" customHeight="1">
      <c r="A916" s="361"/>
      <c r="B916" s="361"/>
      <c r="C916" s="361"/>
      <c r="D916" s="361"/>
      <c r="E916" s="361"/>
      <c r="F916" s="361"/>
      <c r="G916" s="361"/>
      <c r="H916" s="361"/>
      <c r="I916" s="361"/>
      <c r="J916" s="361"/>
      <c r="K916" s="37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  <c r="AA916" s="322"/>
      <c r="AB916" s="322"/>
      <c r="AC916" s="322"/>
      <c r="AD916" s="322"/>
    </row>
    <row r="917" spans="1:30" ht="15.75" customHeight="1">
      <c r="A917" s="361"/>
      <c r="B917" s="361"/>
      <c r="C917" s="361"/>
      <c r="D917" s="361"/>
      <c r="E917" s="361"/>
      <c r="F917" s="361"/>
      <c r="G917" s="361"/>
      <c r="H917" s="361"/>
      <c r="I917" s="361"/>
      <c r="J917" s="361"/>
      <c r="K917" s="37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  <c r="AA917" s="322"/>
      <c r="AB917" s="322"/>
      <c r="AC917" s="322"/>
      <c r="AD917" s="322"/>
    </row>
    <row r="918" spans="1:30" ht="15.75" customHeight="1">
      <c r="A918" s="361"/>
      <c r="B918" s="361"/>
      <c r="C918" s="361"/>
      <c r="D918" s="361"/>
      <c r="E918" s="361"/>
      <c r="F918" s="361"/>
      <c r="G918" s="361"/>
      <c r="H918" s="361"/>
      <c r="I918" s="361"/>
      <c r="J918" s="361"/>
      <c r="K918" s="37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  <c r="AA918" s="322"/>
      <c r="AB918" s="322"/>
      <c r="AC918" s="322"/>
      <c r="AD918" s="322"/>
    </row>
    <row r="919" spans="1:30" ht="15.75" customHeight="1">
      <c r="A919" s="361"/>
      <c r="B919" s="361"/>
      <c r="C919" s="361"/>
      <c r="D919" s="361"/>
      <c r="E919" s="361"/>
      <c r="F919" s="361"/>
      <c r="G919" s="361"/>
      <c r="H919" s="361"/>
      <c r="I919" s="361"/>
      <c r="J919" s="361"/>
      <c r="K919" s="37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  <c r="AA919" s="322"/>
      <c r="AB919" s="322"/>
      <c r="AC919" s="322"/>
      <c r="AD919" s="322"/>
    </row>
    <row r="920" spans="1:30" ht="15.75" customHeight="1">
      <c r="A920" s="361"/>
      <c r="B920" s="361"/>
      <c r="C920" s="361"/>
      <c r="D920" s="361"/>
      <c r="E920" s="361"/>
      <c r="F920" s="361"/>
      <c r="G920" s="361"/>
      <c r="H920" s="361"/>
      <c r="I920" s="361"/>
      <c r="J920" s="361"/>
      <c r="K920" s="37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  <c r="AA920" s="322"/>
      <c r="AB920" s="322"/>
      <c r="AC920" s="322"/>
      <c r="AD920" s="322"/>
    </row>
    <row r="921" spans="1:30" ht="15.75" customHeight="1">
      <c r="A921" s="361"/>
      <c r="B921" s="361"/>
      <c r="C921" s="361"/>
      <c r="D921" s="361"/>
      <c r="E921" s="361"/>
      <c r="F921" s="361"/>
      <c r="G921" s="361"/>
      <c r="H921" s="361"/>
      <c r="I921" s="361"/>
      <c r="J921" s="361"/>
      <c r="K921" s="37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  <c r="AA921" s="322"/>
      <c r="AB921" s="322"/>
      <c r="AC921" s="322"/>
      <c r="AD921" s="322"/>
    </row>
    <row r="922" spans="1:30" ht="15.75" customHeight="1">
      <c r="A922" s="361"/>
      <c r="B922" s="361"/>
      <c r="C922" s="361"/>
      <c r="D922" s="361"/>
      <c r="E922" s="361"/>
      <c r="F922" s="361"/>
      <c r="G922" s="361"/>
      <c r="H922" s="361"/>
      <c r="I922" s="361"/>
      <c r="J922" s="361"/>
      <c r="K922" s="37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  <c r="AA922" s="322"/>
      <c r="AB922" s="322"/>
      <c r="AC922" s="322"/>
      <c r="AD922" s="322"/>
    </row>
    <row r="923" spans="1:30" ht="15.75" customHeight="1">
      <c r="A923" s="361"/>
      <c r="B923" s="361"/>
      <c r="C923" s="361"/>
      <c r="D923" s="361"/>
      <c r="E923" s="361"/>
      <c r="F923" s="361"/>
      <c r="G923" s="361"/>
      <c r="H923" s="361"/>
      <c r="I923" s="361"/>
      <c r="J923" s="361"/>
      <c r="K923" s="37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  <c r="AA923" s="322"/>
      <c r="AB923" s="322"/>
      <c r="AC923" s="322"/>
      <c r="AD923" s="322"/>
    </row>
    <row r="924" spans="1:30" ht="15.75" customHeight="1">
      <c r="A924" s="361"/>
      <c r="B924" s="361"/>
      <c r="C924" s="361"/>
      <c r="D924" s="361"/>
      <c r="E924" s="361"/>
      <c r="F924" s="361"/>
      <c r="G924" s="361"/>
      <c r="H924" s="361"/>
      <c r="I924" s="361"/>
      <c r="J924" s="361"/>
      <c r="K924" s="37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  <c r="AA924" s="322"/>
      <c r="AB924" s="322"/>
      <c r="AC924" s="322"/>
      <c r="AD924" s="322"/>
    </row>
    <row r="925" spans="1:30" ht="15.75" customHeight="1">
      <c r="A925" s="361"/>
      <c r="B925" s="361"/>
      <c r="C925" s="361"/>
      <c r="D925" s="361"/>
      <c r="E925" s="361"/>
      <c r="F925" s="361"/>
      <c r="G925" s="361"/>
      <c r="H925" s="361"/>
      <c r="I925" s="361"/>
      <c r="J925" s="361"/>
      <c r="K925" s="37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  <c r="AA925" s="322"/>
      <c r="AB925" s="322"/>
      <c r="AC925" s="322"/>
      <c r="AD925" s="322"/>
    </row>
    <row r="926" spans="1:30" ht="15.75" customHeight="1">
      <c r="A926" s="361"/>
      <c r="B926" s="361"/>
      <c r="C926" s="361"/>
      <c r="D926" s="361"/>
      <c r="E926" s="361"/>
      <c r="F926" s="361"/>
      <c r="G926" s="361"/>
      <c r="H926" s="361"/>
      <c r="I926" s="361"/>
      <c r="J926" s="361"/>
      <c r="K926" s="37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  <c r="AA926" s="322"/>
      <c r="AB926" s="322"/>
      <c r="AC926" s="322"/>
      <c r="AD926" s="322"/>
    </row>
    <row r="927" spans="1:30" ht="15.75" customHeight="1">
      <c r="A927" s="361"/>
      <c r="B927" s="361"/>
      <c r="C927" s="361"/>
      <c r="D927" s="361"/>
      <c r="E927" s="361"/>
      <c r="F927" s="361"/>
      <c r="G927" s="361"/>
      <c r="H927" s="361"/>
      <c r="I927" s="361"/>
      <c r="J927" s="361"/>
      <c r="K927" s="37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  <c r="AA927" s="322"/>
      <c r="AB927" s="322"/>
      <c r="AC927" s="322"/>
      <c r="AD927" s="322"/>
    </row>
    <row r="928" spans="1:30" ht="15.75" customHeight="1">
      <c r="A928" s="361"/>
      <c r="B928" s="361"/>
      <c r="C928" s="361"/>
      <c r="D928" s="361"/>
      <c r="E928" s="361"/>
      <c r="F928" s="361"/>
      <c r="G928" s="361"/>
      <c r="H928" s="361"/>
      <c r="I928" s="361"/>
      <c r="J928" s="361"/>
      <c r="K928" s="37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  <c r="AA928" s="322"/>
      <c r="AB928" s="322"/>
      <c r="AC928" s="322"/>
      <c r="AD928" s="322"/>
    </row>
    <row r="929" spans="1:30" ht="15.75" customHeight="1">
      <c r="A929" s="361"/>
      <c r="B929" s="361"/>
      <c r="C929" s="361"/>
      <c r="D929" s="361"/>
      <c r="E929" s="361"/>
      <c r="F929" s="361"/>
      <c r="G929" s="361"/>
      <c r="H929" s="361"/>
      <c r="I929" s="361"/>
      <c r="J929" s="361"/>
      <c r="K929" s="37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  <c r="AA929" s="322"/>
      <c r="AB929" s="322"/>
      <c r="AC929" s="322"/>
      <c r="AD929" s="322"/>
    </row>
    <row r="930" spans="1:30" ht="15.75" customHeight="1">
      <c r="A930" s="361"/>
      <c r="B930" s="361"/>
      <c r="C930" s="361"/>
      <c r="D930" s="361"/>
      <c r="E930" s="361"/>
      <c r="F930" s="361"/>
      <c r="G930" s="361"/>
      <c r="H930" s="361"/>
      <c r="I930" s="361"/>
      <c r="J930" s="361"/>
      <c r="K930" s="37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  <c r="AA930" s="322"/>
      <c r="AB930" s="322"/>
      <c r="AC930" s="322"/>
      <c r="AD930" s="322"/>
    </row>
    <row r="931" spans="1:30" ht="15.75" customHeight="1">
      <c r="A931" s="361"/>
      <c r="B931" s="361"/>
      <c r="C931" s="361"/>
      <c r="D931" s="361"/>
      <c r="E931" s="361"/>
      <c r="F931" s="361"/>
      <c r="G931" s="361"/>
      <c r="H931" s="361"/>
      <c r="I931" s="361"/>
      <c r="J931" s="361"/>
      <c r="K931" s="37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  <c r="AA931" s="322"/>
      <c r="AB931" s="322"/>
      <c r="AC931" s="322"/>
      <c r="AD931" s="322"/>
    </row>
    <row r="932" spans="1:30" ht="15.75" customHeight="1">
      <c r="A932" s="361"/>
      <c r="B932" s="361"/>
      <c r="C932" s="361"/>
      <c r="D932" s="361"/>
      <c r="E932" s="361"/>
      <c r="F932" s="361"/>
      <c r="G932" s="361"/>
      <c r="H932" s="361"/>
      <c r="I932" s="361"/>
      <c r="J932" s="361"/>
      <c r="K932" s="37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  <c r="AA932" s="322"/>
      <c r="AB932" s="322"/>
      <c r="AC932" s="322"/>
      <c r="AD932" s="322"/>
    </row>
    <row r="933" spans="1:30" ht="15.75" customHeight="1">
      <c r="A933" s="361"/>
      <c r="B933" s="361"/>
      <c r="C933" s="361"/>
      <c r="D933" s="361"/>
      <c r="E933" s="361"/>
      <c r="F933" s="361"/>
      <c r="G933" s="361"/>
      <c r="H933" s="361"/>
      <c r="I933" s="361"/>
      <c r="J933" s="361"/>
      <c r="K933" s="37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  <c r="AA933" s="322"/>
      <c r="AB933" s="322"/>
      <c r="AC933" s="322"/>
      <c r="AD933" s="322"/>
    </row>
    <row r="934" spans="1:30" ht="15.75" customHeight="1">
      <c r="A934" s="361"/>
      <c r="B934" s="361"/>
      <c r="C934" s="361"/>
      <c r="D934" s="361"/>
      <c r="E934" s="361"/>
      <c r="F934" s="361"/>
      <c r="G934" s="361"/>
      <c r="H934" s="361"/>
      <c r="I934" s="361"/>
      <c r="J934" s="361"/>
      <c r="K934" s="37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  <c r="AA934" s="322"/>
      <c r="AB934" s="322"/>
      <c r="AC934" s="322"/>
      <c r="AD934" s="322"/>
    </row>
    <row r="935" spans="1:30" ht="15.75" customHeight="1">
      <c r="A935" s="361"/>
      <c r="B935" s="361"/>
      <c r="C935" s="361"/>
      <c r="D935" s="361"/>
      <c r="E935" s="361"/>
      <c r="F935" s="361"/>
      <c r="G935" s="361"/>
      <c r="H935" s="361"/>
      <c r="I935" s="361"/>
      <c r="J935" s="361"/>
      <c r="K935" s="37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  <c r="AA935" s="322"/>
      <c r="AB935" s="322"/>
      <c r="AC935" s="322"/>
      <c r="AD935" s="322"/>
    </row>
    <row r="936" spans="1:30" ht="15.75" customHeight="1">
      <c r="A936" s="361"/>
      <c r="B936" s="361"/>
      <c r="C936" s="361"/>
      <c r="D936" s="361"/>
      <c r="E936" s="361"/>
      <c r="F936" s="361"/>
      <c r="G936" s="361"/>
      <c r="H936" s="361"/>
      <c r="I936" s="361"/>
      <c r="J936" s="361"/>
      <c r="K936" s="37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  <c r="AA936" s="322"/>
      <c r="AB936" s="322"/>
      <c r="AC936" s="322"/>
      <c r="AD936" s="322"/>
    </row>
    <row r="937" spans="1:30" ht="15.75" customHeight="1">
      <c r="A937" s="361"/>
      <c r="B937" s="361"/>
      <c r="C937" s="361"/>
      <c r="D937" s="361"/>
      <c r="E937" s="361"/>
      <c r="F937" s="361"/>
      <c r="G937" s="361"/>
      <c r="H937" s="361"/>
      <c r="I937" s="361"/>
      <c r="J937" s="361"/>
      <c r="K937" s="37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  <c r="AA937" s="322"/>
      <c r="AB937" s="322"/>
      <c r="AC937" s="322"/>
      <c r="AD937" s="322"/>
    </row>
    <row r="938" spans="1:30" ht="15.75" customHeight="1">
      <c r="A938" s="361"/>
      <c r="B938" s="361"/>
      <c r="C938" s="361"/>
      <c r="D938" s="361"/>
      <c r="E938" s="361"/>
      <c r="F938" s="361"/>
      <c r="G938" s="361"/>
      <c r="H938" s="361"/>
      <c r="I938" s="361"/>
      <c r="J938" s="361"/>
      <c r="K938" s="37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  <c r="AA938" s="322"/>
      <c r="AB938" s="322"/>
      <c r="AC938" s="322"/>
      <c r="AD938" s="322"/>
    </row>
    <row r="939" spans="1:30" ht="15.75" customHeight="1">
      <c r="A939" s="361"/>
      <c r="B939" s="361"/>
      <c r="C939" s="361"/>
      <c r="D939" s="361"/>
      <c r="E939" s="361"/>
      <c r="F939" s="361"/>
      <c r="G939" s="361"/>
      <c r="H939" s="361"/>
      <c r="I939" s="361"/>
      <c r="J939" s="361"/>
      <c r="K939" s="37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  <c r="AA939" s="322"/>
      <c r="AB939" s="322"/>
      <c r="AC939" s="322"/>
      <c r="AD939" s="322"/>
    </row>
    <row r="940" spans="1:30" ht="15.75" customHeight="1">
      <c r="A940" s="361"/>
      <c r="B940" s="361"/>
      <c r="C940" s="361"/>
      <c r="D940" s="361"/>
      <c r="E940" s="361"/>
      <c r="F940" s="361"/>
      <c r="G940" s="361"/>
      <c r="H940" s="361"/>
      <c r="I940" s="361"/>
      <c r="J940" s="361"/>
      <c r="K940" s="37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  <c r="AA940" s="322"/>
      <c r="AB940" s="322"/>
      <c r="AC940" s="322"/>
      <c r="AD940" s="322"/>
    </row>
    <row r="941" spans="1:30" ht="15.75" customHeight="1">
      <c r="A941" s="361"/>
      <c r="B941" s="361"/>
      <c r="C941" s="361"/>
      <c r="D941" s="361"/>
      <c r="E941" s="361"/>
      <c r="F941" s="361"/>
      <c r="G941" s="361"/>
      <c r="H941" s="361"/>
      <c r="I941" s="361"/>
      <c r="J941" s="361"/>
      <c r="K941" s="37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  <c r="AA941" s="322"/>
      <c r="AB941" s="322"/>
      <c r="AC941" s="322"/>
      <c r="AD941" s="322"/>
    </row>
    <row r="942" spans="1:30" ht="15.75" customHeight="1">
      <c r="A942" s="361"/>
      <c r="B942" s="361"/>
      <c r="C942" s="361"/>
      <c r="D942" s="361"/>
      <c r="E942" s="361"/>
      <c r="F942" s="361"/>
      <c r="G942" s="361"/>
      <c r="H942" s="361"/>
      <c r="I942" s="361"/>
      <c r="J942" s="361"/>
      <c r="K942" s="37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  <c r="AA942" s="322"/>
      <c r="AB942" s="322"/>
      <c r="AC942" s="322"/>
      <c r="AD942" s="322"/>
    </row>
    <row r="943" spans="1:30" ht="15.75" customHeight="1">
      <c r="A943" s="361"/>
      <c r="B943" s="361"/>
      <c r="C943" s="361"/>
      <c r="D943" s="361"/>
      <c r="E943" s="361"/>
      <c r="F943" s="361"/>
      <c r="G943" s="361"/>
      <c r="H943" s="361"/>
      <c r="I943" s="361"/>
      <c r="J943" s="361"/>
      <c r="K943" s="37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  <c r="AA943" s="322"/>
      <c r="AB943" s="322"/>
      <c r="AC943" s="322"/>
      <c r="AD943" s="322"/>
    </row>
    <row r="944" spans="1:30" ht="15.75" customHeight="1">
      <c r="A944" s="361"/>
      <c r="B944" s="361"/>
      <c r="C944" s="361"/>
      <c r="D944" s="361"/>
      <c r="E944" s="361"/>
      <c r="F944" s="361"/>
      <c r="G944" s="361"/>
      <c r="H944" s="361"/>
      <c r="I944" s="361"/>
      <c r="J944" s="361"/>
      <c r="K944" s="37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  <c r="AA944" s="322"/>
      <c r="AB944" s="322"/>
      <c r="AC944" s="322"/>
      <c r="AD944" s="322"/>
    </row>
    <row r="945" spans="11:11" ht="13.2">
      <c r="K945" s="57"/>
    </row>
    <row r="946" spans="11:11" ht="13.2">
      <c r="K946" s="57"/>
    </row>
    <row r="947" spans="11:11" ht="13.2">
      <c r="K947" s="57"/>
    </row>
    <row r="948" spans="11:11" ht="13.2">
      <c r="K948" s="57"/>
    </row>
    <row r="949" spans="11:11" ht="13.2">
      <c r="K949" s="57"/>
    </row>
    <row r="950" spans="11:11" ht="13.2">
      <c r="K950" s="57"/>
    </row>
    <row r="951" spans="11:11" ht="13.2">
      <c r="K951" s="57"/>
    </row>
    <row r="952" spans="11:11" ht="13.2">
      <c r="K952" s="57"/>
    </row>
    <row r="953" spans="11:11" ht="13.2">
      <c r="K953" s="57"/>
    </row>
    <row r="954" spans="11:11" ht="13.2">
      <c r="K954" s="57"/>
    </row>
    <row r="955" spans="11:11" ht="13.2">
      <c r="K955" s="57"/>
    </row>
    <row r="956" spans="11:11" ht="13.2">
      <c r="K956" s="57"/>
    </row>
    <row r="957" spans="11:11" ht="13.2">
      <c r="K957" s="57"/>
    </row>
    <row r="958" spans="11:11" ht="13.2">
      <c r="K958" s="57"/>
    </row>
    <row r="959" spans="11:11" ht="13.2">
      <c r="K959" s="57"/>
    </row>
    <row r="960" spans="11:11" ht="13.2">
      <c r="K960" s="57"/>
    </row>
    <row r="961" spans="11:11" ht="13.2">
      <c r="K961" s="57"/>
    </row>
    <row r="962" spans="11:11" ht="13.2">
      <c r="K962" s="57"/>
    </row>
    <row r="963" spans="11:11" ht="13.2">
      <c r="K963" s="57"/>
    </row>
    <row r="964" spans="11:11" ht="13.2">
      <c r="K964" s="57"/>
    </row>
    <row r="965" spans="11:11" ht="13.2">
      <c r="K965" s="57"/>
    </row>
    <row r="966" spans="11:11" ht="13.2">
      <c r="K966" s="57"/>
    </row>
    <row r="967" spans="11:11" ht="13.2">
      <c r="K967" s="57"/>
    </row>
    <row r="968" spans="11:11" ht="13.2">
      <c r="K968" s="57"/>
    </row>
    <row r="969" spans="11:11" ht="13.2">
      <c r="K969" s="57"/>
    </row>
    <row r="970" spans="11:11" ht="13.2">
      <c r="K970" s="57"/>
    </row>
    <row r="971" spans="11:11" ht="13.2">
      <c r="K971" s="57"/>
    </row>
    <row r="972" spans="11:11" ht="13.2">
      <c r="K972" s="57"/>
    </row>
    <row r="973" spans="11:11" ht="13.2">
      <c r="K973" s="57"/>
    </row>
    <row r="974" spans="11:11" ht="13.2">
      <c r="K974" s="57"/>
    </row>
    <row r="975" spans="11:11" ht="13.2">
      <c r="K975" s="57"/>
    </row>
    <row r="976" spans="11:11" ht="13.2">
      <c r="K976" s="57"/>
    </row>
    <row r="977" spans="11:11" ht="13.2">
      <c r="K977" s="57"/>
    </row>
    <row r="978" spans="11:11" ht="13.2">
      <c r="K978" s="57"/>
    </row>
    <row r="979" spans="11:11" ht="13.2">
      <c r="K979" s="57"/>
    </row>
    <row r="980" spans="11:11" ht="13.2">
      <c r="K980" s="57"/>
    </row>
    <row r="981" spans="11:11" ht="13.2">
      <c r="K981" s="57"/>
    </row>
    <row r="982" spans="11:11" ht="13.2">
      <c r="K982" s="57"/>
    </row>
    <row r="983" spans="11:11" ht="13.2">
      <c r="K983" s="57"/>
    </row>
    <row r="984" spans="11:11" ht="13.2">
      <c r="K984" s="57"/>
    </row>
    <row r="985" spans="11:11" ht="13.2">
      <c r="K985" s="57"/>
    </row>
    <row r="986" spans="11:11" ht="13.2">
      <c r="K986" s="57"/>
    </row>
    <row r="987" spans="11:11" ht="13.2">
      <c r="K987" s="57"/>
    </row>
    <row r="988" spans="11:11" ht="13.2">
      <c r="K988" s="57"/>
    </row>
    <row r="989" spans="11:11" ht="13.2">
      <c r="K989" s="57"/>
    </row>
    <row r="990" spans="11:11" ht="13.2">
      <c r="K990" s="57"/>
    </row>
    <row r="991" spans="11:11" ht="13.2">
      <c r="K991" s="57"/>
    </row>
  </sheetData>
  <hyperlinks>
    <hyperlink ref="A1" r:id="rId1" xr:uid="{00000000-0004-0000-0600-000000000000}"/>
    <hyperlink ref="K2" r:id="rId2" xr:uid="{00000000-0004-0000-0600-000001000000}"/>
    <hyperlink ref="K3" r:id="rId3" xr:uid="{00000000-0004-0000-0600-000002000000}"/>
    <hyperlink ref="K11" r:id="rId4" xr:uid="{00000000-0004-0000-0600-000003000000}"/>
    <hyperlink ref="L11" r:id="rId5" xr:uid="{00000000-0004-0000-0600-000004000000}"/>
    <hyperlink ref="K13" r:id="rId6" xr:uid="{00000000-0004-0000-0600-000005000000}"/>
    <hyperlink ref="K14" r:id="rId7" xr:uid="{00000000-0004-0000-0600-000006000000}"/>
    <hyperlink ref="K15" r:id="rId8" xr:uid="{00000000-0004-0000-0600-000007000000}"/>
    <hyperlink ref="K16" r:id="rId9" xr:uid="{00000000-0004-0000-0600-000008000000}"/>
    <hyperlink ref="L16" r:id="rId10" xr:uid="{00000000-0004-0000-0600-000009000000}"/>
    <hyperlink ref="K17" r:id="rId11" xr:uid="{00000000-0004-0000-0600-00000A000000}"/>
    <hyperlink ref="K18" r:id="rId12" xr:uid="{00000000-0004-0000-0600-00000B000000}"/>
    <hyperlink ref="K19" r:id="rId13" xr:uid="{00000000-0004-0000-0600-00000C000000}"/>
    <hyperlink ref="K20" r:id="rId14" xr:uid="{00000000-0004-0000-0600-00000D000000}"/>
    <hyperlink ref="K21" r:id="rId15" xr:uid="{00000000-0004-0000-0600-00000E000000}"/>
    <hyperlink ref="K22" r:id="rId16" xr:uid="{00000000-0004-0000-0600-00000F000000}"/>
    <hyperlink ref="K23" r:id="rId17" xr:uid="{00000000-0004-0000-0600-000010000000}"/>
    <hyperlink ref="K24" r:id="rId18" xr:uid="{00000000-0004-0000-0600-000011000000}"/>
    <hyperlink ref="K25" r:id="rId19" xr:uid="{00000000-0004-0000-0600-000012000000}"/>
    <hyperlink ref="K26" r:id="rId20" xr:uid="{00000000-0004-0000-0600-000013000000}"/>
    <hyperlink ref="K27" r:id="rId21" xr:uid="{00000000-0004-0000-0600-000014000000}"/>
    <hyperlink ref="K28" r:id="rId22" xr:uid="{00000000-0004-0000-0600-000015000000}"/>
    <hyperlink ref="K29" r:id="rId23" xr:uid="{00000000-0004-0000-0600-000016000000}"/>
    <hyperlink ref="K30" r:id="rId24" xr:uid="{00000000-0004-0000-0600-000017000000}"/>
    <hyperlink ref="K31" r:id="rId25" xr:uid="{00000000-0004-0000-0600-000018000000}"/>
    <hyperlink ref="K32" r:id="rId26" xr:uid="{00000000-0004-0000-0600-000019000000}"/>
    <hyperlink ref="K33" r:id="rId27" xr:uid="{00000000-0004-0000-0600-00001A000000}"/>
    <hyperlink ref="K34" r:id="rId28" xr:uid="{00000000-0004-0000-0600-00001B000000}"/>
    <hyperlink ref="K35" r:id="rId29" xr:uid="{00000000-0004-0000-0600-00001C000000}"/>
    <hyperlink ref="K36" r:id="rId30" xr:uid="{00000000-0004-0000-0600-00001D000000}"/>
    <hyperlink ref="K37" r:id="rId31" xr:uid="{00000000-0004-0000-0600-00001E000000}"/>
    <hyperlink ref="K38" r:id="rId32" xr:uid="{00000000-0004-0000-0600-00001F000000}"/>
    <hyperlink ref="K39" r:id="rId33" xr:uid="{00000000-0004-0000-0600-000020000000}"/>
    <hyperlink ref="K40" r:id="rId34" xr:uid="{00000000-0004-0000-0600-000021000000}"/>
    <hyperlink ref="K41" r:id="rId35" xr:uid="{00000000-0004-0000-0600-000022000000}"/>
    <hyperlink ref="K42" r:id="rId36" xr:uid="{00000000-0004-0000-0600-000023000000}"/>
    <hyperlink ref="K43" r:id="rId37" xr:uid="{00000000-0004-0000-0600-000024000000}"/>
    <hyperlink ref="K44" r:id="rId38" xr:uid="{00000000-0004-0000-0600-000025000000}"/>
    <hyperlink ref="K45" r:id="rId39" xr:uid="{00000000-0004-0000-0600-000026000000}"/>
    <hyperlink ref="K46" r:id="rId40" xr:uid="{00000000-0004-0000-0600-000027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Y994"/>
  <sheetViews>
    <sheetView workbookViewId="0">
      <selection sqref="A1:F1"/>
    </sheetView>
  </sheetViews>
  <sheetFormatPr defaultColWidth="12.6640625" defaultRowHeight="15" customHeight="1"/>
  <cols>
    <col min="2" max="2" width="6.88671875" customWidth="1"/>
    <col min="3" max="3" width="18.88671875" customWidth="1"/>
    <col min="4" max="4" width="22.6640625" customWidth="1"/>
    <col min="5" max="5" width="17.44140625" customWidth="1"/>
    <col min="6" max="6" width="12.44140625" customWidth="1"/>
  </cols>
  <sheetData>
    <row r="1" spans="1:25" ht="13.2">
      <c r="A1" s="399" t="s">
        <v>3034</v>
      </c>
      <c r="B1" s="396"/>
      <c r="C1" s="396"/>
      <c r="D1" s="396"/>
      <c r="E1" s="396"/>
      <c r="F1" s="397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</row>
    <row r="2" spans="1:25" ht="13.2">
      <c r="A2" s="400" t="s">
        <v>3035</v>
      </c>
      <c r="B2" s="396"/>
      <c r="C2" s="396"/>
      <c r="D2" s="396"/>
      <c r="E2" s="396"/>
      <c r="F2" s="397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</row>
    <row r="3" spans="1:25" ht="78">
      <c r="A3" s="374" t="s">
        <v>79</v>
      </c>
      <c r="B3" s="375" t="s">
        <v>3036</v>
      </c>
      <c r="C3" s="375" t="s">
        <v>3037</v>
      </c>
      <c r="D3" s="375" t="s">
        <v>3038</v>
      </c>
      <c r="E3" s="375" t="s">
        <v>3039</v>
      </c>
      <c r="F3" s="374" t="s">
        <v>3040</v>
      </c>
      <c r="G3" s="373"/>
      <c r="H3" s="376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ht="46.8">
      <c r="A4" s="316" t="s">
        <v>17</v>
      </c>
      <c r="B4" s="377">
        <v>2024</v>
      </c>
      <c r="C4" s="222" t="s">
        <v>2168</v>
      </c>
      <c r="D4" s="222" t="s">
        <v>3041</v>
      </c>
      <c r="E4" s="222" t="s">
        <v>47</v>
      </c>
      <c r="F4" s="316">
        <v>15000</v>
      </c>
      <c r="G4" s="373"/>
      <c r="H4" s="30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</row>
    <row r="5" spans="1:25" ht="15.6">
      <c r="A5" s="316" t="s">
        <v>1289</v>
      </c>
      <c r="B5" s="377">
        <v>2024</v>
      </c>
      <c r="C5" s="222" t="s">
        <v>2854</v>
      </c>
      <c r="D5" s="222"/>
      <c r="E5" s="222" t="s">
        <v>3042</v>
      </c>
      <c r="F5" s="35">
        <v>2000</v>
      </c>
      <c r="G5" s="373"/>
      <c r="H5" s="30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</row>
    <row r="6" spans="1:25" ht="31.2">
      <c r="A6" s="316" t="s">
        <v>1289</v>
      </c>
      <c r="B6" s="377">
        <v>2024</v>
      </c>
      <c r="C6" s="222" t="s">
        <v>2868</v>
      </c>
      <c r="D6" s="222" t="s">
        <v>1613</v>
      </c>
      <c r="E6" s="222"/>
      <c r="F6" s="35">
        <v>1600</v>
      </c>
      <c r="G6" s="373"/>
      <c r="H6" s="30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ht="31.2">
      <c r="A7" s="316" t="s">
        <v>1289</v>
      </c>
      <c r="B7" s="377">
        <v>2024</v>
      </c>
      <c r="C7" s="222" t="s">
        <v>1634</v>
      </c>
      <c r="D7" s="222" t="s">
        <v>3043</v>
      </c>
      <c r="E7" s="222" t="s">
        <v>3044</v>
      </c>
      <c r="F7" s="35">
        <v>2000</v>
      </c>
      <c r="G7" s="373"/>
      <c r="H7" s="30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</row>
    <row r="8" spans="1:25" ht="31.2">
      <c r="A8" s="316" t="s">
        <v>1289</v>
      </c>
      <c r="B8" s="377">
        <v>2024</v>
      </c>
      <c r="C8" s="222" t="s">
        <v>3045</v>
      </c>
      <c r="D8" s="222" t="s">
        <v>3046</v>
      </c>
      <c r="E8" s="222"/>
      <c r="F8" s="35">
        <v>2000</v>
      </c>
      <c r="G8" s="373"/>
      <c r="H8" s="30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ht="31.2">
      <c r="A9" s="316" t="s">
        <v>1289</v>
      </c>
      <c r="B9" s="377">
        <v>2024</v>
      </c>
      <c r="C9" s="222" t="s">
        <v>3047</v>
      </c>
      <c r="D9" s="222" t="s">
        <v>3043</v>
      </c>
      <c r="E9" s="222" t="s">
        <v>3044</v>
      </c>
      <c r="F9" s="35">
        <v>2000</v>
      </c>
      <c r="G9" s="373"/>
      <c r="H9" s="30"/>
      <c r="I9" s="37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ht="31.2">
      <c r="A10" s="316" t="s">
        <v>1289</v>
      </c>
      <c r="B10" s="377">
        <v>2024</v>
      </c>
      <c r="C10" s="222" t="s">
        <v>3048</v>
      </c>
      <c r="D10" s="222" t="s">
        <v>3043</v>
      </c>
      <c r="E10" s="222" t="s">
        <v>3049</v>
      </c>
      <c r="F10" s="35">
        <v>2000</v>
      </c>
      <c r="G10" s="373"/>
      <c r="H10" s="30"/>
      <c r="I10" s="37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ht="15.6">
      <c r="A11" s="316" t="s">
        <v>1289</v>
      </c>
      <c r="B11" s="377">
        <v>2024</v>
      </c>
      <c r="C11" s="222" t="s">
        <v>3050</v>
      </c>
      <c r="D11" s="222" t="s">
        <v>3051</v>
      </c>
      <c r="E11" s="222"/>
      <c r="F11" s="35">
        <v>2000</v>
      </c>
      <c r="G11" s="373"/>
      <c r="H11" s="30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ht="31.2">
      <c r="A12" s="316" t="s">
        <v>1289</v>
      </c>
      <c r="B12" s="377">
        <v>2024</v>
      </c>
      <c r="C12" s="222" t="s">
        <v>3052</v>
      </c>
      <c r="D12" s="222"/>
      <c r="E12" s="222" t="s">
        <v>3053</v>
      </c>
      <c r="F12" s="35">
        <v>2000</v>
      </c>
      <c r="G12" s="373"/>
      <c r="H12" s="30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ht="31.2">
      <c r="A13" s="316" t="s">
        <v>1289</v>
      </c>
      <c r="B13" s="377">
        <v>2024</v>
      </c>
      <c r="C13" s="222" t="s">
        <v>3054</v>
      </c>
      <c r="D13" s="222" t="s">
        <v>3043</v>
      </c>
      <c r="E13" s="222" t="s">
        <v>3044</v>
      </c>
      <c r="F13" s="35">
        <v>2000</v>
      </c>
      <c r="G13" s="373"/>
      <c r="H13" s="30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ht="31.2">
      <c r="A14" s="316" t="s">
        <v>1289</v>
      </c>
      <c r="B14" s="377">
        <v>2024</v>
      </c>
      <c r="C14" s="222" t="s">
        <v>3055</v>
      </c>
      <c r="D14" s="222" t="s">
        <v>3043</v>
      </c>
      <c r="E14" s="222" t="s">
        <v>3044</v>
      </c>
      <c r="F14" s="35">
        <v>2000</v>
      </c>
      <c r="G14" s="373"/>
      <c r="H14" s="30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ht="31.2">
      <c r="A15" s="316" t="s">
        <v>1289</v>
      </c>
      <c r="B15" s="377">
        <v>2024</v>
      </c>
      <c r="C15" s="222" t="s">
        <v>1288</v>
      </c>
      <c r="D15" s="222" t="s">
        <v>3043</v>
      </c>
      <c r="E15" s="222" t="s">
        <v>3044</v>
      </c>
      <c r="F15" s="35">
        <v>2000</v>
      </c>
      <c r="G15" s="373"/>
      <c r="H15" s="30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ht="31.2">
      <c r="A16" s="316" t="s">
        <v>1289</v>
      </c>
      <c r="B16" s="377">
        <v>2024</v>
      </c>
      <c r="C16" s="222" t="s">
        <v>3056</v>
      </c>
      <c r="D16" s="222" t="s">
        <v>3043</v>
      </c>
      <c r="E16" s="222" t="s">
        <v>3044</v>
      </c>
      <c r="F16" s="35">
        <v>1500</v>
      </c>
      <c r="G16" s="373"/>
      <c r="H16" s="30"/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1:25" ht="15.6">
      <c r="A17" s="316" t="s">
        <v>1289</v>
      </c>
      <c r="B17" s="377">
        <v>2024</v>
      </c>
      <c r="C17" s="222" t="s">
        <v>3057</v>
      </c>
      <c r="D17" s="222"/>
      <c r="E17" s="222" t="s">
        <v>3053</v>
      </c>
      <c r="F17" s="35">
        <v>2000</v>
      </c>
      <c r="G17" s="373"/>
      <c r="H17" s="30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</row>
    <row r="18" spans="1:25" ht="31.2">
      <c r="A18" s="316" t="s">
        <v>1289</v>
      </c>
      <c r="B18" s="377">
        <v>2024</v>
      </c>
      <c r="C18" s="222" t="s">
        <v>3058</v>
      </c>
      <c r="D18" s="222"/>
      <c r="E18" s="222" t="s">
        <v>3044</v>
      </c>
      <c r="F18" s="35">
        <v>1500</v>
      </c>
      <c r="G18" s="373"/>
      <c r="H18" s="30"/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</row>
    <row r="19" spans="1:25" ht="31.2">
      <c r="A19" s="316" t="s">
        <v>1289</v>
      </c>
      <c r="B19" s="377">
        <v>2024</v>
      </c>
      <c r="C19" s="222" t="s">
        <v>3059</v>
      </c>
      <c r="D19" s="222"/>
      <c r="E19" s="222" t="s">
        <v>3044</v>
      </c>
      <c r="F19" s="35">
        <v>1000</v>
      </c>
      <c r="G19" s="373"/>
      <c r="H19" s="30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</row>
    <row r="20" spans="1:25" ht="15.6">
      <c r="A20" s="316" t="s">
        <v>1289</v>
      </c>
      <c r="B20" s="377">
        <v>2024</v>
      </c>
      <c r="C20" s="222" t="s">
        <v>3060</v>
      </c>
      <c r="D20" s="222" t="s">
        <v>3061</v>
      </c>
      <c r="E20" s="222" t="s">
        <v>47</v>
      </c>
      <c r="F20" s="35">
        <v>2000</v>
      </c>
      <c r="G20" s="373"/>
      <c r="H20" s="30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</row>
    <row r="21" spans="1:25" ht="31.2">
      <c r="A21" s="316" t="s">
        <v>1289</v>
      </c>
      <c r="B21" s="377">
        <v>2024</v>
      </c>
      <c r="C21" s="222" t="s">
        <v>3062</v>
      </c>
      <c r="D21" s="222" t="s">
        <v>3061</v>
      </c>
      <c r="E21" s="222" t="s">
        <v>47</v>
      </c>
      <c r="F21" s="35">
        <v>1000</v>
      </c>
      <c r="G21" s="373"/>
      <c r="H21" s="30"/>
      <c r="I21" s="373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</row>
    <row r="22" spans="1:25" ht="140.4">
      <c r="A22" s="316" t="s">
        <v>3063</v>
      </c>
      <c r="B22" s="377">
        <v>2024</v>
      </c>
      <c r="C22" s="222" t="s">
        <v>3064</v>
      </c>
      <c r="D22" s="222" t="s">
        <v>3065</v>
      </c>
      <c r="E22" s="222" t="s">
        <v>3066</v>
      </c>
      <c r="F22" s="316">
        <v>10000</v>
      </c>
      <c r="G22" s="373"/>
      <c r="H22" s="30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</row>
    <row r="23" spans="1:25" ht="109.2">
      <c r="A23" s="316" t="s">
        <v>3063</v>
      </c>
      <c r="B23" s="377">
        <v>2024</v>
      </c>
      <c r="C23" s="222" t="s">
        <v>1354</v>
      </c>
      <c r="D23" s="222" t="s">
        <v>3065</v>
      </c>
      <c r="E23" s="222" t="s">
        <v>3067</v>
      </c>
      <c r="F23" s="316">
        <v>10000</v>
      </c>
      <c r="G23" s="373"/>
      <c r="H23" s="30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</row>
    <row r="24" spans="1:25" ht="78">
      <c r="A24" s="378" t="s">
        <v>3063</v>
      </c>
      <c r="B24" s="377">
        <v>2024</v>
      </c>
      <c r="C24" s="222" t="s">
        <v>1354</v>
      </c>
      <c r="D24" s="222" t="s">
        <v>3065</v>
      </c>
      <c r="E24" s="222" t="s">
        <v>3068</v>
      </c>
      <c r="F24" s="316">
        <v>10000</v>
      </c>
      <c r="G24" s="373"/>
      <c r="H24" s="30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</row>
    <row r="25" spans="1:25" ht="46.8">
      <c r="A25" s="316" t="s">
        <v>21</v>
      </c>
      <c r="B25" s="377">
        <v>2024</v>
      </c>
      <c r="C25" s="379" t="s">
        <v>3069</v>
      </c>
      <c r="D25" s="222" t="s">
        <v>3070</v>
      </c>
      <c r="E25" s="222" t="s">
        <v>100</v>
      </c>
      <c r="F25" s="35">
        <v>8000</v>
      </c>
      <c r="G25" s="373"/>
      <c r="H25" s="380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</row>
    <row r="26" spans="1:25" ht="46.8">
      <c r="A26" s="316" t="s">
        <v>21</v>
      </c>
      <c r="B26" s="377">
        <v>2024</v>
      </c>
      <c r="C26" s="379" t="s">
        <v>3069</v>
      </c>
      <c r="D26" s="222" t="s">
        <v>100</v>
      </c>
      <c r="E26" s="222" t="s">
        <v>3071</v>
      </c>
      <c r="F26" s="35">
        <v>2000</v>
      </c>
      <c r="G26" s="373"/>
      <c r="H26" s="380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</row>
    <row r="27" spans="1:25" ht="78">
      <c r="A27" s="316" t="s">
        <v>21</v>
      </c>
      <c r="B27" s="377">
        <v>2024</v>
      </c>
      <c r="C27" s="379" t="s">
        <v>3072</v>
      </c>
      <c r="D27" s="222" t="s">
        <v>100</v>
      </c>
      <c r="E27" s="222" t="s">
        <v>3073</v>
      </c>
      <c r="F27" s="316">
        <v>2000</v>
      </c>
      <c r="G27" s="373"/>
      <c r="H27" s="380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</row>
    <row r="28" spans="1:25" ht="46.8">
      <c r="A28" s="316" t="s">
        <v>21</v>
      </c>
      <c r="B28" s="377">
        <v>2024</v>
      </c>
      <c r="C28" s="381" t="s">
        <v>3074</v>
      </c>
      <c r="D28" s="222" t="s">
        <v>100</v>
      </c>
      <c r="E28" s="222" t="s">
        <v>3075</v>
      </c>
      <c r="F28" s="35">
        <v>1000</v>
      </c>
      <c r="G28" s="373"/>
      <c r="H28" s="380"/>
      <c r="I28" s="373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  <c r="U28" s="373"/>
      <c r="V28" s="373"/>
      <c r="W28" s="373"/>
      <c r="X28" s="373"/>
      <c r="Y28" s="373"/>
    </row>
    <row r="29" spans="1:25" ht="93.6">
      <c r="A29" s="316" t="s">
        <v>21</v>
      </c>
      <c r="B29" s="377">
        <v>2024</v>
      </c>
      <c r="C29" s="379" t="s">
        <v>3076</v>
      </c>
      <c r="D29" s="222" t="s">
        <v>100</v>
      </c>
      <c r="E29" s="222" t="s">
        <v>3077</v>
      </c>
      <c r="F29" s="316">
        <v>2000</v>
      </c>
      <c r="G29" s="373"/>
      <c r="H29" s="380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  <c r="U29" s="373"/>
      <c r="V29" s="373"/>
      <c r="W29" s="373"/>
      <c r="X29" s="373"/>
      <c r="Y29" s="373"/>
    </row>
    <row r="30" spans="1:25" ht="78">
      <c r="A30" s="316" t="s">
        <v>21</v>
      </c>
      <c r="B30" s="377">
        <v>2024</v>
      </c>
      <c r="C30" s="33" t="s">
        <v>3078</v>
      </c>
      <c r="D30" s="222" t="s">
        <v>100</v>
      </c>
      <c r="E30" s="222" t="s">
        <v>3079</v>
      </c>
      <c r="F30" s="316">
        <v>2000</v>
      </c>
      <c r="G30" s="373"/>
      <c r="H30" s="380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</row>
    <row r="31" spans="1:25" ht="31.2">
      <c r="A31" s="316" t="s">
        <v>21</v>
      </c>
      <c r="B31" s="377">
        <v>2024</v>
      </c>
      <c r="C31" s="222" t="s">
        <v>3080</v>
      </c>
      <c r="D31" s="222" t="s">
        <v>100</v>
      </c>
      <c r="E31" s="222" t="s">
        <v>3081</v>
      </c>
      <c r="F31" s="35">
        <v>2000</v>
      </c>
      <c r="G31" s="373"/>
      <c r="H31" s="380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</row>
    <row r="32" spans="1:25" ht="78">
      <c r="A32" s="316" t="s">
        <v>21</v>
      </c>
      <c r="B32" s="377">
        <v>2024</v>
      </c>
      <c r="C32" s="222" t="s">
        <v>3082</v>
      </c>
      <c r="D32" s="222" t="s">
        <v>100</v>
      </c>
      <c r="E32" s="222" t="s">
        <v>3083</v>
      </c>
      <c r="F32" s="316">
        <v>2000</v>
      </c>
      <c r="G32" s="373"/>
      <c r="H32" s="380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</row>
    <row r="33" spans="1:25" ht="31.2">
      <c r="A33" s="316" t="s">
        <v>18</v>
      </c>
      <c r="B33" s="377">
        <v>2024</v>
      </c>
      <c r="C33" s="222" t="s">
        <v>1489</v>
      </c>
      <c r="D33" s="222" t="s">
        <v>3084</v>
      </c>
      <c r="E33" s="222" t="s">
        <v>100</v>
      </c>
      <c r="F33" s="316">
        <v>8000</v>
      </c>
      <c r="G33" s="373"/>
      <c r="H33" s="380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</row>
    <row r="34" spans="1:25" ht="54" customHeight="1">
      <c r="A34" s="316" t="s">
        <v>18</v>
      </c>
      <c r="B34" s="377">
        <v>2024</v>
      </c>
      <c r="C34" s="222" t="s">
        <v>1489</v>
      </c>
      <c r="D34" s="222" t="s">
        <v>100</v>
      </c>
      <c r="E34" s="222" t="s">
        <v>3085</v>
      </c>
      <c r="F34" s="316">
        <v>2000</v>
      </c>
      <c r="G34" s="373"/>
      <c r="H34" s="380"/>
      <c r="I34" s="373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  <c r="Y34" s="373"/>
    </row>
    <row r="35" spans="1:25" ht="15.6">
      <c r="A35" s="316" t="s">
        <v>18</v>
      </c>
      <c r="B35" s="377">
        <v>2024</v>
      </c>
      <c r="C35" s="222" t="s">
        <v>217</v>
      </c>
      <c r="D35" s="222" t="s">
        <v>204</v>
      </c>
      <c r="E35" s="222" t="s">
        <v>100</v>
      </c>
      <c r="F35" s="35">
        <v>8000</v>
      </c>
      <c r="G35" s="373"/>
      <c r="H35" s="30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  <c r="Y35" s="373"/>
    </row>
    <row r="36" spans="1:25" ht="62.4">
      <c r="A36" s="316" t="s">
        <v>24</v>
      </c>
      <c r="B36" s="377">
        <v>2024</v>
      </c>
      <c r="C36" s="222" t="s">
        <v>3086</v>
      </c>
      <c r="D36" s="222" t="s">
        <v>3087</v>
      </c>
      <c r="E36" s="222" t="s">
        <v>3088</v>
      </c>
      <c r="F36" s="316">
        <v>2000</v>
      </c>
      <c r="G36" s="373"/>
      <c r="H36" s="30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</row>
    <row r="37" spans="1:25" ht="78">
      <c r="A37" s="316" t="s">
        <v>24</v>
      </c>
      <c r="B37" s="377">
        <v>2024</v>
      </c>
      <c r="C37" s="222" t="s">
        <v>719</v>
      </c>
      <c r="D37" s="222" t="s">
        <v>3087</v>
      </c>
      <c r="E37" s="222" t="s">
        <v>3089</v>
      </c>
      <c r="F37" s="316">
        <v>2000</v>
      </c>
      <c r="G37" s="373"/>
      <c r="H37" s="30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  <c r="Y37" s="373"/>
    </row>
    <row r="38" spans="1:25" ht="31.2">
      <c r="A38" s="316" t="s">
        <v>24</v>
      </c>
      <c r="B38" s="377">
        <v>2024</v>
      </c>
      <c r="C38" s="222" t="s">
        <v>2929</v>
      </c>
      <c r="D38" s="222" t="s">
        <v>3042</v>
      </c>
      <c r="E38" s="222" t="s">
        <v>3090</v>
      </c>
      <c r="F38" s="316">
        <v>2000</v>
      </c>
      <c r="G38" s="373"/>
      <c r="H38" s="30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  <c r="Y38" s="373"/>
    </row>
    <row r="39" spans="1:25" ht="15.6">
      <c r="A39" s="316" t="s">
        <v>24</v>
      </c>
      <c r="B39" s="377">
        <v>2024</v>
      </c>
      <c r="C39" s="222" t="s">
        <v>2929</v>
      </c>
      <c r="D39" s="222" t="s">
        <v>3091</v>
      </c>
      <c r="E39" s="222" t="s">
        <v>100</v>
      </c>
      <c r="F39" s="316">
        <v>8000</v>
      </c>
      <c r="G39" s="373"/>
      <c r="H39" s="30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</row>
    <row r="40" spans="1:25" ht="31.2">
      <c r="A40" s="316" t="s">
        <v>16</v>
      </c>
      <c r="B40" s="377">
        <v>2024</v>
      </c>
      <c r="C40" s="222" t="s">
        <v>3092</v>
      </c>
      <c r="D40" s="222" t="s">
        <v>100</v>
      </c>
      <c r="E40" s="222" t="s">
        <v>3093</v>
      </c>
      <c r="F40" s="35">
        <v>2000</v>
      </c>
      <c r="G40" s="373"/>
      <c r="H40" s="30"/>
      <c r="I40" s="373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  <c r="Y40" s="373"/>
    </row>
    <row r="41" spans="1:25" ht="46.8">
      <c r="A41" s="316" t="s">
        <v>16</v>
      </c>
      <c r="B41" s="377">
        <v>2024</v>
      </c>
      <c r="C41" s="222" t="s">
        <v>3094</v>
      </c>
      <c r="D41" s="222" t="s">
        <v>100</v>
      </c>
      <c r="E41" s="222" t="s">
        <v>3095</v>
      </c>
      <c r="F41" s="35">
        <v>2000</v>
      </c>
      <c r="G41" s="373"/>
      <c r="H41" s="30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  <c r="Y41" s="373"/>
    </row>
    <row r="42" spans="1:25" ht="31.2">
      <c r="A42" s="316" t="s">
        <v>16</v>
      </c>
      <c r="B42" s="377">
        <v>2024</v>
      </c>
      <c r="C42" s="222" t="s">
        <v>1018</v>
      </c>
      <c r="D42" s="222" t="s">
        <v>100</v>
      </c>
      <c r="E42" s="222" t="s">
        <v>3096</v>
      </c>
      <c r="F42" s="35">
        <v>2000</v>
      </c>
      <c r="G42" s="373"/>
      <c r="H42" s="30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  <c r="Y42" s="373"/>
    </row>
    <row r="43" spans="1:25" ht="15.6">
      <c r="A43" s="316" t="s">
        <v>18</v>
      </c>
      <c r="B43" s="377">
        <v>2024</v>
      </c>
      <c r="C43" s="222" t="s">
        <v>3097</v>
      </c>
      <c r="D43" s="222" t="s">
        <v>3098</v>
      </c>
      <c r="E43" s="222" t="s">
        <v>100</v>
      </c>
      <c r="F43" s="35">
        <v>10000</v>
      </c>
      <c r="G43" s="373"/>
      <c r="H43" s="30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</row>
    <row r="44" spans="1:25" ht="15.6">
      <c r="A44" s="316" t="s">
        <v>15</v>
      </c>
      <c r="B44" s="377">
        <v>2025</v>
      </c>
      <c r="C44" s="222" t="s">
        <v>3099</v>
      </c>
      <c r="D44" s="222"/>
      <c r="E44" s="222" t="s">
        <v>3042</v>
      </c>
      <c r="F44" s="35">
        <v>2000</v>
      </c>
      <c r="G44" s="373"/>
      <c r="H44" s="382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</row>
    <row r="45" spans="1:25" ht="31.2">
      <c r="A45" s="316" t="s">
        <v>15</v>
      </c>
      <c r="B45" s="377">
        <v>2025</v>
      </c>
      <c r="C45" s="222" t="s">
        <v>3100</v>
      </c>
      <c r="D45" s="222"/>
      <c r="E45" s="222" t="s">
        <v>3042</v>
      </c>
      <c r="F45" s="35">
        <v>2000</v>
      </c>
      <c r="G45" s="373"/>
      <c r="H45" s="382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U45" s="373"/>
      <c r="V45" s="373"/>
      <c r="W45" s="373"/>
      <c r="X45" s="373"/>
      <c r="Y45" s="373"/>
    </row>
    <row r="46" spans="1:25" ht="31.2">
      <c r="A46" s="316" t="s">
        <v>15</v>
      </c>
      <c r="B46" s="377">
        <v>2025</v>
      </c>
      <c r="C46" s="222" t="s">
        <v>3099</v>
      </c>
      <c r="D46" s="222" t="s">
        <v>3101</v>
      </c>
      <c r="E46" s="222"/>
      <c r="F46" s="316">
        <v>10000</v>
      </c>
      <c r="G46" s="373"/>
      <c r="H46" s="382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</row>
    <row r="47" spans="1:25" ht="31.2">
      <c r="A47" s="316" t="s">
        <v>15</v>
      </c>
      <c r="B47" s="377">
        <v>2025</v>
      </c>
      <c r="C47" s="222" t="s">
        <v>3102</v>
      </c>
      <c r="D47" s="222" t="s">
        <v>3103</v>
      </c>
      <c r="E47" s="222"/>
      <c r="F47" s="316">
        <v>10000</v>
      </c>
      <c r="G47" s="373"/>
      <c r="H47" s="382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  <c r="Y47" s="373"/>
    </row>
    <row r="48" spans="1:25" ht="15.6">
      <c r="A48" s="316" t="s">
        <v>15</v>
      </c>
      <c r="B48" s="377">
        <v>2025</v>
      </c>
      <c r="C48" s="222" t="s">
        <v>3104</v>
      </c>
      <c r="D48" s="222" t="s">
        <v>3105</v>
      </c>
      <c r="E48" s="222"/>
      <c r="F48" s="316">
        <v>15000</v>
      </c>
      <c r="G48" s="373"/>
      <c r="H48" s="382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</row>
    <row r="49" spans="1:25" ht="15.6">
      <c r="A49" s="316" t="s">
        <v>15</v>
      </c>
      <c r="B49" s="377">
        <v>2024</v>
      </c>
      <c r="C49" s="222" t="s">
        <v>312</v>
      </c>
      <c r="D49" s="222" t="s">
        <v>3106</v>
      </c>
      <c r="E49" s="222"/>
      <c r="F49" s="316">
        <v>8000</v>
      </c>
      <c r="G49" s="373"/>
      <c r="H49" s="382"/>
      <c r="I49" s="373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  <c r="W49" s="373"/>
      <c r="X49" s="373"/>
      <c r="Y49" s="373"/>
    </row>
    <row r="50" spans="1:25" ht="15.6">
      <c r="A50" s="316" t="s">
        <v>15</v>
      </c>
      <c r="B50" s="377">
        <v>2024</v>
      </c>
      <c r="C50" s="222" t="s">
        <v>3107</v>
      </c>
      <c r="D50" s="222" t="s">
        <v>3106</v>
      </c>
      <c r="E50" s="222"/>
      <c r="F50" s="316">
        <v>6400</v>
      </c>
      <c r="G50" s="373"/>
      <c r="H50" s="382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  <c r="Y50" s="373"/>
    </row>
    <row r="51" spans="1:25" ht="15.6">
      <c r="A51" s="316" t="s">
        <v>16</v>
      </c>
      <c r="B51" s="377">
        <v>2025</v>
      </c>
      <c r="C51" s="222" t="s">
        <v>3108</v>
      </c>
      <c r="D51" s="222" t="s">
        <v>3106</v>
      </c>
      <c r="E51" s="222"/>
      <c r="F51" s="316">
        <v>4000</v>
      </c>
      <c r="G51" s="373"/>
      <c r="H51" s="30"/>
      <c r="I51" s="373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  <c r="W51" s="373"/>
      <c r="X51" s="373"/>
      <c r="Y51" s="373"/>
    </row>
    <row r="52" spans="1:25" ht="124.8">
      <c r="A52" s="316" t="s">
        <v>17</v>
      </c>
      <c r="B52" s="377">
        <v>2025</v>
      </c>
      <c r="C52" s="222" t="s">
        <v>3109</v>
      </c>
      <c r="D52" s="222" t="s">
        <v>3110</v>
      </c>
      <c r="E52" s="222" t="s">
        <v>3111</v>
      </c>
      <c r="F52" s="316">
        <v>2000</v>
      </c>
      <c r="G52" s="373"/>
      <c r="H52" s="30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</row>
    <row r="53" spans="1:25" ht="15.6">
      <c r="A53" s="316" t="s">
        <v>3112</v>
      </c>
      <c r="B53" s="377">
        <v>2025</v>
      </c>
      <c r="C53" s="222" t="s">
        <v>3113</v>
      </c>
      <c r="D53" s="222" t="s">
        <v>3114</v>
      </c>
      <c r="E53" s="222" t="s">
        <v>100</v>
      </c>
      <c r="F53" s="316">
        <v>15000</v>
      </c>
      <c r="G53" s="373"/>
      <c r="H53" s="30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</row>
    <row r="54" spans="1:25" ht="78">
      <c r="A54" s="316" t="s">
        <v>17</v>
      </c>
      <c r="B54" s="377">
        <v>2025</v>
      </c>
      <c r="C54" s="222" t="s">
        <v>671</v>
      </c>
      <c r="D54" s="222" t="s">
        <v>3115</v>
      </c>
      <c r="E54" s="222" t="s">
        <v>3116</v>
      </c>
      <c r="F54" s="316">
        <v>2000</v>
      </c>
      <c r="G54" s="373"/>
      <c r="H54" s="30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</row>
    <row r="55" spans="1:25" ht="46.8">
      <c r="A55" s="316" t="s">
        <v>17</v>
      </c>
      <c r="B55" s="377">
        <v>2025</v>
      </c>
      <c r="C55" s="222" t="s">
        <v>671</v>
      </c>
      <c r="D55" s="222" t="s">
        <v>3117</v>
      </c>
      <c r="E55" s="222" t="s">
        <v>100</v>
      </c>
      <c r="F55" s="316">
        <v>8000</v>
      </c>
      <c r="G55" s="373"/>
      <c r="H55" s="30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</row>
    <row r="56" spans="1:25" ht="15.6">
      <c r="A56" s="316" t="s">
        <v>17</v>
      </c>
      <c r="B56" s="377">
        <v>2025</v>
      </c>
      <c r="C56" s="222" t="s">
        <v>3118</v>
      </c>
      <c r="D56" s="222" t="s">
        <v>3119</v>
      </c>
      <c r="E56" s="222" t="s">
        <v>100</v>
      </c>
      <c r="F56" s="316">
        <v>5000</v>
      </c>
      <c r="G56" s="373"/>
      <c r="H56" s="30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</row>
    <row r="57" spans="1:25" ht="93.6">
      <c r="A57" s="316" t="s">
        <v>17</v>
      </c>
      <c r="B57" s="377">
        <v>2025</v>
      </c>
      <c r="C57" s="222" t="s">
        <v>3120</v>
      </c>
      <c r="D57" s="222" t="s">
        <v>3121</v>
      </c>
      <c r="E57" s="222"/>
      <c r="F57" s="316">
        <v>1500</v>
      </c>
      <c r="G57" s="373"/>
      <c r="H57" s="30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</row>
    <row r="58" spans="1:25" ht="31.2">
      <c r="A58" s="316" t="s">
        <v>15</v>
      </c>
      <c r="B58" s="377">
        <v>2025</v>
      </c>
      <c r="C58" s="222" t="s">
        <v>3122</v>
      </c>
      <c r="D58" s="222"/>
      <c r="E58" s="222" t="s">
        <v>3123</v>
      </c>
      <c r="F58" s="316">
        <v>2000</v>
      </c>
      <c r="G58" s="373"/>
      <c r="H58" s="30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</row>
    <row r="59" spans="1:25" ht="15.6">
      <c r="A59" s="316" t="s">
        <v>1950</v>
      </c>
      <c r="B59" s="377">
        <v>2025</v>
      </c>
      <c r="C59" s="222" t="s">
        <v>1330</v>
      </c>
      <c r="D59" s="222" t="s">
        <v>62</v>
      </c>
      <c r="E59" s="222" t="s">
        <v>100</v>
      </c>
      <c r="F59" s="316">
        <v>15000</v>
      </c>
      <c r="G59" s="373"/>
      <c r="H59" s="376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</row>
    <row r="60" spans="1:25" ht="15.6">
      <c r="A60" s="316" t="s">
        <v>20</v>
      </c>
      <c r="B60" s="377">
        <v>2025</v>
      </c>
      <c r="C60" s="222" t="s">
        <v>1354</v>
      </c>
      <c r="D60" s="222" t="s">
        <v>3124</v>
      </c>
      <c r="E60" s="222" t="s">
        <v>100</v>
      </c>
      <c r="F60" s="316">
        <v>25000</v>
      </c>
      <c r="G60" s="373"/>
      <c r="H60" s="376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</row>
    <row r="61" spans="1:25" ht="15.6">
      <c r="A61" s="316" t="s">
        <v>20</v>
      </c>
      <c r="B61" s="377">
        <v>2025</v>
      </c>
      <c r="C61" s="222" t="s">
        <v>1350</v>
      </c>
      <c r="D61" s="222" t="s">
        <v>65</v>
      </c>
      <c r="E61" s="222" t="s">
        <v>100</v>
      </c>
      <c r="F61" s="316">
        <v>20000</v>
      </c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</row>
    <row r="62" spans="1:25" ht="15.6">
      <c r="A62" s="316" t="s">
        <v>26</v>
      </c>
      <c r="B62" s="377">
        <v>2024</v>
      </c>
      <c r="C62" s="222" t="s">
        <v>1080</v>
      </c>
      <c r="D62" s="222" t="s">
        <v>65</v>
      </c>
      <c r="E62" s="222" t="s">
        <v>100</v>
      </c>
      <c r="F62" s="316">
        <v>10000</v>
      </c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</row>
    <row r="63" spans="1:25" ht="31.2">
      <c r="A63" s="316" t="s">
        <v>26</v>
      </c>
      <c r="B63" s="377">
        <v>2024</v>
      </c>
      <c r="C63" s="222" t="s">
        <v>3125</v>
      </c>
      <c r="D63" s="222" t="s">
        <v>65</v>
      </c>
      <c r="E63" s="222" t="s">
        <v>100</v>
      </c>
      <c r="F63" s="316">
        <v>10000</v>
      </c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</row>
    <row r="64" spans="1:25" ht="31.2">
      <c r="A64" s="316" t="s">
        <v>26</v>
      </c>
      <c r="B64" s="377">
        <v>2024</v>
      </c>
      <c r="C64" s="222" t="s">
        <v>3125</v>
      </c>
      <c r="D64" s="222" t="s">
        <v>65</v>
      </c>
      <c r="E64" s="222" t="s">
        <v>100</v>
      </c>
      <c r="F64" s="316">
        <v>2500</v>
      </c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  <c r="Y64" s="373"/>
    </row>
    <row r="65" spans="1:25" ht="31.2">
      <c r="A65" s="316" t="s">
        <v>15</v>
      </c>
      <c r="B65" s="377">
        <v>2025</v>
      </c>
      <c r="C65" s="222" t="s">
        <v>3126</v>
      </c>
      <c r="D65" s="222"/>
      <c r="E65" s="222" t="s">
        <v>3042</v>
      </c>
      <c r="F65" s="316">
        <v>2000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31.2">
      <c r="A66" s="316" t="s">
        <v>18</v>
      </c>
      <c r="B66" s="377">
        <v>2025</v>
      </c>
      <c r="C66" s="222" t="s">
        <v>797</v>
      </c>
      <c r="D66" s="33" t="s">
        <v>3127</v>
      </c>
      <c r="E66" s="222" t="s">
        <v>100</v>
      </c>
      <c r="F66" s="316">
        <v>8000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6">
      <c r="A67" s="316" t="s">
        <v>17</v>
      </c>
      <c r="B67" s="377">
        <v>2025</v>
      </c>
      <c r="C67" s="222" t="s">
        <v>3128</v>
      </c>
      <c r="D67" s="222" t="s">
        <v>3114</v>
      </c>
      <c r="E67" s="222" t="s">
        <v>100</v>
      </c>
      <c r="F67" s="316">
        <v>10000</v>
      </c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  <c r="Y67" s="373"/>
    </row>
    <row r="68" spans="1:25" ht="15.6">
      <c r="A68" s="316" t="s">
        <v>15</v>
      </c>
      <c r="B68" s="377">
        <v>2025</v>
      </c>
      <c r="C68" s="222" t="s">
        <v>3129</v>
      </c>
      <c r="D68" s="222" t="s">
        <v>3091</v>
      </c>
      <c r="E68" s="222" t="s">
        <v>100</v>
      </c>
      <c r="F68" s="316">
        <v>8000</v>
      </c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  <c r="Y68" s="373"/>
    </row>
    <row r="69" spans="1:25" ht="15.6">
      <c r="A69" s="316" t="s">
        <v>3112</v>
      </c>
      <c r="B69" s="377">
        <v>2025</v>
      </c>
      <c r="C69" s="222" t="s">
        <v>3130</v>
      </c>
      <c r="D69" s="222" t="s">
        <v>3114</v>
      </c>
      <c r="E69" s="222" t="s">
        <v>100</v>
      </c>
      <c r="F69" s="316">
        <v>15000</v>
      </c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</row>
    <row r="70" spans="1:25" ht="31.2">
      <c r="A70" s="316" t="s">
        <v>3112</v>
      </c>
      <c r="B70" s="377">
        <v>2025</v>
      </c>
      <c r="C70" s="222" t="s">
        <v>3130</v>
      </c>
      <c r="D70" s="222" t="s">
        <v>3131</v>
      </c>
      <c r="E70" s="222" t="s">
        <v>100</v>
      </c>
      <c r="F70" s="316">
        <v>10000</v>
      </c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</row>
    <row r="71" spans="1:25" ht="15.6">
      <c r="A71" s="378" t="s">
        <v>3063</v>
      </c>
      <c r="B71" s="377">
        <v>2024</v>
      </c>
      <c r="C71" s="222" t="s">
        <v>1354</v>
      </c>
      <c r="D71" s="222" t="s">
        <v>3132</v>
      </c>
      <c r="E71" s="222" t="s">
        <v>100</v>
      </c>
      <c r="F71" s="316">
        <v>5000</v>
      </c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  <c r="Y71" s="373"/>
    </row>
    <row r="72" spans="1:25" ht="15.6">
      <c r="A72" s="316" t="s">
        <v>3112</v>
      </c>
      <c r="B72" s="377">
        <v>2025</v>
      </c>
      <c r="C72" s="222" t="s">
        <v>3133</v>
      </c>
      <c r="D72" s="222" t="s">
        <v>3134</v>
      </c>
      <c r="E72" s="222" t="s">
        <v>100</v>
      </c>
      <c r="F72" s="316">
        <v>15000</v>
      </c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</row>
    <row r="73" spans="1:25" ht="15.6">
      <c r="A73" s="316" t="s">
        <v>15</v>
      </c>
      <c r="B73" s="377">
        <v>2025</v>
      </c>
      <c r="C73" s="222" t="s">
        <v>3135</v>
      </c>
      <c r="D73" s="222" t="s">
        <v>3091</v>
      </c>
      <c r="E73" s="222" t="s">
        <v>100</v>
      </c>
      <c r="F73" s="316">
        <v>7000</v>
      </c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</row>
    <row r="74" spans="1:25" ht="15.6">
      <c r="A74" s="316" t="s">
        <v>15</v>
      </c>
      <c r="B74" s="377">
        <v>2025</v>
      </c>
      <c r="C74" s="222" t="s">
        <v>1863</v>
      </c>
      <c r="D74" s="222" t="s">
        <v>3091</v>
      </c>
      <c r="E74" s="222" t="s">
        <v>100</v>
      </c>
      <c r="F74" s="316">
        <v>7000</v>
      </c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  <c r="W74" s="373"/>
      <c r="X74" s="373"/>
      <c r="Y74" s="373"/>
    </row>
    <row r="75" spans="1:25" ht="31.2">
      <c r="A75" s="316" t="s">
        <v>16</v>
      </c>
      <c r="B75" s="377">
        <v>2025</v>
      </c>
      <c r="C75" s="222" t="s">
        <v>3136</v>
      </c>
      <c r="D75" s="222" t="s">
        <v>3137</v>
      </c>
      <c r="E75" s="222" t="s">
        <v>100</v>
      </c>
      <c r="F75" s="316">
        <v>6000</v>
      </c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</row>
    <row r="76" spans="1:25" ht="31.2">
      <c r="A76" s="316" t="s">
        <v>17</v>
      </c>
      <c r="B76" s="377">
        <v>2025</v>
      </c>
      <c r="C76" s="222" t="s">
        <v>3138</v>
      </c>
      <c r="D76" s="222" t="s">
        <v>3091</v>
      </c>
      <c r="E76" s="222" t="s">
        <v>100</v>
      </c>
      <c r="F76" s="316">
        <v>8000</v>
      </c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  <c r="Y76" s="373"/>
    </row>
    <row r="77" spans="1:25" ht="15.6">
      <c r="A77" s="316" t="s">
        <v>24</v>
      </c>
      <c r="B77" s="377">
        <v>2025</v>
      </c>
      <c r="C77" s="222" t="s">
        <v>3139</v>
      </c>
      <c r="D77" s="222" t="s">
        <v>3091</v>
      </c>
      <c r="E77" s="222" t="s">
        <v>100</v>
      </c>
      <c r="F77" s="316">
        <v>8000</v>
      </c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  <c r="W77" s="373"/>
      <c r="X77" s="373"/>
      <c r="Y77" s="373"/>
    </row>
    <row r="78" spans="1:25" ht="31.2">
      <c r="A78" s="316" t="s">
        <v>3112</v>
      </c>
      <c r="B78" s="377">
        <v>2025</v>
      </c>
      <c r="C78" s="222" t="s">
        <v>3140</v>
      </c>
      <c r="D78" s="222" t="s">
        <v>3141</v>
      </c>
      <c r="E78" s="222" t="s">
        <v>100</v>
      </c>
      <c r="F78" s="316">
        <v>10000</v>
      </c>
      <c r="G78" s="373"/>
      <c r="H78" s="373"/>
      <c r="I78" s="373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  <c r="W78" s="373"/>
      <c r="X78" s="373"/>
      <c r="Y78" s="373"/>
    </row>
    <row r="79" spans="1:25" ht="15.6">
      <c r="A79" s="316" t="s">
        <v>15</v>
      </c>
      <c r="B79" s="377">
        <v>2025</v>
      </c>
      <c r="C79" s="222" t="s">
        <v>3142</v>
      </c>
      <c r="D79" s="222" t="s">
        <v>3143</v>
      </c>
      <c r="E79" s="222" t="s">
        <v>100</v>
      </c>
      <c r="F79" s="316">
        <v>20000</v>
      </c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3"/>
      <c r="X79" s="373"/>
      <c r="Y79" s="373"/>
    </row>
    <row r="80" spans="1:25" ht="31.2">
      <c r="A80" s="316" t="s">
        <v>15</v>
      </c>
      <c r="B80" s="377">
        <v>2025</v>
      </c>
      <c r="C80" s="222" t="s">
        <v>3144</v>
      </c>
      <c r="D80" s="222" t="s">
        <v>3145</v>
      </c>
      <c r="E80" s="222" t="s">
        <v>100</v>
      </c>
      <c r="F80" s="316">
        <v>15000</v>
      </c>
      <c r="G80" s="373"/>
      <c r="H80" s="373"/>
      <c r="I80" s="373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  <c r="U80" s="373"/>
      <c r="V80" s="373"/>
      <c r="W80" s="373"/>
      <c r="X80" s="373"/>
      <c r="Y80" s="373"/>
    </row>
    <row r="81" spans="1:25" ht="15.6">
      <c r="A81" s="316" t="s">
        <v>15</v>
      </c>
      <c r="B81" s="377">
        <v>2025</v>
      </c>
      <c r="C81" s="222" t="s">
        <v>3146</v>
      </c>
      <c r="D81" s="222" t="s">
        <v>3091</v>
      </c>
      <c r="E81" s="222" t="s">
        <v>100</v>
      </c>
      <c r="F81" s="316">
        <v>8000</v>
      </c>
      <c r="G81" s="373"/>
      <c r="H81" s="373"/>
      <c r="I81" s="373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  <c r="U81" s="373"/>
      <c r="V81" s="373"/>
      <c r="W81" s="373"/>
      <c r="X81" s="373"/>
      <c r="Y81" s="373"/>
    </row>
    <row r="82" spans="1:25" ht="15.6">
      <c r="A82" s="316" t="s">
        <v>15</v>
      </c>
      <c r="B82" s="377">
        <v>2025</v>
      </c>
      <c r="C82" s="222" t="s">
        <v>3147</v>
      </c>
      <c r="D82" s="222" t="s">
        <v>3091</v>
      </c>
      <c r="E82" s="222" t="s">
        <v>100</v>
      </c>
      <c r="F82" s="316">
        <v>8000</v>
      </c>
      <c r="G82" s="373"/>
      <c r="H82" s="373"/>
      <c r="I82" s="373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  <c r="W82" s="373"/>
      <c r="X82" s="373"/>
      <c r="Y82" s="373"/>
    </row>
    <row r="83" spans="1:25" ht="31.2">
      <c r="A83" s="316" t="s">
        <v>3112</v>
      </c>
      <c r="B83" s="377">
        <v>2025</v>
      </c>
      <c r="C83" s="222" t="s">
        <v>3148</v>
      </c>
      <c r="D83" s="222" t="s">
        <v>3141</v>
      </c>
      <c r="E83" s="222" t="s">
        <v>100</v>
      </c>
      <c r="F83" s="316">
        <v>10000</v>
      </c>
      <c r="G83" s="373"/>
      <c r="H83" s="373"/>
      <c r="I83" s="373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  <c r="W83" s="373"/>
      <c r="X83" s="373"/>
      <c r="Y83" s="373"/>
    </row>
    <row r="84" spans="1:25" ht="31.2">
      <c r="A84" s="316" t="s">
        <v>16</v>
      </c>
      <c r="B84" s="377">
        <v>2025</v>
      </c>
      <c r="C84" s="222" t="s">
        <v>3149</v>
      </c>
      <c r="D84" s="222" t="s">
        <v>3150</v>
      </c>
      <c r="E84" s="222" t="s">
        <v>100</v>
      </c>
      <c r="F84" s="383">
        <v>12500</v>
      </c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</row>
    <row r="85" spans="1:25" ht="15.6">
      <c r="A85" s="316" t="s">
        <v>17</v>
      </c>
      <c r="B85" s="377">
        <v>2025</v>
      </c>
      <c r="C85" s="222" t="s">
        <v>3151</v>
      </c>
      <c r="D85" s="222" t="s">
        <v>100</v>
      </c>
      <c r="E85" s="222" t="s">
        <v>3042</v>
      </c>
      <c r="F85" s="383">
        <v>2000</v>
      </c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</row>
    <row r="86" spans="1:25" ht="15.6">
      <c r="A86" s="316" t="s">
        <v>18</v>
      </c>
      <c r="B86" s="377">
        <v>2025</v>
      </c>
      <c r="C86" s="222" t="s">
        <v>3152</v>
      </c>
      <c r="D86" s="222" t="s">
        <v>100</v>
      </c>
      <c r="E86" s="222" t="s">
        <v>3153</v>
      </c>
      <c r="F86" s="316">
        <v>2000</v>
      </c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  <c r="Y86" s="373"/>
    </row>
    <row r="87" spans="1:25" ht="15.6">
      <c r="A87" s="316" t="s">
        <v>18</v>
      </c>
      <c r="B87" s="377">
        <v>2025</v>
      </c>
      <c r="C87" s="222" t="s">
        <v>3154</v>
      </c>
      <c r="D87" s="222" t="s">
        <v>100</v>
      </c>
      <c r="E87" s="222" t="s">
        <v>3153</v>
      </c>
      <c r="F87" s="316">
        <v>2000</v>
      </c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  <c r="W87" s="373"/>
      <c r="X87" s="373"/>
      <c r="Y87" s="373"/>
    </row>
    <row r="88" spans="1:25" ht="15.6">
      <c r="A88" s="316" t="s">
        <v>18</v>
      </c>
      <c r="B88" s="377">
        <v>2025</v>
      </c>
      <c r="C88" s="222" t="s">
        <v>212</v>
      </c>
      <c r="D88" s="222" t="s">
        <v>100</v>
      </c>
      <c r="E88" s="222" t="s">
        <v>3155</v>
      </c>
      <c r="F88" s="316">
        <v>2000</v>
      </c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  <c r="W88" s="373"/>
      <c r="X88" s="373"/>
      <c r="Y88" s="373"/>
    </row>
    <row r="89" spans="1:25" ht="15.6">
      <c r="A89" s="316" t="s">
        <v>18</v>
      </c>
      <c r="B89" s="377">
        <v>2025</v>
      </c>
      <c r="C89" s="222" t="s">
        <v>797</v>
      </c>
      <c r="D89" s="222" t="s">
        <v>100</v>
      </c>
      <c r="E89" s="222" t="s">
        <v>3153</v>
      </c>
      <c r="F89" s="316">
        <v>2000</v>
      </c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  <c r="W89" s="373"/>
      <c r="X89" s="373"/>
      <c r="Y89" s="373"/>
    </row>
    <row r="90" spans="1:25" ht="31.2">
      <c r="A90" s="316" t="s">
        <v>18</v>
      </c>
      <c r="B90" s="377">
        <v>2025</v>
      </c>
      <c r="C90" s="222" t="s">
        <v>3156</v>
      </c>
      <c r="D90" s="222" t="s">
        <v>100</v>
      </c>
      <c r="E90" s="222" t="s">
        <v>3157</v>
      </c>
      <c r="F90" s="316">
        <v>2000</v>
      </c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  <c r="Y90" s="373"/>
    </row>
    <row r="91" spans="1:25" ht="15.6">
      <c r="A91" s="316" t="s">
        <v>18</v>
      </c>
      <c r="B91" s="377">
        <v>2025</v>
      </c>
      <c r="C91" s="222" t="s">
        <v>3158</v>
      </c>
      <c r="D91" s="222" t="s">
        <v>100</v>
      </c>
      <c r="E91" s="222" t="s">
        <v>3159</v>
      </c>
      <c r="F91" s="316">
        <v>1600</v>
      </c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  <c r="Y91" s="373"/>
    </row>
    <row r="92" spans="1:25" ht="15.6">
      <c r="A92" s="316" t="s">
        <v>17</v>
      </c>
      <c r="B92" s="377">
        <v>2025</v>
      </c>
      <c r="C92" s="222" t="s">
        <v>3160</v>
      </c>
      <c r="D92" s="222" t="s">
        <v>100</v>
      </c>
      <c r="E92" s="222" t="s">
        <v>3159</v>
      </c>
      <c r="F92" s="316">
        <v>1600</v>
      </c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</row>
    <row r="93" spans="1:25" ht="31.2">
      <c r="A93" s="316" t="s">
        <v>17</v>
      </c>
      <c r="B93" s="377">
        <v>2025</v>
      </c>
      <c r="C93" s="222" t="s">
        <v>3161</v>
      </c>
      <c r="D93" s="222" t="s">
        <v>100</v>
      </c>
      <c r="E93" s="222" t="s">
        <v>3153</v>
      </c>
      <c r="F93" s="316">
        <v>2000</v>
      </c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</row>
    <row r="94" spans="1:25" ht="15.6">
      <c r="A94" s="316" t="s">
        <v>17</v>
      </c>
      <c r="B94" s="377">
        <v>2025</v>
      </c>
      <c r="C94" s="222" t="s">
        <v>3162</v>
      </c>
      <c r="D94" s="222" t="s">
        <v>100</v>
      </c>
      <c r="E94" s="222" t="s">
        <v>3159</v>
      </c>
      <c r="F94" s="316">
        <v>1600</v>
      </c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</row>
    <row r="95" spans="1:25" ht="15.6">
      <c r="A95" s="316" t="s">
        <v>17</v>
      </c>
      <c r="B95" s="377">
        <v>2025</v>
      </c>
      <c r="C95" s="222" t="s">
        <v>3163</v>
      </c>
      <c r="D95" s="222" t="s">
        <v>100</v>
      </c>
      <c r="E95" s="222" t="s">
        <v>1673</v>
      </c>
      <c r="F95" s="316">
        <v>2000</v>
      </c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</row>
    <row r="96" spans="1:25" ht="15.6">
      <c r="A96" s="316" t="s">
        <v>17</v>
      </c>
      <c r="B96" s="377">
        <v>2025</v>
      </c>
      <c r="C96" s="222" t="s">
        <v>3164</v>
      </c>
      <c r="D96" s="222" t="s">
        <v>100</v>
      </c>
      <c r="E96" s="222" t="s">
        <v>3155</v>
      </c>
      <c r="F96" s="316">
        <v>1800</v>
      </c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</row>
    <row r="97" spans="1:25" ht="31.2">
      <c r="A97" s="316" t="s">
        <v>17</v>
      </c>
      <c r="B97" s="377">
        <v>2025</v>
      </c>
      <c r="C97" s="222" t="s">
        <v>3165</v>
      </c>
      <c r="D97" s="222" t="s">
        <v>100</v>
      </c>
      <c r="E97" s="222" t="s">
        <v>3159</v>
      </c>
      <c r="F97" s="316">
        <v>2000</v>
      </c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</row>
    <row r="98" spans="1:25" ht="31.2">
      <c r="A98" s="316" t="s">
        <v>17</v>
      </c>
      <c r="B98" s="377">
        <v>2025</v>
      </c>
      <c r="C98" s="222" t="s">
        <v>3166</v>
      </c>
      <c r="D98" s="222" t="s">
        <v>100</v>
      </c>
      <c r="E98" s="222" t="s">
        <v>1673</v>
      </c>
      <c r="F98" s="316">
        <v>2000</v>
      </c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</row>
    <row r="99" spans="1:25" ht="15.6">
      <c r="A99" s="316" t="s">
        <v>17</v>
      </c>
      <c r="B99" s="377">
        <v>2025</v>
      </c>
      <c r="C99" s="222" t="s">
        <v>3167</v>
      </c>
      <c r="D99" s="222" t="s">
        <v>100</v>
      </c>
      <c r="E99" s="222" t="s">
        <v>3153</v>
      </c>
      <c r="F99" s="316">
        <v>2000</v>
      </c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</row>
    <row r="100" spans="1:25" ht="31.2">
      <c r="A100" s="316" t="s">
        <v>17</v>
      </c>
      <c r="B100" s="377">
        <v>2025</v>
      </c>
      <c r="C100" s="222" t="s">
        <v>3168</v>
      </c>
      <c r="D100" s="222" t="s">
        <v>100</v>
      </c>
      <c r="E100" s="222" t="s">
        <v>3153</v>
      </c>
      <c r="F100" s="316">
        <v>2000</v>
      </c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</row>
    <row r="101" spans="1:25" ht="15.6">
      <c r="A101" s="316" t="s">
        <v>17</v>
      </c>
      <c r="B101" s="377">
        <v>2025</v>
      </c>
      <c r="C101" s="222" t="s">
        <v>3169</v>
      </c>
      <c r="D101" s="222" t="s">
        <v>100</v>
      </c>
      <c r="E101" s="222" t="s">
        <v>3153</v>
      </c>
      <c r="F101" s="316">
        <v>2000</v>
      </c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</row>
    <row r="102" spans="1:25" ht="31.2">
      <c r="A102" s="316" t="s">
        <v>17</v>
      </c>
      <c r="B102" s="377">
        <v>2025</v>
      </c>
      <c r="C102" s="222" t="s">
        <v>3170</v>
      </c>
      <c r="D102" s="222" t="s">
        <v>100</v>
      </c>
      <c r="E102" s="222" t="s">
        <v>3153</v>
      </c>
      <c r="F102" s="316">
        <v>2000</v>
      </c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</row>
    <row r="103" spans="1:25" ht="15.6">
      <c r="A103" s="316" t="s">
        <v>17</v>
      </c>
      <c r="B103" s="377">
        <v>2025</v>
      </c>
      <c r="C103" s="222" t="s">
        <v>3171</v>
      </c>
      <c r="D103" s="222" t="s">
        <v>100</v>
      </c>
      <c r="E103" s="222" t="s">
        <v>3153</v>
      </c>
      <c r="F103" s="316">
        <v>2000</v>
      </c>
      <c r="G103" s="373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  <c r="Y103" s="373"/>
    </row>
    <row r="104" spans="1:25" ht="31.2">
      <c r="A104" s="316" t="s">
        <v>17</v>
      </c>
      <c r="B104" s="377">
        <v>2025</v>
      </c>
      <c r="C104" s="222" t="s">
        <v>3172</v>
      </c>
      <c r="D104" s="222" t="s">
        <v>100</v>
      </c>
      <c r="E104" s="222" t="s">
        <v>3173</v>
      </c>
      <c r="F104" s="316">
        <v>2000</v>
      </c>
      <c r="G104" s="373"/>
      <c r="H104" s="373"/>
      <c r="I104" s="373"/>
      <c r="J104" s="373"/>
      <c r="K104" s="373"/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3"/>
      <c r="Y104" s="373"/>
    </row>
    <row r="105" spans="1:25" ht="15.6">
      <c r="A105" s="316" t="s">
        <v>17</v>
      </c>
      <c r="B105" s="377">
        <v>2025</v>
      </c>
      <c r="C105" s="222" t="s">
        <v>3174</v>
      </c>
      <c r="D105" s="222" t="s">
        <v>100</v>
      </c>
      <c r="E105" s="222" t="s">
        <v>3175</v>
      </c>
      <c r="F105" s="316">
        <v>1180</v>
      </c>
      <c r="G105" s="373"/>
      <c r="H105" s="373"/>
      <c r="I105" s="373"/>
      <c r="J105" s="373"/>
      <c r="K105" s="373"/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3"/>
      <c r="Y105" s="373"/>
    </row>
    <row r="106" spans="1:25" ht="31.2">
      <c r="A106" s="316" t="s">
        <v>17</v>
      </c>
      <c r="B106" s="377">
        <v>2025</v>
      </c>
      <c r="C106" s="222" t="s">
        <v>3176</v>
      </c>
      <c r="D106" s="222" t="s">
        <v>100</v>
      </c>
      <c r="E106" s="222" t="s">
        <v>3153</v>
      </c>
      <c r="F106" s="316">
        <v>2000</v>
      </c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3"/>
      <c r="Y106" s="373"/>
    </row>
    <row r="107" spans="1:25" ht="31.2">
      <c r="A107" s="316" t="s">
        <v>17</v>
      </c>
      <c r="B107" s="377">
        <v>2025</v>
      </c>
      <c r="C107" s="222" t="s">
        <v>3177</v>
      </c>
      <c r="D107" s="222" t="s">
        <v>100</v>
      </c>
      <c r="E107" s="222" t="s">
        <v>3159</v>
      </c>
      <c r="F107" s="316">
        <v>1600</v>
      </c>
      <c r="G107" s="373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  <c r="W107" s="373"/>
      <c r="X107" s="373"/>
      <c r="Y107" s="373"/>
    </row>
    <row r="108" spans="1:25" ht="15.6">
      <c r="A108" s="316" t="s">
        <v>17</v>
      </c>
      <c r="B108" s="377">
        <v>2025</v>
      </c>
      <c r="C108" s="222" t="s">
        <v>3178</v>
      </c>
      <c r="D108" s="222" t="s">
        <v>100</v>
      </c>
      <c r="E108" s="222" t="s">
        <v>3153</v>
      </c>
      <c r="F108" s="316">
        <v>2000</v>
      </c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  <c r="W108" s="373"/>
      <c r="X108" s="373"/>
      <c r="Y108" s="373"/>
    </row>
    <row r="109" spans="1:25" ht="15.6">
      <c r="A109" s="316" t="s">
        <v>17</v>
      </c>
      <c r="B109" s="377">
        <v>2025</v>
      </c>
      <c r="C109" s="222" t="s">
        <v>3179</v>
      </c>
      <c r="D109" s="222" t="s">
        <v>100</v>
      </c>
      <c r="E109" s="222" t="s">
        <v>1673</v>
      </c>
      <c r="F109" s="316">
        <v>2000</v>
      </c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  <c r="W109" s="373"/>
      <c r="X109" s="373"/>
      <c r="Y109" s="373"/>
    </row>
    <row r="110" spans="1:25" ht="31.2">
      <c r="A110" s="316" t="s">
        <v>17</v>
      </c>
      <c r="B110" s="377">
        <v>2025</v>
      </c>
      <c r="C110" s="222" t="s">
        <v>3180</v>
      </c>
      <c r="D110" s="222" t="s">
        <v>100</v>
      </c>
      <c r="E110" s="222" t="s">
        <v>3153</v>
      </c>
      <c r="F110" s="316">
        <v>2000</v>
      </c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</row>
    <row r="111" spans="1:25" ht="31.2">
      <c r="A111" s="316" t="s">
        <v>17</v>
      </c>
      <c r="B111" s="377">
        <v>2025</v>
      </c>
      <c r="C111" s="222" t="s">
        <v>196</v>
      </c>
      <c r="D111" s="222" t="s">
        <v>100</v>
      </c>
      <c r="E111" s="222" t="s">
        <v>1613</v>
      </c>
      <c r="F111" s="316">
        <v>1750</v>
      </c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</row>
    <row r="112" spans="1:25" ht="31.2">
      <c r="A112" s="316" t="s">
        <v>17</v>
      </c>
      <c r="B112" s="377">
        <v>2025</v>
      </c>
      <c r="C112" s="222" t="s">
        <v>271</v>
      </c>
      <c r="D112" s="222" t="s">
        <v>100</v>
      </c>
      <c r="E112" s="222" t="s">
        <v>3153</v>
      </c>
      <c r="F112" s="316">
        <v>2000</v>
      </c>
      <c r="G112" s="373"/>
      <c r="H112" s="373"/>
      <c r="I112" s="373"/>
      <c r="J112" s="373"/>
      <c r="K112" s="373"/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  <c r="Y112" s="373"/>
    </row>
    <row r="113" spans="1:25" ht="15.6">
      <c r="A113" s="316" t="s">
        <v>17</v>
      </c>
      <c r="B113" s="377">
        <v>2025</v>
      </c>
      <c r="C113" s="222" t="s">
        <v>3181</v>
      </c>
      <c r="D113" s="222" t="s">
        <v>100</v>
      </c>
      <c r="E113" s="222" t="s">
        <v>3153</v>
      </c>
      <c r="F113" s="316">
        <v>2000</v>
      </c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  <c r="W113" s="373"/>
      <c r="X113" s="373"/>
      <c r="Y113" s="373"/>
    </row>
    <row r="114" spans="1:25" ht="15.6">
      <c r="A114" s="316" t="s">
        <v>17</v>
      </c>
      <c r="B114" s="377">
        <v>2025</v>
      </c>
      <c r="C114" s="222" t="s">
        <v>3182</v>
      </c>
      <c r="D114" s="222" t="s">
        <v>100</v>
      </c>
      <c r="E114" s="222" t="s">
        <v>3153</v>
      </c>
      <c r="F114" s="316">
        <v>2000</v>
      </c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3"/>
      <c r="Y114" s="373"/>
    </row>
    <row r="115" spans="1:25" ht="31.2">
      <c r="A115" s="316" t="s">
        <v>17</v>
      </c>
      <c r="B115" s="377">
        <v>2025</v>
      </c>
      <c r="C115" s="222" t="s">
        <v>3183</v>
      </c>
      <c r="D115" s="222" t="s">
        <v>100</v>
      </c>
      <c r="E115" s="222" t="s">
        <v>3184</v>
      </c>
      <c r="F115" s="316">
        <v>500</v>
      </c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  <c r="Y115" s="373"/>
    </row>
    <row r="116" spans="1:25" ht="15.6">
      <c r="A116" s="316" t="s">
        <v>15</v>
      </c>
      <c r="B116" s="377">
        <v>2025</v>
      </c>
      <c r="C116" s="33" t="s">
        <v>3185</v>
      </c>
      <c r="D116" s="222" t="s">
        <v>3186</v>
      </c>
      <c r="E116" s="222" t="s">
        <v>100</v>
      </c>
      <c r="F116" s="383">
        <v>2000</v>
      </c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</row>
    <row r="117" spans="1:25" ht="15.6">
      <c r="A117" s="316" t="s">
        <v>15</v>
      </c>
      <c r="B117" s="377">
        <v>2025</v>
      </c>
      <c r="C117" s="33" t="s">
        <v>3187</v>
      </c>
      <c r="D117" s="222" t="s">
        <v>3186</v>
      </c>
      <c r="E117" s="222" t="s">
        <v>100</v>
      </c>
      <c r="F117" s="383">
        <v>2000</v>
      </c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</row>
    <row r="118" spans="1:25" ht="31.2">
      <c r="A118" s="316" t="s">
        <v>15</v>
      </c>
      <c r="B118" s="377">
        <v>2025</v>
      </c>
      <c r="C118" s="33" t="s">
        <v>767</v>
      </c>
      <c r="D118" s="222" t="s">
        <v>3188</v>
      </c>
      <c r="E118" s="222" t="s">
        <v>100</v>
      </c>
      <c r="F118" s="383">
        <v>2000</v>
      </c>
      <c r="G118" s="373"/>
      <c r="H118" s="373"/>
      <c r="I118" s="373"/>
      <c r="J118" s="373"/>
      <c r="K118" s="373"/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</row>
    <row r="119" spans="1:25" ht="15.6">
      <c r="A119" s="316" t="s">
        <v>15</v>
      </c>
      <c r="B119" s="377">
        <v>2025</v>
      </c>
      <c r="C119" s="33" t="s">
        <v>1242</v>
      </c>
      <c r="D119" s="222" t="s">
        <v>3042</v>
      </c>
      <c r="E119" s="222" t="s">
        <v>100</v>
      </c>
      <c r="F119" s="383">
        <v>2000</v>
      </c>
      <c r="G119" s="373"/>
      <c r="H119" s="373"/>
      <c r="I119" s="373"/>
      <c r="J119" s="373"/>
      <c r="K119" s="373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</row>
    <row r="120" spans="1:25" ht="15.6">
      <c r="A120" s="316" t="s">
        <v>15</v>
      </c>
      <c r="B120" s="377">
        <v>2025</v>
      </c>
      <c r="C120" s="33" t="s">
        <v>3189</v>
      </c>
      <c r="D120" s="222" t="s">
        <v>3190</v>
      </c>
      <c r="E120" s="222" t="s">
        <v>100</v>
      </c>
      <c r="F120" s="383">
        <v>2000</v>
      </c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</row>
    <row r="121" spans="1:25" ht="15.6">
      <c r="A121" s="316" t="s">
        <v>15</v>
      </c>
      <c r="B121" s="377">
        <v>2025</v>
      </c>
      <c r="C121" s="33" t="s">
        <v>3191</v>
      </c>
      <c r="D121" s="222" t="s">
        <v>3042</v>
      </c>
      <c r="E121" s="222" t="s">
        <v>100</v>
      </c>
      <c r="F121" s="383">
        <v>2000</v>
      </c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</row>
    <row r="122" spans="1:25" ht="15.6">
      <c r="A122" s="316" t="s">
        <v>15</v>
      </c>
      <c r="B122" s="377">
        <v>2025</v>
      </c>
      <c r="C122" s="33" t="s">
        <v>696</v>
      </c>
      <c r="D122" s="222" t="s">
        <v>3190</v>
      </c>
      <c r="E122" s="222" t="s">
        <v>100</v>
      </c>
      <c r="F122" s="383">
        <v>2000</v>
      </c>
      <c r="G122" s="373"/>
      <c r="H122" s="373"/>
      <c r="I122" s="373"/>
      <c r="J122" s="373"/>
      <c r="K122" s="373"/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</row>
    <row r="123" spans="1:25" ht="31.2">
      <c r="A123" s="316" t="s">
        <v>15</v>
      </c>
      <c r="B123" s="377">
        <v>2025</v>
      </c>
      <c r="C123" s="33" t="s">
        <v>3192</v>
      </c>
      <c r="D123" s="222" t="s">
        <v>3193</v>
      </c>
      <c r="E123" s="222" t="s">
        <v>100</v>
      </c>
      <c r="F123" s="383">
        <v>2000</v>
      </c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</row>
    <row r="124" spans="1:25" ht="15.6">
      <c r="A124" s="316" t="s">
        <v>15</v>
      </c>
      <c r="B124" s="377">
        <v>2025</v>
      </c>
      <c r="C124" s="33" t="s">
        <v>3194</v>
      </c>
      <c r="D124" s="222" t="s">
        <v>3193</v>
      </c>
      <c r="E124" s="222" t="s">
        <v>100</v>
      </c>
      <c r="F124" s="383">
        <v>2000</v>
      </c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</row>
    <row r="125" spans="1:25" ht="15.6">
      <c r="A125" s="316" t="s">
        <v>15</v>
      </c>
      <c r="B125" s="377">
        <v>2025</v>
      </c>
      <c r="C125" s="33" t="s">
        <v>3195</v>
      </c>
      <c r="D125" s="222" t="s">
        <v>3196</v>
      </c>
      <c r="E125" s="222" t="s">
        <v>100</v>
      </c>
      <c r="F125" s="383">
        <v>2000</v>
      </c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</row>
    <row r="126" spans="1:25" ht="15.6">
      <c r="A126" s="316" t="s">
        <v>15</v>
      </c>
      <c r="B126" s="377">
        <v>2025</v>
      </c>
      <c r="C126" s="33" t="s">
        <v>3197</v>
      </c>
      <c r="D126" s="222" t="s">
        <v>3193</v>
      </c>
      <c r="E126" s="222" t="s">
        <v>100</v>
      </c>
      <c r="F126" s="383">
        <v>2000</v>
      </c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</row>
    <row r="127" spans="1:25" ht="15.6">
      <c r="A127" s="316" t="s">
        <v>15</v>
      </c>
      <c r="B127" s="377">
        <v>2025</v>
      </c>
      <c r="C127" s="33" t="s">
        <v>3198</v>
      </c>
      <c r="D127" s="222" t="s">
        <v>3186</v>
      </c>
      <c r="E127" s="222" t="s">
        <v>100</v>
      </c>
      <c r="F127" s="383">
        <v>2000</v>
      </c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</row>
    <row r="128" spans="1:25" ht="15.6">
      <c r="A128" s="316" t="s">
        <v>15</v>
      </c>
      <c r="B128" s="377">
        <v>2025</v>
      </c>
      <c r="C128" s="33" t="s">
        <v>3199</v>
      </c>
      <c r="D128" s="222" t="s">
        <v>3196</v>
      </c>
      <c r="E128" s="222" t="s">
        <v>100</v>
      </c>
      <c r="F128" s="383">
        <v>2000</v>
      </c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</row>
    <row r="129" spans="1:25" ht="31.2">
      <c r="A129" s="316" t="s">
        <v>15</v>
      </c>
      <c r="B129" s="377">
        <v>2025</v>
      </c>
      <c r="C129" s="33" t="s">
        <v>3200</v>
      </c>
      <c r="D129" s="384" t="s">
        <v>3201</v>
      </c>
      <c r="E129" s="222" t="s">
        <v>100</v>
      </c>
      <c r="F129" s="383">
        <v>2000</v>
      </c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</row>
    <row r="130" spans="1:25" ht="31.2">
      <c r="A130" s="316" t="s">
        <v>15</v>
      </c>
      <c r="B130" s="377">
        <v>2025</v>
      </c>
      <c r="C130" s="33" t="s">
        <v>3202</v>
      </c>
      <c r="D130" s="222" t="s">
        <v>3203</v>
      </c>
      <c r="E130" s="222" t="s">
        <v>100</v>
      </c>
      <c r="F130" s="383">
        <v>2000</v>
      </c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</row>
    <row r="131" spans="1:25" ht="31.2">
      <c r="A131" s="316" t="s">
        <v>15</v>
      </c>
      <c r="B131" s="377">
        <v>2025</v>
      </c>
      <c r="C131" s="33" t="s">
        <v>3204</v>
      </c>
      <c r="D131" s="222" t="s">
        <v>3205</v>
      </c>
      <c r="E131" s="222" t="s">
        <v>100</v>
      </c>
      <c r="F131" s="383">
        <v>2000</v>
      </c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</row>
    <row r="132" spans="1:25" ht="31.2">
      <c r="A132" s="316" t="s">
        <v>15</v>
      </c>
      <c r="B132" s="377">
        <v>2025</v>
      </c>
      <c r="C132" s="33" t="s">
        <v>3206</v>
      </c>
      <c r="D132" s="222" t="s">
        <v>3205</v>
      </c>
      <c r="E132" s="222" t="s">
        <v>100</v>
      </c>
      <c r="F132" s="383">
        <v>2000</v>
      </c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</row>
    <row r="133" spans="1:25" ht="31.2">
      <c r="A133" s="316" t="s">
        <v>15</v>
      </c>
      <c r="B133" s="377">
        <v>2025</v>
      </c>
      <c r="C133" s="33" t="s">
        <v>3207</v>
      </c>
      <c r="D133" s="222" t="s">
        <v>3205</v>
      </c>
      <c r="E133" s="222" t="s">
        <v>100</v>
      </c>
      <c r="F133" s="383">
        <v>2000</v>
      </c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</row>
    <row r="134" spans="1:25" ht="15.6">
      <c r="A134" s="316" t="s">
        <v>15</v>
      </c>
      <c r="B134" s="377">
        <v>2025</v>
      </c>
      <c r="C134" s="33" t="s">
        <v>3208</v>
      </c>
      <c r="D134" s="222" t="s">
        <v>3190</v>
      </c>
      <c r="E134" s="222" t="s">
        <v>100</v>
      </c>
      <c r="F134" s="383">
        <v>2000</v>
      </c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</row>
    <row r="135" spans="1:25" ht="31.2">
      <c r="A135" s="316" t="s">
        <v>15</v>
      </c>
      <c r="B135" s="377">
        <v>2025</v>
      </c>
      <c r="C135" s="33" t="s">
        <v>3209</v>
      </c>
      <c r="D135" s="222" t="s">
        <v>3210</v>
      </c>
      <c r="E135" s="222" t="s">
        <v>100</v>
      </c>
      <c r="F135" s="383">
        <v>2000</v>
      </c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</row>
    <row r="136" spans="1:25" ht="31.2">
      <c r="A136" s="316" t="s">
        <v>15</v>
      </c>
      <c r="B136" s="377">
        <v>2025</v>
      </c>
      <c r="C136" s="33" t="s">
        <v>3211</v>
      </c>
      <c r="D136" s="222" t="s">
        <v>3190</v>
      </c>
      <c r="E136" s="222" t="s">
        <v>100</v>
      </c>
      <c r="F136" s="383">
        <v>2000</v>
      </c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</row>
    <row r="137" spans="1:25" ht="15.6">
      <c r="A137" s="316" t="s">
        <v>15</v>
      </c>
      <c r="B137" s="377">
        <v>2025</v>
      </c>
      <c r="C137" s="33" t="s">
        <v>3212</v>
      </c>
      <c r="D137" s="222" t="s">
        <v>3213</v>
      </c>
      <c r="E137" s="222" t="s">
        <v>100</v>
      </c>
      <c r="F137" s="383">
        <v>2000</v>
      </c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</row>
    <row r="138" spans="1:25" ht="15.6">
      <c r="A138" s="316" t="s">
        <v>15</v>
      </c>
      <c r="B138" s="377">
        <v>2025</v>
      </c>
      <c r="C138" s="33" t="s">
        <v>3214</v>
      </c>
      <c r="D138" s="222" t="s">
        <v>3215</v>
      </c>
      <c r="E138" s="222" t="s">
        <v>100</v>
      </c>
      <c r="F138" s="383">
        <v>2000</v>
      </c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</row>
    <row r="139" spans="1:25" ht="15.6">
      <c r="A139" s="316" t="s">
        <v>15</v>
      </c>
      <c r="B139" s="377">
        <v>2025</v>
      </c>
      <c r="C139" s="33" t="s">
        <v>1934</v>
      </c>
      <c r="D139" s="222" t="s">
        <v>3216</v>
      </c>
      <c r="E139" s="222" t="s">
        <v>100</v>
      </c>
      <c r="F139" s="383">
        <v>2000</v>
      </c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</row>
    <row r="140" spans="1:25" ht="15.6">
      <c r="A140" s="316" t="s">
        <v>15</v>
      </c>
      <c r="B140" s="377">
        <v>2025</v>
      </c>
      <c r="C140" s="33" t="s">
        <v>3217</v>
      </c>
      <c r="D140" s="222" t="s">
        <v>3218</v>
      </c>
      <c r="E140" s="222" t="s">
        <v>100</v>
      </c>
      <c r="F140" s="383">
        <v>2000</v>
      </c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</row>
    <row r="141" spans="1:25" ht="15.6">
      <c r="A141" s="316" t="s">
        <v>15</v>
      </c>
      <c r="B141" s="377">
        <v>2025</v>
      </c>
      <c r="C141" s="385" t="s">
        <v>3219</v>
      </c>
      <c r="D141" s="222" t="s">
        <v>3205</v>
      </c>
      <c r="E141" s="222" t="s">
        <v>100</v>
      </c>
      <c r="F141" s="383">
        <v>2000</v>
      </c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</row>
    <row r="142" spans="1:25" ht="15.6">
      <c r="A142" s="316" t="s">
        <v>15</v>
      </c>
      <c r="B142" s="377">
        <v>2025</v>
      </c>
      <c r="C142" s="385" t="s">
        <v>3220</v>
      </c>
      <c r="D142" s="222" t="s">
        <v>3190</v>
      </c>
      <c r="E142" s="222" t="s">
        <v>100</v>
      </c>
      <c r="F142" s="383">
        <v>2000</v>
      </c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</row>
    <row r="143" spans="1:25" ht="15.6">
      <c r="A143" s="316" t="s">
        <v>15</v>
      </c>
      <c r="B143" s="377">
        <v>2025</v>
      </c>
      <c r="C143" s="33" t="s">
        <v>3221</v>
      </c>
      <c r="D143" s="222" t="s">
        <v>3190</v>
      </c>
      <c r="E143" s="222" t="s">
        <v>100</v>
      </c>
      <c r="F143" s="383">
        <v>2000</v>
      </c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</row>
    <row r="144" spans="1:25" ht="15.6">
      <c r="A144" s="316" t="s">
        <v>15</v>
      </c>
      <c r="B144" s="377">
        <v>2025</v>
      </c>
      <c r="C144" s="33" t="s">
        <v>3222</v>
      </c>
      <c r="D144" s="222" t="s">
        <v>3190</v>
      </c>
      <c r="E144" s="222" t="s">
        <v>100</v>
      </c>
      <c r="F144" s="383">
        <v>2000</v>
      </c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</row>
    <row r="145" spans="1:25" ht="15.6">
      <c r="A145" s="316" t="s">
        <v>15</v>
      </c>
      <c r="B145" s="377">
        <v>2025</v>
      </c>
      <c r="C145" s="33" t="s">
        <v>3223</v>
      </c>
      <c r="D145" s="222" t="s">
        <v>3042</v>
      </c>
      <c r="E145" s="222" t="s">
        <v>100</v>
      </c>
      <c r="F145" s="383">
        <v>2000</v>
      </c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</row>
    <row r="146" spans="1:25" ht="15.6">
      <c r="A146" s="316" t="s">
        <v>15</v>
      </c>
      <c r="B146" s="377">
        <v>2025</v>
      </c>
      <c r="C146" s="33" t="s">
        <v>149</v>
      </c>
      <c r="D146" s="222" t="s">
        <v>3042</v>
      </c>
      <c r="E146" s="222" t="s">
        <v>100</v>
      </c>
      <c r="F146" s="383">
        <v>2000</v>
      </c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</row>
    <row r="147" spans="1:25" ht="15.6">
      <c r="A147" s="316" t="s">
        <v>15</v>
      </c>
      <c r="B147" s="377">
        <v>2025</v>
      </c>
      <c r="C147" s="33" t="s">
        <v>3224</v>
      </c>
      <c r="D147" s="222" t="s">
        <v>3053</v>
      </c>
      <c r="E147" s="222" t="s">
        <v>100</v>
      </c>
      <c r="F147" s="383">
        <v>2000</v>
      </c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</row>
    <row r="148" spans="1:25" ht="31.2">
      <c r="A148" s="316" t="s">
        <v>16</v>
      </c>
      <c r="B148" s="377">
        <v>2025</v>
      </c>
      <c r="C148" s="33" t="s">
        <v>3225</v>
      </c>
      <c r="D148" s="222" t="s">
        <v>3226</v>
      </c>
      <c r="E148" s="222"/>
      <c r="F148" s="383">
        <v>2000</v>
      </c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</row>
    <row r="149" spans="1:25" ht="31.2">
      <c r="A149" s="316" t="s">
        <v>16</v>
      </c>
      <c r="B149" s="377">
        <v>2025</v>
      </c>
      <c r="C149" s="33" t="s">
        <v>3227</v>
      </c>
      <c r="D149" s="222" t="s">
        <v>3228</v>
      </c>
      <c r="E149" s="222"/>
      <c r="F149" s="35">
        <v>1750</v>
      </c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</row>
    <row r="150" spans="1:25" ht="31.2">
      <c r="A150" s="316" t="s">
        <v>16</v>
      </c>
      <c r="B150" s="377">
        <v>2025</v>
      </c>
      <c r="C150" s="33" t="s">
        <v>3229</v>
      </c>
      <c r="D150" s="222" t="s">
        <v>3230</v>
      </c>
      <c r="E150" s="222"/>
      <c r="F150" s="316">
        <v>2000</v>
      </c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</row>
    <row r="151" spans="1:25" ht="46.8">
      <c r="A151" s="316" t="s">
        <v>16</v>
      </c>
      <c r="B151" s="377">
        <v>2025</v>
      </c>
      <c r="C151" s="33" t="s">
        <v>3231</v>
      </c>
      <c r="D151" s="222" t="s">
        <v>3232</v>
      </c>
      <c r="E151" s="222" t="s">
        <v>3042</v>
      </c>
      <c r="F151" s="316">
        <v>2000</v>
      </c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</row>
    <row r="152" spans="1:25" ht="31.2">
      <c r="A152" s="316" t="s">
        <v>16</v>
      </c>
      <c r="B152" s="377">
        <v>2025</v>
      </c>
      <c r="C152" s="33" t="s">
        <v>3233</v>
      </c>
      <c r="D152" s="222" t="s">
        <v>3234</v>
      </c>
      <c r="E152" s="222"/>
      <c r="F152" s="316">
        <v>2000</v>
      </c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</row>
    <row r="153" spans="1:25" ht="31.2">
      <c r="A153" s="316" t="s">
        <v>16</v>
      </c>
      <c r="B153" s="377">
        <v>2025</v>
      </c>
      <c r="C153" s="33" t="s">
        <v>3235</v>
      </c>
      <c r="D153" s="222" t="s">
        <v>3236</v>
      </c>
      <c r="E153" s="222"/>
      <c r="F153" s="316">
        <v>2000</v>
      </c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</row>
    <row r="154" spans="1:25" ht="31.2">
      <c r="A154" s="35" t="s">
        <v>16</v>
      </c>
      <c r="B154" s="377">
        <v>2025</v>
      </c>
      <c r="C154" s="33" t="s">
        <v>3237</v>
      </c>
      <c r="D154" s="33" t="s">
        <v>3238</v>
      </c>
      <c r="E154" s="222"/>
      <c r="F154" s="35">
        <v>2000</v>
      </c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</row>
    <row r="155" spans="1:25" ht="31.2">
      <c r="A155" s="316" t="s">
        <v>16</v>
      </c>
      <c r="B155" s="377">
        <v>2025</v>
      </c>
      <c r="C155" s="33" t="s">
        <v>3239</v>
      </c>
      <c r="D155" s="222" t="s">
        <v>3240</v>
      </c>
      <c r="E155" s="222"/>
      <c r="F155" s="316">
        <v>2000</v>
      </c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</row>
    <row r="156" spans="1:25" ht="46.8">
      <c r="A156" s="316" t="s">
        <v>16</v>
      </c>
      <c r="B156" s="377">
        <v>2025</v>
      </c>
      <c r="C156" s="33" t="s">
        <v>3241</v>
      </c>
      <c r="D156" s="222" t="s">
        <v>3242</v>
      </c>
      <c r="E156" s="222"/>
      <c r="F156" s="316">
        <v>2000</v>
      </c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</row>
    <row r="157" spans="1:25" ht="31.2">
      <c r="A157" s="316" t="s">
        <v>16</v>
      </c>
      <c r="B157" s="377">
        <v>2025</v>
      </c>
      <c r="C157" s="33" t="s">
        <v>3243</v>
      </c>
      <c r="D157" s="222" t="s">
        <v>3234</v>
      </c>
      <c r="E157" s="222"/>
      <c r="F157" s="316">
        <v>2000</v>
      </c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</row>
    <row r="158" spans="1:25" ht="31.2">
      <c r="A158" s="316" t="s">
        <v>16</v>
      </c>
      <c r="B158" s="377">
        <v>2025</v>
      </c>
      <c r="C158" s="33" t="s">
        <v>3244</v>
      </c>
      <c r="D158" s="222" t="s">
        <v>3245</v>
      </c>
      <c r="E158" s="222"/>
      <c r="F158" s="316">
        <v>2000</v>
      </c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</row>
    <row r="159" spans="1:25" ht="46.8">
      <c r="A159" s="316" t="s">
        <v>16</v>
      </c>
      <c r="B159" s="377">
        <v>2025</v>
      </c>
      <c r="C159" s="33" t="s">
        <v>3246</v>
      </c>
      <c r="D159" s="222" t="s">
        <v>3247</v>
      </c>
      <c r="E159" s="222" t="s">
        <v>3248</v>
      </c>
      <c r="F159" s="316">
        <v>2000</v>
      </c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</row>
    <row r="160" spans="1:25" ht="62.4">
      <c r="A160" s="35" t="s">
        <v>16</v>
      </c>
      <c r="B160" s="377">
        <v>2025</v>
      </c>
      <c r="C160" s="33" t="s">
        <v>3249</v>
      </c>
      <c r="D160" s="384"/>
      <c r="E160" s="33" t="s">
        <v>3250</v>
      </c>
      <c r="F160" s="35">
        <v>2000</v>
      </c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</row>
    <row r="161" spans="1:25" ht="46.8">
      <c r="A161" s="35" t="s">
        <v>16</v>
      </c>
      <c r="B161" s="377">
        <v>2025</v>
      </c>
      <c r="C161" s="33" t="s">
        <v>3251</v>
      </c>
      <c r="D161" s="33" t="s">
        <v>3252</v>
      </c>
      <c r="E161" s="222" t="s">
        <v>3205</v>
      </c>
      <c r="F161" s="35">
        <v>2000</v>
      </c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</row>
    <row r="162" spans="1:25" ht="46.8">
      <c r="A162" s="35" t="s">
        <v>16</v>
      </c>
      <c r="B162" s="377">
        <v>2025</v>
      </c>
      <c r="C162" s="33" t="s">
        <v>3253</v>
      </c>
      <c r="D162" s="33" t="s">
        <v>3254</v>
      </c>
      <c r="E162" s="222"/>
      <c r="F162" s="35">
        <v>2000</v>
      </c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</row>
    <row r="163" spans="1:25" ht="31.2">
      <c r="A163" s="316" t="s">
        <v>16</v>
      </c>
      <c r="B163" s="377">
        <v>2025</v>
      </c>
      <c r="C163" s="33" t="s">
        <v>3255</v>
      </c>
      <c r="D163" s="222" t="s">
        <v>3256</v>
      </c>
      <c r="E163" s="222"/>
      <c r="F163" s="316">
        <v>2000</v>
      </c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</row>
    <row r="164" spans="1:25" ht="31.2">
      <c r="A164" s="316" t="s">
        <v>16</v>
      </c>
      <c r="B164" s="377">
        <v>2025</v>
      </c>
      <c r="C164" s="33" t="s">
        <v>3257</v>
      </c>
      <c r="D164" s="222" t="s">
        <v>3234</v>
      </c>
      <c r="E164" s="222"/>
      <c r="F164" s="316">
        <v>2000</v>
      </c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</row>
    <row r="165" spans="1:25" ht="31.2">
      <c r="A165" s="316" t="s">
        <v>16</v>
      </c>
      <c r="B165" s="377">
        <v>2025</v>
      </c>
      <c r="C165" s="33" t="s">
        <v>1018</v>
      </c>
      <c r="D165" s="222" t="s">
        <v>3258</v>
      </c>
      <c r="E165" s="222"/>
      <c r="F165" s="316">
        <v>2000</v>
      </c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</row>
    <row r="166" spans="1:25" ht="31.2">
      <c r="A166" s="316" t="s">
        <v>16</v>
      </c>
      <c r="B166" s="377">
        <v>2025</v>
      </c>
      <c r="C166" s="222" t="s">
        <v>3259</v>
      </c>
      <c r="D166" s="222" t="s">
        <v>3260</v>
      </c>
      <c r="E166" s="222"/>
      <c r="F166" s="316">
        <v>500</v>
      </c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</row>
    <row r="167" spans="1:25" ht="78">
      <c r="A167" s="316" t="s">
        <v>24</v>
      </c>
      <c r="B167" s="377">
        <v>2025</v>
      </c>
      <c r="C167" s="222" t="s">
        <v>928</v>
      </c>
      <c r="D167" s="222" t="s">
        <v>3256</v>
      </c>
      <c r="E167" s="222" t="s">
        <v>3261</v>
      </c>
      <c r="F167" s="316">
        <v>2000</v>
      </c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</row>
    <row r="168" spans="1:25" ht="93.6">
      <c r="A168" s="316" t="s">
        <v>24</v>
      </c>
      <c r="B168" s="377">
        <v>2025</v>
      </c>
      <c r="C168" s="222" t="s">
        <v>1812</v>
      </c>
      <c r="D168" s="222" t="s">
        <v>3256</v>
      </c>
      <c r="E168" s="222" t="s">
        <v>3262</v>
      </c>
      <c r="F168" s="316">
        <v>2000</v>
      </c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</row>
    <row r="169" spans="1:25" ht="62.4">
      <c r="A169" s="316" t="s">
        <v>24</v>
      </c>
      <c r="B169" s="377">
        <v>2025</v>
      </c>
      <c r="C169" s="222" t="s">
        <v>3263</v>
      </c>
      <c r="D169" s="222" t="s">
        <v>3256</v>
      </c>
      <c r="E169" s="222" t="s">
        <v>3264</v>
      </c>
      <c r="F169" s="316">
        <v>2000</v>
      </c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</row>
    <row r="170" spans="1:25" ht="78">
      <c r="A170" s="316" t="s">
        <v>24</v>
      </c>
      <c r="B170" s="377">
        <v>2025</v>
      </c>
      <c r="C170" s="222" t="s">
        <v>3265</v>
      </c>
      <c r="D170" s="222" t="s">
        <v>3256</v>
      </c>
      <c r="E170" s="222" t="s">
        <v>3266</v>
      </c>
      <c r="F170" s="316">
        <v>2000</v>
      </c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</row>
    <row r="171" spans="1:25" ht="62.4">
      <c r="A171" s="316" t="s">
        <v>24</v>
      </c>
      <c r="B171" s="377">
        <v>2025</v>
      </c>
      <c r="C171" s="222" t="s">
        <v>920</v>
      </c>
      <c r="D171" s="222" t="s">
        <v>3256</v>
      </c>
      <c r="E171" s="222" t="s">
        <v>3267</v>
      </c>
      <c r="F171" s="316">
        <v>2000</v>
      </c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</row>
    <row r="172" spans="1:25" ht="15.6">
      <c r="A172" s="316"/>
      <c r="B172" s="222"/>
      <c r="C172" s="222"/>
      <c r="D172" s="222"/>
      <c r="E172" s="222"/>
      <c r="F172" s="316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</row>
    <row r="173" spans="1:25" ht="62.4">
      <c r="A173" s="316" t="s">
        <v>21</v>
      </c>
      <c r="B173" s="377">
        <v>2025</v>
      </c>
      <c r="C173" s="33" t="s">
        <v>3069</v>
      </c>
      <c r="D173" s="222"/>
      <c r="E173" s="222" t="s">
        <v>3268</v>
      </c>
      <c r="F173" s="374">
        <v>2000</v>
      </c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</row>
    <row r="174" spans="1:25" ht="62.4">
      <c r="A174" s="316" t="s">
        <v>21</v>
      </c>
      <c r="B174" s="377">
        <v>2025</v>
      </c>
      <c r="C174" s="222" t="s">
        <v>3269</v>
      </c>
      <c r="D174" s="222"/>
      <c r="E174" s="222" t="s">
        <v>3270</v>
      </c>
      <c r="F174" s="374">
        <v>2000</v>
      </c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</row>
    <row r="175" spans="1:25" ht="62.4">
      <c r="A175" s="316" t="s">
        <v>21</v>
      </c>
      <c r="B175" s="377">
        <v>2025</v>
      </c>
      <c r="C175" s="222" t="s">
        <v>3080</v>
      </c>
      <c r="D175" s="222"/>
      <c r="E175" s="222" t="s">
        <v>3270</v>
      </c>
      <c r="F175" s="374">
        <v>2000</v>
      </c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</row>
    <row r="176" spans="1:25" ht="62.4">
      <c r="A176" s="316" t="s">
        <v>21</v>
      </c>
      <c r="B176" s="377">
        <v>2025</v>
      </c>
      <c r="C176" s="222" t="s">
        <v>3271</v>
      </c>
      <c r="D176" s="222"/>
      <c r="E176" s="222" t="s">
        <v>3270</v>
      </c>
      <c r="F176" s="374">
        <v>2000</v>
      </c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</row>
    <row r="177" spans="1:25" ht="62.4">
      <c r="A177" s="316" t="s">
        <v>21</v>
      </c>
      <c r="B177" s="377">
        <v>2025</v>
      </c>
      <c r="C177" s="222" t="s">
        <v>3272</v>
      </c>
      <c r="D177" s="222"/>
      <c r="E177" s="222" t="s">
        <v>3270</v>
      </c>
      <c r="F177" s="374">
        <v>2000</v>
      </c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</row>
    <row r="178" spans="1:25" ht="62.4">
      <c r="A178" s="316" t="s">
        <v>21</v>
      </c>
      <c r="B178" s="377">
        <v>2025</v>
      </c>
      <c r="C178" s="222" t="s">
        <v>3273</v>
      </c>
      <c r="D178" s="222"/>
      <c r="E178" s="222" t="s">
        <v>3270</v>
      </c>
      <c r="F178" s="374">
        <v>2000</v>
      </c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</row>
    <row r="179" spans="1:25" ht="62.4">
      <c r="A179" s="316" t="s">
        <v>21</v>
      </c>
      <c r="B179" s="377">
        <v>2025</v>
      </c>
      <c r="C179" s="222" t="s">
        <v>3274</v>
      </c>
      <c r="D179" s="222"/>
      <c r="E179" s="222" t="s">
        <v>3270</v>
      </c>
      <c r="F179" s="374">
        <v>1500</v>
      </c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</row>
    <row r="180" spans="1:25" ht="62.4">
      <c r="A180" s="316" t="s">
        <v>21</v>
      </c>
      <c r="B180" s="377">
        <v>2025</v>
      </c>
      <c r="C180" s="222" t="s">
        <v>3275</v>
      </c>
      <c r="D180" s="222"/>
      <c r="E180" s="222" t="s">
        <v>3270</v>
      </c>
      <c r="F180" s="374">
        <v>1000</v>
      </c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</row>
    <row r="181" spans="1:25" ht="62.4">
      <c r="A181" s="316" t="s">
        <v>21</v>
      </c>
      <c r="B181" s="377">
        <v>2025</v>
      </c>
      <c r="C181" s="222" t="s">
        <v>3276</v>
      </c>
      <c r="D181" s="222"/>
      <c r="E181" s="222" t="s">
        <v>3270</v>
      </c>
      <c r="F181" s="374">
        <v>500</v>
      </c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</row>
    <row r="182" spans="1:25" ht="62.4">
      <c r="A182" s="316" t="s">
        <v>21</v>
      </c>
      <c r="B182" s="377">
        <v>2025</v>
      </c>
      <c r="C182" s="222" t="s">
        <v>3277</v>
      </c>
      <c r="D182" s="222"/>
      <c r="E182" s="222" t="s">
        <v>3278</v>
      </c>
      <c r="F182" s="374">
        <v>1000</v>
      </c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</row>
    <row r="183" spans="1:25" ht="15.6">
      <c r="A183" s="316" t="s">
        <v>17</v>
      </c>
      <c r="B183" s="377">
        <v>2025</v>
      </c>
      <c r="C183" s="222" t="s">
        <v>623</v>
      </c>
      <c r="D183" s="222" t="s">
        <v>3279</v>
      </c>
      <c r="E183" s="222"/>
      <c r="F183" s="316">
        <v>37800</v>
      </c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</row>
    <row r="184" spans="1:25" ht="31.2">
      <c r="A184" s="316" t="s">
        <v>17</v>
      </c>
      <c r="B184" s="377">
        <v>2025</v>
      </c>
      <c r="C184" s="222" t="s">
        <v>3280</v>
      </c>
      <c r="D184" s="222" t="s">
        <v>3279</v>
      </c>
      <c r="E184" s="222"/>
      <c r="F184" s="316">
        <v>9900</v>
      </c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</row>
    <row r="185" spans="1:25" ht="31.2">
      <c r="A185" s="316" t="s">
        <v>17</v>
      </c>
      <c r="B185" s="377">
        <v>2025</v>
      </c>
      <c r="C185" s="222" t="s">
        <v>503</v>
      </c>
      <c r="D185" s="222" t="s">
        <v>3281</v>
      </c>
      <c r="E185" s="222"/>
      <c r="F185" s="316">
        <v>7200</v>
      </c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</row>
    <row r="186" spans="1:25" ht="15.6">
      <c r="A186" s="316" t="s">
        <v>17</v>
      </c>
      <c r="B186" s="377">
        <v>2025</v>
      </c>
      <c r="C186" s="222" t="s">
        <v>1736</v>
      </c>
      <c r="D186" s="222" t="s">
        <v>3281</v>
      </c>
      <c r="E186" s="222"/>
      <c r="F186" s="316">
        <v>3600</v>
      </c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</row>
    <row r="187" spans="1:25" ht="15.6">
      <c r="A187" s="316" t="s">
        <v>17</v>
      </c>
      <c r="B187" s="377">
        <v>2025</v>
      </c>
      <c r="C187" s="222" t="s">
        <v>3282</v>
      </c>
      <c r="D187" s="222" t="s">
        <v>3279</v>
      </c>
      <c r="E187" s="222"/>
      <c r="F187" s="316">
        <v>22200</v>
      </c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</row>
    <row r="188" spans="1:25" ht="15.6">
      <c r="A188" s="316" t="s">
        <v>17</v>
      </c>
      <c r="B188" s="377">
        <v>2025</v>
      </c>
      <c r="C188" s="222" t="s">
        <v>3283</v>
      </c>
      <c r="D188" s="222" t="s">
        <v>3281</v>
      </c>
      <c r="E188" s="222"/>
      <c r="F188" s="316">
        <v>47000</v>
      </c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</row>
    <row r="189" spans="1:25" ht="15.6">
      <c r="A189" s="316" t="s">
        <v>17</v>
      </c>
      <c r="B189" s="377">
        <v>2025</v>
      </c>
      <c r="C189" s="222" t="s">
        <v>3284</v>
      </c>
      <c r="D189" s="222" t="s">
        <v>3281</v>
      </c>
      <c r="E189" s="222"/>
      <c r="F189" s="316">
        <v>9600</v>
      </c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</row>
    <row r="190" spans="1:25" ht="15.6">
      <c r="A190" s="316" t="s">
        <v>17</v>
      </c>
      <c r="B190" s="377">
        <v>2025</v>
      </c>
      <c r="C190" s="222" t="s">
        <v>3284</v>
      </c>
      <c r="D190" s="222" t="s">
        <v>3279</v>
      </c>
      <c r="E190" s="222"/>
      <c r="F190" s="316">
        <v>7200</v>
      </c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</row>
    <row r="191" spans="1:25" ht="15.6">
      <c r="A191" s="316" t="s">
        <v>17</v>
      </c>
      <c r="B191" s="377">
        <v>2025</v>
      </c>
      <c r="C191" s="222" t="s">
        <v>951</v>
      </c>
      <c r="D191" s="222" t="s">
        <v>3281</v>
      </c>
      <c r="E191" s="222"/>
      <c r="F191" s="316">
        <v>3600</v>
      </c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</row>
    <row r="192" spans="1:25" ht="15.6">
      <c r="A192" s="316" t="s">
        <v>17</v>
      </c>
      <c r="B192" s="377">
        <v>2025</v>
      </c>
      <c r="C192" s="222" t="s">
        <v>951</v>
      </c>
      <c r="D192" s="222" t="s">
        <v>3279</v>
      </c>
      <c r="E192" s="222"/>
      <c r="F192" s="316">
        <v>7200</v>
      </c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</row>
    <row r="193" spans="1:25" ht="15.6">
      <c r="A193" s="316" t="s">
        <v>17</v>
      </c>
      <c r="B193" s="377">
        <v>2025</v>
      </c>
      <c r="C193" s="222" t="s">
        <v>3285</v>
      </c>
      <c r="D193" s="222" t="s">
        <v>3281</v>
      </c>
      <c r="E193" s="222"/>
      <c r="F193" s="316">
        <v>3600</v>
      </c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</row>
    <row r="194" spans="1:25" ht="15.6">
      <c r="A194" s="316" t="s">
        <v>17</v>
      </c>
      <c r="B194" s="377">
        <v>2025</v>
      </c>
      <c r="C194" s="222" t="s">
        <v>3285</v>
      </c>
      <c r="D194" s="222" t="s">
        <v>3279</v>
      </c>
      <c r="E194" s="222"/>
      <c r="F194" s="316">
        <v>7200</v>
      </c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</row>
    <row r="195" spans="1:25" ht="15.6">
      <c r="A195" s="316" t="s">
        <v>24</v>
      </c>
      <c r="B195" s="377">
        <v>2025</v>
      </c>
      <c r="C195" s="222" t="s">
        <v>3086</v>
      </c>
      <c r="D195" s="222" t="s">
        <v>3281</v>
      </c>
      <c r="E195" s="222"/>
      <c r="F195" s="316">
        <v>9600</v>
      </c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</row>
    <row r="196" spans="1:25" ht="15.6">
      <c r="A196" s="316" t="s">
        <v>24</v>
      </c>
      <c r="B196" s="377">
        <v>2025</v>
      </c>
      <c r="C196" s="222" t="s">
        <v>3086</v>
      </c>
      <c r="D196" s="222" t="s">
        <v>3279</v>
      </c>
      <c r="E196" s="222"/>
      <c r="F196" s="316">
        <v>4500</v>
      </c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</row>
    <row r="197" spans="1:25" ht="15.6">
      <c r="A197" s="316" t="s">
        <v>24</v>
      </c>
      <c r="B197" s="377">
        <v>2025</v>
      </c>
      <c r="C197" s="222" t="s">
        <v>1834</v>
      </c>
      <c r="D197" s="222" t="s">
        <v>3279</v>
      </c>
      <c r="E197" s="222"/>
      <c r="F197" s="316">
        <v>27000</v>
      </c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</row>
    <row r="198" spans="1:25" ht="15.6">
      <c r="A198" s="316" t="s">
        <v>24</v>
      </c>
      <c r="B198" s="377">
        <v>2025</v>
      </c>
      <c r="C198" s="222" t="s">
        <v>1834</v>
      </c>
      <c r="D198" s="222" t="s">
        <v>3281</v>
      </c>
      <c r="E198" s="222"/>
      <c r="F198" s="316">
        <v>2400</v>
      </c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</row>
    <row r="199" spans="1:25" ht="15.6">
      <c r="A199" s="316" t="s">
        <v>24</v>
      </c>
      <c r="B199" s="377">
        <v>2025</v>
      </c>
      <c r="C199" s="222" t="s">
        <v>3263</v>
      </c>
      <c r="D199" s="222" t="s">
        <v>3281</v>
      </c>
      <c r="E199" s="222"/>
      <c r="F199" s="316">
        <v>8900</v>
      </c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</row>
    <row r="200" spans="1:25" ht="15.6">
      <c r="A200" s="316" t="s">
        <v>24</v>
      </c>
      <c r="B200" s="377">
        <v>2025</v>
      </c>
      <c r="C200" s="222" t="s">
        <v>3286</v>
      </c>
      <c r="D200" s="222" t="s">
        <v>3281</v>
      </c>
      <c r="E200" s="222"/>
      <c r="F200" s="316">
        <v>7200</v>
      </c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</row>
    <row r="201" spans="1:25" ht="15.6">
      <c r="A201" s="316" t="s">
        <v>24</v>
      </c>
      <c r="B201" s="377">
        <v>2025</v>
      </c>
      <c r="C201" s="222" t="s">
        <v>3287</v>
      </c>
      <c r="D201" s="222" t="s">
        <v>3281</v>
      </c>
      <c r="E201" s="222"/>
      <c r="F201" s="316">
        <v>19800</v>
      </c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</row>
    <row r="202" spans="1:25" ht="15.6">
      <c r="A202" s="316" t="s">
        <v>24</v>
      </c>
      <c r="B202" s="377">
        <v>2025</v>
      </c>
      <c r="C202" s="222" t="s">
        <v>3288</v>
      </c>
      <c r="D202" s="222" t="s">
        <v>3281</v>
      </c>
      <c r="E202" s="222"/>
      <c r="F202" s="316">
        <v>7200</v>
      </c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</row>
    <row r="203" spans="1:25" ht="15.6">
      <c r="A203" s="316" t="s">
        <v>16</v>
      </c>
      <c r="B203" s="377">
        <v>2025</v>
      </c>
      <c r="C203" s="33" t="s">
        <v>3229</v>
      </c>
      <c r="D203" s="222" t="s">
        <v>2838</v>
      </c>
      <c r="E203" s="222"/>
      <c r="F203" s="316">
        <v>40800</v>
      </c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</row>
    <row r="204" spans="1:25" ht="31.2">
      <c r="A204" s="316" t="s">
        <v>16</v>
      </c>
      <c r="B204" s="377">
        <v>2025</v>
      </c>
      <c r="C204" s="33" t="s">
        <v>3231</v>
      </c>
      <c r="D204" s="222" t="s">
        <v>2838</v>
      </c>
      <c r="E204" s="222"/>
      <c r="F204" s="316">
        <v>40800</v>
      </c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</row>
    <row r="205" spans="1:25" ht="15.6">
      <c r="A205" s="316" t="s">
        <v>16</v>
      </c>
      <c r="B205" s="377">
        <v>2025</v>
      </c>
      <c r="C205" s="33" t="s">
        <v>3233</v>
      </c>
      <c r="D205" s="222" t="s">
        <v>3289</v>
      </c>
      <c r="E205" s="222"/>
      <c r="F205" s="316">
        <v>18000</v>
      </c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</row>
    <row r="206" spans="1:25" ht="15.6">
      <c r="A206" s="316" t="s">
        <v>16</v>
      </c>
      <c r="B206" s="377">
        <v>2025</v>
      </c>
      <c r="C206" s="33" t="s">
        <v>3235</v>
      </c>
      <c r="D206" s="222" t="s">
        <v>3289</v>
      </c>
      <c r="E206" s="222"/>
      <c r="F206" s="316">
        <v>18000</v>
      </c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</row>
    <row r="207" spans="1:25" ht="15.6">
      <c r="A207" s="35" t="s">
        <v>16</v>
      </c>
      <c r="B207" s="377">
        <v>2025</v>
      </c>
      <c r="C207" s="33" t="s">
        <v>3237</v>
      </c>
      <c r="D207" s="222" t="s">
        <v>2838</v>
      </c>
      <c r="E207" s="222"/>
      <c r="F207" s="35">
        <v>33600</v>
      </c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</row>
    <row r="208" spans="1:25" ht="31.2">
      <c r="A208" s="316" t="s">
        <v>16</v>
      </c>
      <c r="B208" s="377">
        <v>2025</v>
      </c>
      <c r="C208" s="33" t="s">
        <v>3239</v>
      </c>
      <c r="D208" s="222" t="s">
        <v>2838</v>
      </c>
      <c r="E208" s="222"/>
      <c r="F208" s="316">
        <v>20800</v>
      </c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</row>
    <row r="209" spans="1:25" ht="31.2">
      <c r="A209" s="316" t="s">
        <v>16</v>
      </c>
      <c r="B209" s="377">
        <v>2025</v>
      </c>
      <c r="C209" s="222" t="s">
        <v>3290</v>
      </c>
      <c r="D209" s="222" t="s">
        <v>2838</v>
      </c>
      <c r="E209" s="222"/>
      <c r="F209" s="316">
        <v>9600</v>
      </c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</row>
    <row r="210" spans="1:25" ht="15.6">
      <c r="A210" s="316" t="s">
        <v>16</v>
      </c>
      <c r="B210" s="377">
        <v>2025</v>
      </c>
      <c r="C210" s="222" t="s">
        <v>3291</v>
      </c>
      <c r="D210" s="222" t="s">
        <v>2838</v>
      </c>
      <c r="E210" s="222"/>
      <c r="F210" s="316">
        <v>9600</v>
      </c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</row>
    <row r="211" spans="1:25" ht="46.8">
      <c r="A211" s="316" t="s">
        <v>2254</v>
      </c>
      <c r="B211" s="377">
        <v>2025</v>
      </c>
      <c r="C211" s="222" t="s">
        <v>122</v>
      </c>
      <c r="D211" s="222" t="s">
        <v>3292</v>
      </c>
      <c r="E211" s="222" t="s">
        <v>3293</v>
      </c>
      <c r="F211" s="316">
        <v>33800</v>
      </c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</row>
    <row r="212" spans="1:25" ht="46.8">
      <c r="A212" s="316" t="s">
        <v>2254</v>
      </c>
      <c r="B212" s="377">
        <v>2025</v>
      </c>
      <c r="C212" s="222" t="s">
        <v>3294</v>
      </c>
      <c r="D212" s="222" t="s">
        <v>3295</v>
      </c>
      <c r="E212" s="222" t="s">
        <v>3296</v>
      </c>
      <c r="F212" s="316">
        <v>4450</v>
      </c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</row>
    <row r="213" spans="1:25" ht="46.8">
      <c r="A213" s="316" t="s">
        <v>2254</v>
      </c>
      <c r="B213" s="377">
        <v>2025</v>
      </c>
      <c r="C213" s="222" t="s">
        <v>3297</v>
      </c>
      <c r="D213" s="222" t="s">
        <v>3114</v>
      </c>
      <c r="E213" s="222" t="s">
        <v>3293</v>
      </c>
      <c r="F213" s="316">
        <v>17000</v>
      </c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</row>
    <row r="214" spans="1:25" ht="46.8">
      <c r="A214" s="316" t="s">
        <v>2254</v>
      </c>
      <c r="B214" s="377">
        <v>2025</v>
      </c>
      <c r="C214" s="222" t="s">
        <v>3298</v>
      </c>
      <c r="D214" s="222"/>
      <c r="E214" s="222" t="s">
        <v>3296</v>
      </c>
      <c r="F214" s="316">
        <v>2000</v>
      </c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</row>
    <row r="215" spans="1:25" ht="46.8">
      <c r="A215" s="316" t="s">
        <v>2254</v>
      </c>
      <c r="B215" s="377">
        <v>2025</v>
      </c>
      <c r="C215" s="222" t="s">
        <v>3299</v>
      </c>
      <c r="D215" s="222"/>
      <c r="E215" s="222" t="s">
        <v>3293</v>
      </c>
      <c r="F215" s="316">
        <v>2000</v>
      </c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</row>
    <row r="216" spans="1:25" ht="46.8">
      <c r="A216" s="316" t="s">
        <v>2254</v>
      </c>
      <c r="B216" s="377">
        <v>2025</v>
      </c>
      <c r="C216" s="222" t="s">
        <v>3300</v>
      </c>
      <c r="D216" s="222"/>
      <c r="E216" s="222" t="s">
        <v>3296</v>
      </c>
      <c r="F216" s="316">
        <v>2000</v>
      </c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</row>
    <row r="217" spans="1:25" ht="46.8">
      <c r="A217" s="316" t="s">
        <v>2254</v>
      </c>
      <c r="B217" s="377">
        <v>2025</v>
      </c>
      <c r="C217" s="222" t="s">
        <v>3301</v>
      </c>
      <c r="D217" s="222"/>
      <c r="E217" s="222" t="s">
        <v>3293</v>
      </c>
      <c r="F217" s="316">
        <v>1600</v>
      </c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</row>
    <row r="218" spans="1:25" ht="46.8">
      <c r="A218" s="316" t="s">
        <v>2254</v>
      </c>
      <c r="B218" s="377">
        <v>2025</v>
      </c>
      <c r="C218" s="222" t="s">
        <v>3302</v>
      </c>
      <c r="D218" s="222"/>
      <c r="E218" s="222" t="s">
        <v>3296</v>
      </c>
      <c r="F218" s="316">
        <v>2000</v>
      </c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</row>
    <row r="219" spans="1:25" ht="46.8">
      <c r="A219" s="316" t="s">
        <v>2254</v>
      </c>
      <c r="B219" s="377">
        <v>2025</v>
      </c>
      <c r="C219" s="222" t="s">
        <v>3303</v>
      </c>
      <c r="D219" s="222"/>
      <c r="E219" s="222" t="s">
        <v>3293</v>
      </c>
      <c r="F219" s="316">
        <v>2000</v>
      </c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</row>
    <row r="220" spans="1:25" ht="46.8">
      <c r="A220" s="316" t="s">
        <v>2254</v>
      </c>
      <c r="B220" s="377">
        <v>2025</v>
      </c>
      <c r="C220" s="222" t="s">
        <v>3304</v>
      </c>
      <c r="D220" s="222"/>
      <c r="E220" s="222" t="s">
        <v>3296</v>
      </c>
      <c r="F220" s="316">
        <v>2000</v>
      </c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</row>
    <row r="221" spans="1:25" ht="46.8">
      <c r="A221" s="316" t="s">
        <v>2254</v>
      </c>
      <c r="B221" s="377">
        <v>2025</v>
      </c>
      <c r="C221" s="222" t="s">
        <v>3305</v>
      </c>
      <c r="D221" s="222"/>
      <c r="E221" s="222" t="s">
        <v>3293</v>
      </c>
      <c r="F221" s="316">
        <v>2000</v>
      </c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</row>
    <row r="222" spans="1:25" ht="46.8">
      <c r="A222" s="316" t="s">
        <v>2254</v>
      </c>
      <c r="B222" s="377">
        <v>2025</v>
      </c>
      <c r="C222" s="222" t="s">
        <v>3306</v>
      </c>
      <c r="D222" s="222"/>
      <c r="E222" s="222" t="s">
        <v>3296</v>
      </c>
      <c r="F222" s="316">
        <v>2000</v>
      </c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</row>
    <row r="223" spans="1:25" ht="46.8">
      <c r="A223" s="316" t="s">
        <v>2254</v>
      </c>
      <c r="B223" s="377">
        <v>2025</v>
      </c>
      <c r="C223" s="222" t="s">
        <v>3307</v>
      </c>
      <c r="D223" s="222"/>
      <c r="E223" s="222" t="s">
        <v>3293</v>
      </c>
      <c r="F223" s="316">
        <v>2000</v>
      </c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</row>
    <row r="224" spans="1:25" ht="46.8">
      <c r="A224" s="316" t="s">
        <v>2254</v>
      </c>
      <c r="B224" s="377">
        <v>2025</v>
      </c>
      <c r="C224" s="222" t="s">
        <v>3308</v>
      </c>
      <c r="D224" s="222"/>
      <c r="E224" s="222" t="s">
        <v>3296</v>
      </c>
      <c r="F224" s="316">
        <v>2000</v>
      </c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</row>
    <row r="225" spans="1:25" ht="46.8">
      <c r="A225" s="316" t="s">
        <v>2254</v>
      </c>
      <c r="B225" s="377">
        <v>2025</v>
      </c>
      <c r="C225" s="222" t="s">
        <v>3309</v>
      </c>
      <c r="D225" s="222"/>
      <c r="E225" s="222" t="s">
        <v>3293</v>
      </c>
      <c r="F225" s="316">
        <v>1100</v>
      </c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</row>
    <row r="226" spans="1:25" ht="31.2">
      <c r="A226" s="316" t="s">
        <v>596</v>
      </c>
      <c r="B226" s="377">
        <v>2025</v>
      </c>
      <c r="C226" s="33" t="s">
        <v>3310</v>
      </c>
      <c r="D226" s="222"/>
      <c r="E226" s="222" t="s">
        <v>3311</v>
      </c>
      <c r="F226" s="383">
        <v>1000</v>
      </c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</row>
    <row r="227" spans="1:25" ht="31.2">
      <c r="A227" s="316" t="s">
        <v>596</v>
      </c>
      <c r="B227" s="377">
        <v>2025</v>
      </c>
      <c r="C227" s="33" t="s">
        <v>3312</v>
      </c>
      <c r="D227" s="222"/>
      <c r="E227" s="222" t="s">
        <v>3313</v>
      </c>
      <c r="F227" s="383">
        <v>2000</v>
      </c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</row>
    <row r="228" spans="1:25" ht="46.8">
      <c r="A228" s="316" t="s">
        <v>596</v>
      </c>
      <c r="B228" s="377">
        <v>2025</v>
      </c>
      <c r="C228" s="33" t="s">
        <v>3314</v>
      </c>
      <c r="D228" s="222"/>
      <c r="E228" s="222" t="s">
        <v>3315</v>
      </c>
      <c r="F228" s="383">
        <v>2000</v>
      </c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</row>
    <row r="229" spans="1:25" ht="46.8">
      <c r="A229" s="316" t="s">
        <v>596</v>
      </c>
      <c r="B229" s="377">
        <v>2025</v>
      </c>
      <c r="C229" s="33" t="s">
        <v>3316</v>
      </c>
      <c r="D229" s="222"/>
      <c r="E229" s="222" t="s">
        <v>3315</v>
      </c>
      <c r="F229" s="383">
        <v>2000</v>
      </c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</row>
    <row r="230" spans="1:25" ht="46.8">
      <c r="A230" s="316" t="s">
        <v>596</v>
      </c>
      <c r="B230" s="377">
        <v>2025</v>
      </c>
      <c r="C230" s="33" t="s">
        <v>3317</v>
      </c>
      <c r="D230" s="222"/>
      <c r="E230" s="222" t="s">
        <v>3315</v>
      </c>
      <c r="F230" s="383">
        <v>2000</v>
      </c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</row>
    <row r="231" spans="1:25" ht="31.2">
      <c r="A231" s="316" t="s">
        <v>596</v>
      </c>
      <c r="B231" s="377">
        <v>2025</v>
      </c>
      <c r="C231" s="33" t="s">
        <v>3318</v>
      </c>
      <c r="D231" s="222"/>
      <c r="E231" s="222" t="s">
        <v>3313</v>
      </c>
      <c r="F231" s="383">
        <v>1760</v>
      </c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</row>
    <row r="232" spans="1:25" ht="31.2">
      <c r="A232" s="316" t="s">
        <v>596</v>
      </c>
      <c r="B232" s="377">
        <v>2025</v>
      </c>
      <c r="C232" s="33" t="s">
        <v>3319</v>
      </c>
      <c r="D232" s="222"/>
      <c r="E232" s="222" t="s">
        <v>3313</v>
      </c>
      <c r="F232" s="383">
        <v>1760</v>
      </c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</row>
    <row r="233" spans="1:25" ht="31.2">
      <c r="A233" s="316" t="s">
        <v>596</v>
      </c>
      <c r="B233" s="377">
        <v>2025</v>
      </c>
      <c r="C233" s="33" t="s">
        <v>3318</v>
      </c>
      <c r="D233" s="222"/>
      <c r="E233" s="222" t="s">
        <v>3320</v>
      </c>
      <c r="F233" s="383">
        <v>15000</v>
      </c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</row>
    <row r="234" spans="1:25" ht="15.6">
      <c r="A234" s="316" t="s">
        <v>1293</v>
      </c>
      <c r="B234" s="377">
        <v>2025</v>
      </c>
      <c r="C234" s="222" t="s">
        <v>3321</v>
      </c>
      <c r="D234" s="222" t="s">
        <v>3322</v>
      </c>
      <c r="E234" s="222"/>
      <c r="F234" s="316">
        <v>10000</v>
      </c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</row>
    <row r="235" spans="1:25" ht="31.2">
      <c r="A235" s="316" t="s">
        <v>20</v>
      </c>
      <c r="B235" s="377">
        <v>2025</v>
      </c>
      <c r="C235" s="222" t="s">
        <v>3323</v>
      </c>
      <c r="D235" s="222" t="s">
        <v>3324</v>
      </c>
      <c r="E235" s="222"/>
      <c r="F235" s="316">
        <v>20000</v>
      </c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</row>
    <row r="236" spans="1:25" ht="15.6">
      <c r="A236" s="316" t="s">
        <v>20</v>
      </c>
      <c r="B236" s="377">
        <v>2025</v>
      </c>
      <c r="C236" s="222" t="s">
        <v>3325</v>
      </c>
      <c r="D236" s="222" t="s">
        <v>3326</v>
      </c>
      <c r="E236" s="222"/>
      <c r="F236" s="316">
        <v>15000</v>
      </c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</row>
    <row r="237" spans="1:25" ht="31.2">
      <c r="A237" s="316" t="s">
        <v>1293</v>
      </c>
      <c r="B237" s="377">
        <v>2025</v>
      </c>
      <c r="C237" s="222" t="s">
        <v>3327</v>
      </c>
      <c r="D237" s="222" t="s">
        <v>3328</v>
      </c>
      <c r="E237" s="222"/>
      <c r="F237" s="316">
        <v>10000</v>
      </c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</row>
    <row r="238" spans="1:25" ht="15.6">
      <c r="A238" s="316" t="s">
        <v>20</v>
      </c>
      <c r="B238" s="377">
        <v>2025</v>
      </c>
      <c r="C238" s="222" t="s">
        <v>1360</v>
      </c>
      <c r="D238" s="222" t="s">
        <v>3329</v>
      </c>
      <c r="E238" s="222"/>
      <c r="F238" s="316">
        <v>10000</v>
      </c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</row>
    <row r="239" spans="1:25" ht="15.6">
      <c r="A239" s="316" t="s">
        <v>20</v>
      </c>
      <c r="B239" s="377">
        <v>2025</v>
      </c>
      <c r="C239" s="222" t="s">
        <v>3330</v>
      </c>
      <c r="D239" s="222" t="s">
        <v>3331</v>
      </c>
      <c r="E239" s="222"/>
      <c r="F239" s="316">
        <v>5000</v>
      </c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</row>
    <row r="240" spans="1:25" ht="31.2">
      <c r="A240" s="316" t="s">
        <v>20</v>
      </c>
      <c r="B240" s="377">
        <v>2025</v>
      </c>
      <c r="C240" s="222" t="s">
        <v>3332</v>
      </c>
      <c r="D240" s="222" t="s">
        <v>3296</v>
      </c>
      <c r="E240" s="222"/>
      <c r="F240" s="316">
        <v>2000</v>
      </c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</row>
    <row r="241" spans="1:25" ht="46.8">
      <c r="A241" s="316" t="s">
        <v>20</v>
      </c>
      <c r="B241" s="377">
        <v>2025</v>
      </c>
      <c r="C241" s="222" t="s">
        <v>1372</v>
      </c>
      <c r="D241" s="222" t="s">
        <v>3293</v>
      </c>
      <c r="E241" s="222"/>
      <c r="F241" s="316">
        <v>2000</v>
      </c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</row>
    <row r="242" spans="1:25" ht="31.2">
      <c r="A242" s="316" t="s">
        <v>20</v>
      </c>
      <c r="B242" s="377">
        <v>2025</v>
      </c>
      <c r="C242" s="222" t="s">
        <v>1366</v>
      </c>
      <c r="D242" s="222" t="s">
        <v>3296</v>
      </c>
      <c r="E242" s="222"/>
      <c r="F242" s="316">
        <v>2000</v>
      </c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</row>
    <row r="243" spans="1:25" ht="31.2">
      <c r="A243" s="316" t="s">
        <v>20</v>
      </c>
      <c r="B243" s="377">
        <v>2025</v>
      </c>
      <c r="C243" s="222" t="s">
        <v>3333</v>
      </c>
      <c r="D243" s="222" t="s">
        <v>3296</v>
      </c>
      <c r="E243" s="222"/>
      <c r="F243" s="316">
        <v>2000</v>
      </c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</row>
    <row r="244" spans="1:25" ht="31.2">
      <c r="A244" s="316" t="s">
        <v>1293</v>
      </c>
      <c r="B244" s="377">
        <v>2025</v>
      </c>
      <c r="C244" s="222" t="s">
        <v>3334</v>
      </c>
      <c r="D244" s="222" t="s">
        <v>3296</v>
      </c>
      <c r="E244" s="222"/>
      <c r="F244" s="316">
        <v>2000</v>
      </c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</row>
    <row r="245" spans="1:25" ht="31.2">
      <c r="A245" s="316" t="s">
        <v>1293</v>
      </c>
      <c r="B245" s="377">
        <v>2025</v>
      </c>
      <c r="C245" s="222" t="s">
        <v>1330</v>
      </c>
      <c r="D245" s="222" t="s">
        <v>3296</v>
      </c>
      <c r="E245" s="222"/>
      <c r="F245" s="316">
        <v>2000</v>
      </c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</row>
    <row r="246" spans="1:25" ht="31.2">
      <c r="A246" s="316" t="s">
        <v>1293</v>
      </c>
      <c r="B246" s="377">
        <v>2025</v>
      </c>
      <c r="C246" s="222" t="s">
        <v>1304</v>
      </c>
      <c r="D246" s="222" t="s">
        <v>3296</v>
      </c>
      <c r="E246" s="222"/>
      <c r="F246" s="316">
        <v>2000</v>
      </c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</row>
    <row r="247" spans="1:25" ht="31.2">
      <c r="A247" s="316" t="s">
        <v>1293</v>
      </c>
      <c r="B247" s="377">
        <v>2025</v>
      </c>
      <c r="C247" s="222" t="s">
        <v>1420</v>
      </c>
      <c r="D247" s="222" t="s">
        <v>3296</v>
      </c>
      <c r="E247" s="222"/>
      <c r="F247" s="316">
        <v>2000</v>
      </c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</row>
    <row r="248" spans="1:25" ht="31.2">
      <c r="A248" s="316" t="s">
        <v>1293</v>
      </c>
      <c r="B248" s="377">
        <v>2025</v>
      </c>
      <c r="C248" s="222" t="s">
        <v>1309</v>
      </c>
      <c r="D248" s="222" t="s">
        <v>3296</v>
      </c>
      <c r="E248" s="222"/>
      <c r="F248" s="316">
        <v>2000</v>
      </c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</row>
    <row r="249" spans="1:25" ht="15.6">
      <c r="A249" s="316" t="s">
        <v>1293</v>
      </c>
      <c r="B249" s="377">
        <v>2025</v>
      </c>
      <c r="C249" s="222" t="s">
        <v>1979</v>
      </c>
      <c r="D249" s="222" t="s">
        <v>3335</v>
      </c>
      <c r="E249" s="222"/>
      <c r="F249" s="316">
        <v>2000</v>
      </c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</row>
    <row r="250" spans="1:25" ht="15.6">
      <c r="A250" s="316" t="s">
        <v>1293</v>
      </c>
      <c r="B250" s="377">
        <v>2025</v>
      </c>
      <c r="C250" s="222" t="s">
        <v>1984</v>
      </c>
      <c r="D250" s="222" t="s">
        <v>3335</v>
      </c>
      <c r="E250" s="222"/>
      <c r="F250" s="316">
        <v>2000</v>
      </c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</row>
    <row r="251" spans="1:25" ht="15.6">
      <c r="A251" s="316" t="s">
        <v>18</v>
      </c>
      <c r="B251" s="377">
        <v>2025</v>
      </c>
      <c r="C251" s="33" t="s">
        <v>154</v>
      </c>
      <c r="D251" s="222" t="s">
        <v>3336</v>
      </c>
      <c r="E251" s="222"/>
      <c r="F251" s="383">
        <v>19200</v>
      </c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</row>
    <row r="252" spans="1:25" ht="15.6">
      <c r="A252" s="316" t="s">
        <v>18</v>
      </c>
      <c r="B252" s="377">
        <v>2025</v>
      </c>
      <c r="C252" s="33" t="s">
        <v>217</v>
      </c>
      <c r="D252" s="222" t="s">
        <v>3336</v>
      </c>
      <c r="E252" s="222"/>
      <c r="F252" s="383">
        <v>22800</v>
      </c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</row>
    <row r="253" spans="1:25" ht="15.6">
      <c r="A253" s="316" t="s">
        <v>18</v>
      </c>
      <c r="B253" s="377">
        <v>2025</v>
      </c>
      <c r="C253" s="379" t="s">
        <v>797</v>
      </c>
      <c r="D253" s="222" t="s">
        <v>3336</v>
      </c>
      <c r="E253" s="222"/>
      <c r="F253" s="383">
        <v>12000</v>
      </c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</row>
    <row r="254" spans="1:25" ht="31.2">
      <c r="A254" s="316" t="s">
        <v>18</v>
      </c>
      <c r="B254" s="377">
        <v>2025</v>
      </c>
      <c r="C254" s="33" t="s">
        <v>3156</v>
      </c>
      <c r="D254" s="222" t="s">
        <v>3336</v>
      </c>
      <c r="E254" s="222"/>
      <c r="F254" s="383">
        <v>119680</v>
      </c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</row>
    <row r="255" spans="1:25" ht="31.2">
      <c r="A255" s="316" t="s">
        <v>18</v>
      </c>
      <c r="B255" s="377">
        <v>2025</v>
      </c>
      <c r="C255" s="33" t="s">
        <v>3156</v>
      </c>
      <c r="D255" s="222" t="s">
        <v>3337</v>
      </c>
      <c r="E255" s="222"/>
      <c r="F255" s="383">
        <v>13200</v>
      </c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</row>
    <row r="256" spans="1:25" ht="31.2">
      <c r="A256" s="316" t="s">
        <v>18</v>
      </c>
      <c r="B256" s="377">
        <v>2025</v>
      </c>
      <c r="C256" s="33" t="s">
        <v>3156</v>
      </c>
      <c r="D256" s="222" t="s">
        <v>3134</v>
      </c>
      <c r="E256" s="222"/>
      <c r="F256" s="383">
        <v>5000</v>
      </c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</row>
    <row r="257" spans="1:25" ht="31.2">
      <c r="A257" s="316" t="s">
        <v>596</v>
      </c>
      <c r="B257" s="377">
        <v>2025</v>
      </c>
      <c r="C257" s="222" t="s">
        <v>3338</v>
      </c>
      <c r="D257" s="222" t="s">
        <v>3339</v>
      </c>
      <c r="E257" s="222"/>
      <c r="F257" s="316">
        <v>15000</v>
      </c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</row>
    <row r="258" spans="1:25" ht="15.6">
      <c r="A258" s="386" t="s">
        <v>3340</v>
      </c>
      <c r="B258" s="377">
        <v>2025</v>
      </c>
      <c r="C258" s="222" t="s">
        <v>122</v>
      </c>
      <c r="D258" s="387" t="s">
        <v>3295</v>
      </c>
      <c r="E258" s="387"/>
      <c r="F258" s="386">
        <v>1800</v>
      </c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</row>
    <row r="259" spans="1:25" ht="15.6">
      <c r="A259" s="388" t="s">
        <v>3340</v>
      </c>
      <c r="B259" s="377">
        <v>2025</v>
      </c>
      <c r="C259" s="222" t="s">
        <v>3294</v>
      </c>
      <c r="D259" s="387" t="s">
        <v>3295</v>
      </c>
      <c r="E259" s="387"/>
      <c r="F259" s="388">
        <v>2700</v>
      </c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</row>
    <row r="260" spans="1:25" ht="15.6">
      <c r="A260" s="388" t="s">
        <v>3340</v>
      </c>
      <c r="B260" s="377">
        <v>2025</v>
      </c>
      <c r="C260" s="222" t="s">
        <v>3297</v>
      </c>
      <c r="D260" s="387" t="s">
        <v>3114</v>
      </c>
      <c r="E260" s="387"/>
      <c r="F260" s="388">
        <v>15000</v>
      </c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</row>
    <row r="261" spans="1:25" ht="15.6">
      <c r="A261" s="316" t="s">
        <v>15</v>
      </c>
      <c r="B261" s="377">
        <v>2025</v>
      </c>
      <c r="C261" s="33" t="s">
        <v>3185</v>
      </c>
      <c r="D261" s="222" t="s">
        <v>3337</v>
      </c>
      <c r="E261" s="222"/>
      <c r="F261" s="383">
        <v>8100</v>
      </c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</row>
    <row r="262" spans="1:25" ht="31.2">
      <c r="A262" s="316" t="s">
        <v>15</v>
      </c>
      <c r="B262" s="377">
        <v>2025</v>
      </c>
      <c r="C262" s="33" t="s">
        <v>767</v>
      </c>
      <c r="D262" s="222" t="s">
        <v>3337</v>
      </c>
      <c r="E262" s="222"/>
      <c r="F262" s="383">
        <v>16200</v>
      </c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</row>
    <row r="263" spans="1:25" ht="15.6">
      <c r="A263" s="316" t="s">
        <v>15</v>
      </c>
      <c r="B263" s="377">
        <v>2025</v>
      </c>
      <c r="C263" s="33" t="s">
        <v>1242</v>
      </c>
      <c r="D263" s="222" t="s">
        <v>3341</v>
      </c>
      <c r="E263" s="222"/>
      <c r="F263" s="383">
        <v>8000</v>
      </c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</row>
    <row r="264" spans="1:25" ht="15.6">
      <c r="A264" s="316" t="s">
        <v>15</v>
      </c>
      <c r="B264" s="377">
        <v>2025</v>
      </c>
      <c r="C264" s="33" t="s">
        <v>3191</v>
      </c>
      <c r="D264" s="222" t="s">
        <v>3337</v>
      </c>
      <c r="E264" s="222"/>
      <c r="F264" s="383">
        <v>14400</v>
      </c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</row>
    <row r="265" spans="1:25" ht="15.6">
      <c r="A265" s="316" t="s">
        <v>15</v>
      </c>
      <c r="B265" s="377">
        <v>2025</v>
      </c>
      <c r="C265" s="33" t="s">
        <v>696</v>
      </c>
      <c r="D265" s="222" t="s">
        <v>3341</v>
      </c>
      <c r="E265" s="222"/>
      <c r="F265" s="383">
        <v>14309</v>
      </c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</row>
    <row r="266" spans="1:25" ht="15.6">
      <c r="A266" s="316" t="s">
        <v>15</v>
      </c>
      <c r="B266" s="377">
        <v>2025</v>
      </c>
      <c r="C266" s="33" t="s">
        <v>3194</v>
      </c>
      <c r="D266" s="222" t="s">
        <v>3341</v>
      </c>
      <c r="E266" s="222"/>
      <c r="F266" s="383">
        <v>8200</v>
      </c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</row>
    <row r="267" spans="1:25" ht="15.6">
      <c r="A267" s="316" t="s">
        <v>15</v>
      </c>
      <c r="B267" s="377">
        <v>2025</v>
      </c>
      <c r="C267" s="33" t="s">
        <v>3194</v>
      </c>
      <c r="D267" s="222" t="s">
        <v>3337</v>
      </c>
      <c r="E267" s="222"/>
      <c r="F267" s="383">
        <v>900</v>
      </c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</row>
    <row r="268" spans="1:25" ht="31.2">
      <c r="A268" s="316" t="s">
        <v>15</v>
      </c>
      <c r="B268" s="377">
        <v>2025</v>
      </c>
      <c r="C268" s="33" t="s">
        <v>3200</v>
      </c>
      <c r="D268" s="222" t="s">
        <v>3337</v>
      </c>
      <c r="E268" s="222"/>
      <c r="F268" s="383">
        <v>900</v>
      </c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</row>
    <row r="269" spans="1:25" ht="31.2">
      <c r="A269" s="316" t="s">
        <v>15</v>
      </c>
      <c r="B269" s="377">
        <v>2025</v>
      </c>
      <c r="C269" s="33" t="s">
        <v>3207</v>
      </c>
      <c r="D269" s="222" t="s">
        <v>3341</v>
      </c>
      <c r="E269" s="222"/>
      <c r="F269" s="383">
        <v>1200</v>
      </c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</row>
    <row r="270" spans="1:25" ht="31.2">
      <c r="A270" s="316" t="s">
        <v>15</v>
      </c>
      <c r="B270" s="377">
        <v>2025</v>
      </c>
      <c r="C270" s="33" t="s">
        <v>3207</v>
      </c>
      <c r="D270" s="222" t="s">
        <v>3337</v>
      </c>
      <c r="E270" s="222"/>
      <c r="F270" s="383">
        <v>18900</v>
      </c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</row>
    <row r="271" spans="1:25" ht="31.2">
      <c r="A271" s="316" t="s">
        <v>15</v>
      </c>
      <c r="B271" s="377">
        <v>2025</v>
      </c>
      <c r="C271" s="33" t="s">
        <v>3209</v>
      </c>
      <c r="D271" s="222" t="s">
        <v>3337</v>
      </c>
      <c r="E271" s="222"/>
      <c r="F271" s="383">
        <v>900</v>
      </c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</row>
    <row r="272" spans="1:25" ht="15.6">
      <c r="A272" s="316" t="s">
        <v>15</v>
      </c>
      <c r="B272" s="377">
        <v>2025</v>
      </c>
      <c r="C272" s="33" t="s">
        <v>1934</v>
      </c>
      <c r="D272" s="222" t="s">
        <v>3342</v>
      </c>
      <c r="E272" s="222"/>
      <c r="F272" s="383">
        <v>10000</v>
      </c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</row>
    <row r="273" spans="1:25" ht="15.6">
      <c r="A273" s="316" t="s">
        <v>15</v>
      </c>
      <c r="B273" s="377">
        <v>2025</v>
      </c>
      <c r="C273" s="33" t="s">
        <v>1934</v>
      </c>
      <c r="D273" s="222" t="s">
        <v>3343</v>
      </c>
      <c r="E273" s="222"/>
      <c r="F273" s="383">
        <v>10000</v>
      </c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</row>
    <row r="274" spans="1:25" ht="15.6">
      <c r="A274" s="316" t="s">
        <v>15</v>
      </c>
      <c r="B274" s="377">
        <v>2025</v>
      </c>
      <c r="C274" s="33" t="s">
        <v>1934</v>
      </c>
      <c r="D274" s="222" t="s">
        <v>3341</v>
      </c>
      <c r="E274" s="222"/>
      <c r="F274" s="383">
        <v>2400</v>
      </c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</row>
    <row r="275" spans="1:25" ht="15.6">
      <c r="A275" s="316" t="s">
        <v>15</v>
      </c>
      <c r="B275" s="377">
        <v>2025</v>
      </c>
      <c r="C275" s="33" t="s">
        <v>1934</v>
      </c>
      <c r="D275" s="222" t="s">
        <v>3337</v>
      </c>
      <c r="E275" s="222"/>
      <c r="F275" s="383">
        <v>17100</v>
      </c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</row>
    <row r="276" spans="1:25" ht="15.6">
      <c r="A276" s="316" t="s">
        <v>15</v>
      </c>
      <c r="B276" s="377">
        <v>2025</v>
      </c>
      <c r="C276" s="33" t="s">
        <v>3217</v>
      </c>
      <c r="D276" s="222" t="s">
        <v>3344</v>
      </c>
      <c r="E276" s="222"/>
      <c r="F276" s="383">
        <v>5000</v>
      </c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</row>
    <row r="277" spans="1:25" ht="31.2">
      <c r="A277" s="316" t="s">
        <v>15</v>
      </c>
      <c r="B277" s="377">
        <v>2025</v>
      </c>
      <c r="C277" s="33" t="s">
        <v>3217</v>
      </c>
      <c r="D277" s="222" t="s">
        <v>3345</v>
      </c>
      <c r="E277" s="222"/>
      <c r="F277" s="383">
        <v>22500</v>
      </c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</row>
    <row r="278" spans="1:25" ht="15.6">
      <c r="A278" s="316" t="s">
        <v>15</v>
      </c>
      <c r="B278" s="377">
        <v>2025</v>
      </c>
      <c r="C278" s="33" t="s">
        <v>3217</v>
      </c>
      <c r="D278" s="222" t="s">
        <v>3341</v>
      </c>
      <c r="E278" s="222"/>
      <c r="F278" s="383">
        <v>21600</v>
      </c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</row>
    <row r="279" spans="1:25" ht="15.6">
      <c r="A279" s="316" t="s">
        <v>15</v>
      </c>
      <c r="B279" s="377">
        <v>2025</v>
      </c>
      <c r="C279" s="33" t="s">
        <v>3219</v>
      </c>
      <c r="D279" s="222" t="s">
        <v>3341</v>
      </c>
      <c r="E279" s="222"/>
      <c r="F279" s="383">
        <v>5040</v>
      </c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</row>
    <row r="280" spans="1:25" ht="15.6">
      <c r="A280" s="316" t="s">
        <v>15</v>
      </c>
      <c r="B280" s="377">
        <v>2025</v>
      </c>
      <c r="C280" s="33" t="s">
        <v>3219</v>
      </c>
      <c r="D280" s="222" t="s">
        <v>3337</v>
      </c>
      <c r="E280" s="222"/>
      <c r="F280" s="383">
        <v>17100</v>
      </c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</row>
    <row r="281" spans="1:25" ht="15.6">
      <c r="A281" s="316" t="s">
        <v>15</v>
      </c>
      <c r="B281" s="377">
        <v>2025</v>
      </c>
      <c r="C281" s="33" t="s">
        <v>149</v>
      </c>
      <c r="D281" s="222" t="s">
        <v>3346</v>
      </c>
      <c r="E281" s="222"/>
      <c r="F281" s="383">
        <v>10000</v>
      </c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</row>
    <row r="282" spans="1:25" ht="15.6">
      <c r="A282" s="316" t="s">
        <v>15</v>
      </c>
      <c r="B282" s="377">
        <v>2025</v>
      </c>
      <c r="C282" s="33" t="s">
        <v>149</v>
      </c>
      <c r="D282" s="222" t="s">
        <v>3347</v>
      </c>
      <c r="E282" s="222"/>
      <c r="F282" s="383">
        <v>15000</v>
      </c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</row>
    <row r="283" spans="1:25" ht="15.6">
      <c r="A283" s="316" t="s">
        <v>15</v>
      </c>
      <c r="B283" s="377">
        <v>2025</v>
      </c>
      <c r="C283" s="33" t="s">
        <v>149</v>
      </c>
      <c r="D283" s="222" t="s">
        <v>3347</v>
      </c>
      <c r="E283" s="222"/>
      <c r="F283" s="383">
        <v>15000</v>
      </c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</row>
    <row r="284" spans="1:25" ht="15.6">
      <c r="A284" s="316" t="s">
        <v>15</v>
      </c>
      <c r="B284" s="377">
        <v>2025</v>
      </c>
      <c r="C284" s="33" t="s">
        <v>3224</v>
      </c>
      <c r="D284" s="222" t="s">
        <v>3344</v>
      </c>
      <c r="E284" s="222"/>
      <c r="F284" s="383">
        <v>5000</v>
      </c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</row>
    <row r="285" spans="1:25" ht="31.2">
      <c r="A285" s="316" t="s">
        <v>15</v>
      </c>
      <c r="B285" s="377">
        <v>2025</v>
      </c>
      <c r="C285" s="33" t="s">
        <v>3211</v>
      </c>
      <c r="D285" s="222" t="s">
        <v>3337</v>
      </c>
      <c r="E285" s="222"/>
      <c r="F285" s="383">
        <v>900</v>
      </c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</row>
    <row r="286" spans="1:25" ht="31.2">
      <c r="A286" s="316" t="s">
        <v>15</v>
      </c>
      <c r="B286" s="377">
        <v>2025</v>
      </c>
      <c r="C286" s="33" t="s">
        <v>3122</v>
      </c>
      <c r="D286" s="222" t="s">
        <v>3341</v>
      </c>
      <c r="E286" s="222"/>
      <c r="F286" s="383">
        <v>5200</v>
      </c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</row>
    <row r="287" spans="1:25" ht="31.2">
      <c r="A287" s="316" t="s">
        <v>15</v>
      </c>
      <c r="B287" s="377">
        <v>2025</v>
      </c>
      <c r="C287" s="33" t="s">
        <v>3122</v>
      </c>
      <c r="D287" s="222" t="s">
        <v>3337</v>
      </c>
      <c r="E287" s="222"/>
      <c r="F287" s="383">
        <v>19800</v>
      </c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</row>
    <row r="288" spans="1:25" ht="31.2">
      <c r="A288" s="316" t="s">
        <v>15</v>
      </c>
      <c r="B288" s="377">
        <v>2025</v>
      </c>
      <c r="C288" s="33" t="s">
        <v>3100</v>
      </c>
      <c r="D288" s="222" t="s">
        <v>3337</v>
      </c>
      <c r="E288" s="222"/>
      <c r="F288" s="383">
        <v>22500</v>
      </c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</row>
    <row r="289" spans="1:25" ht="31.2">
      <c r="A289" s="316" t="s">
        <v>15</v>
      </c>
      <c r="B289" s="377">
        <v>2025</v>
      </c>
      <c r="C289" s="33" t="s">
        <v>3100</v>
      </c>
      <c r="D289" s="222" t="s">
        <v>3341</v>
      </c>
      <c r="E289" s="222"/>
      <c r="F289" s="383">
        <v>5800</v>
      </c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</row>
    <row r="290" spans="1:25" ht="13.2">
      <c r="A290" s="61"/>
      <c r="B290" s="21"/>
      <c r="C290" s="91"/>
      <c r="D290" s="21"/>
      <c r="E290" s="21"/>
      <c r="F290" s="61">
        <f>SUM(F4:F289)</f>
        <v>1866079</v>
      </c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</row>
    <row r="291" spans="1:25" ht="13.2">
      <c r="A291" s="61"/>
      <c r="B291" s="21"/>
      <c r="C291" s="91"/>
      <c r="D291" s="21"/>
      <c r="E291" s="21"/>
      <c r="F291" s="61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</row>
    <row r="292" spans="1:25" ht="13.2">
      <c r="A292" s="61"/>
      <c r="B292" s="21"/>
      <c r="C292" s="91"/>
      <c r="D292" s="21"/>
      <c r="E292" s="21"/>
      <c r="F292" s="61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</row>
    <row r="293" spans="1:25" ht="13.2">
      <c r="A293" s="61"/>
      <c r="B293" s="21"/>
      <c r="C293" s="91"/>
      <c r="D293" s="21"/>
      <c r="E293" s="21"/>
      <c r="F293" s="61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</row>
    <row r="294" spans="1:25" ht="13.2">
      <c r="A294" s="61"/>
      <c r="B294" s="21"/>
      <c r="C294" s="91"/>
      <c r="D294" s="21"/>
      <c r="E294" s="21"/>
      <c r="F294" s="61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</row>
    <row r="295" spans="1:25" ht="13.2">
      <c r="A295" s="61"/>
      <c r="B295" s="21"/>
      <c r="C295" s="91"/>
      <c r="D295" s="21"/>
      <c r="E295" s="21"/>
      <c r="F295" s="61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</row>
    <row r="296" spans="1:25" ht="13.2">
      <c r="A296" s="61"/>
      <c r="B296" s="21"/>
      <c r="C296" s="91"/>
      <c r="D296" s="21"/>
      <c r="E296" s="21"/>
      <c r="F296" s="61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</row>
    <row r="297" spans="1:25" ht="13.2">
      <c r="A297" s="61"/>
      <c r="B297" s="21"/>
      <c r="C297" s="91"/>
      <c r="D297" s="21"/>
      <c r="E297" s="21"/>
      <c r="F297" s="61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</row>
    <row r="298" spans="1:25" ht="13.2">
      <c r="A298" s="61"/>
      <c r="B298" s="21"/>
      <c r="C298" s="91"/>
      <c r="D298" s="21"/>
      <c r="E298" s="21"/>
      <c r="F298" s="61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</row>
    <row r="299" spans="1:25" ht="13.2">
      <c r="A299" s="61"/>
      <c r="B299" s="21"/>
      <c r="C299" s="91"/>
      <c r="D299" s="21"/>
      <c r="E299" s="21"/>
      <c r="F299" s="61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</row>
    <row r="300" spans="1:25" ht="13.2">
      <c r="A300" s="61"/>
      <c r="B300" s="21"/>
      <c r="C300" s="91"/>
      <c r="D300" s="21"/>
      <c r="E300" s="21"/>
      <c r="F300" s="61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</row>
    <row r="301" spans="1:25" ht="13.2">
      <c r="A301" s="61"/>
      <c r="B301" s="21"/>
      <c r="C301" s="91"/>
      <c r="D301" s="21"/>
      <c r="E301" s="21"/>
      <c r="F301" s="61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</row>
    <row r="302" spans="1:25" ht="13.2">
      <c r="A302" s="61"/>
      <c r="B302" s="21"/>
      <c r="C302" s="91"/>
      <c r="D302" s="21"/>
      <c r="E302" s="21"/>
      <c r="F302" s="61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</row>
    <row r="303" spans="1:25" ht="13.2">
      <c r="A303" s="61"/>
      <c r="B303" s="21"/>
      <c r="C303" s="91"/>
      <c r="D303" s="21"/>
      <c r="E303" s="21"/>
      <c r="F303" s="61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</row>
    <row r="304" spans="1:25" ht="13.2">
      <c r="A304" s="61"/>
      <c r="B304" s="21"/>
      <c r="C304" s="91"/>
      <c r="D304" s="21"/>
      <c r="E304" s="21"/>
      <c r="F304" s="61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</row>
    <row r="305" spans="1:25" ht="13.2">
      <c r="A305" s="61"/>
      <c r="B305" s="21"/>
      <c r="C305" s="91"/>
      <c r="D305" s="21"/>
      <c r="E305" s="21"/>
      <c r="F305" s="61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</row>
    <row r="306" spans="1:25" ht="13.2">
      <c r="A306" s="61"/>
      <c r="B306" s="21"/>
      <c r="C306" s="91"/>
      <c r="D306" s="21"/>
      <c r="E306" s="21"/>
      <c r="F306" s="61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</row>
    <row r="307" spans="1:25" ht="13.2">
      <c r="A307" s="61"/>
      <c r="B307" s="21"/>
      <c r="C307" s="91"/>
      <c r="D307" s="21"/>
      <c r="E307" s="21"/>
      <c r="F307" s="61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</row>
    <row r="308" spans="1:25" ht="13.2">
      <c r="A308" s="61"/>
      <c r="B308" s="21"/>
      <c r="C308" s="91"/>
      <c r="D308" s="21"/>
      <c r="E308" s="21"/>
      <c r="F308" s="61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</row>
    <row r="309" spans="1:25" ht="13.2">
      <c r="A309" s="61"/>
      <c r="B309" s="21"/>
      <c r="C309" s="91"/>
      <c r="D309" s="21"/>
      <c r="E309" s="21"/>
      <c r="F309" s="61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</row>
    <row r="310" spans="1:25" ht="13.2">
      <c r="A310" s="61"/>
      <c r="B310" s="21"/>
      <c r="C310" s="91"/>
      <c r="D310" s="21"/>
      <c r="E310" s="21"/>
      <c r="F310" s="61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</row>
    <row r="311" spans="1:25" ht="13.2">
      <c r="A311" s="61"/>
      <c r="B311" s="21"/>
      <c r="C311" s="91"/>
      <c r="D311" s="21"/>
      <c r="E311" s="21"/>
      <c r="F311" s="61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</row>
    <row r="312" spans="1:25" ht="13.2">
      <c r="A312" s="61"/>
      <c r="B312" s="21"/>
      <c r="C312" s="91"/>
      <c r="D312" s="21"/>
      <c r="E312" s="21"/>
      <c r="F312" s="61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</row>
    <row r="313" spans="1:25" ht="13.2">
      <c r="A313" s="61"/>
      <c r="B313" s="21"/>
      <c r="C313" s="91"/>
      <c r="D313" s="21"/>
      <c r="E313" s="21"/>
      <c r="F313" s="61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</row>
    <row r="314" spans="1:25" ht="13.2">
      <c r="A314" s="61"/>
      <c r="B314" s="21"/>
      <c r="C314" s="91"/>
      <c r="D314" s="21"/>
      <c r="E314" s="21"/>
      <c r="F314" s="61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</row>
    <row r="315" spans="1:25" ht="13.2">
      <c r="A315" s="61"/>
      <c r="B315" s="21"/>
      <c r="C315" s="91"/>
      <c r="D315" s="21"/>
      <c r="E315" s="21"/>
      <c r="F315" s="61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</row>
    <row r="316" spans="1:25" ht="13.2">
      <c r="A316" s="61"/>
      <c r="B316" s="21"/>
      <c r="C316" s="91"/>
      <c r="D316" s="21"/>
      <c r="E316" s="21"/>
      <c r="F316" s="61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</row>
    <row r="317" spans="1:25" ht="13.2">
      <c r="A317" s="61"/>
      <c r="B317" s="21"/>
      <c r="C317" s="91"/>
      <c r="D317" s="21"/>
      <c r="E317" s="21"/>
      <c r="F317" s="61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</row>
    <row r="318" spans="1:25" ht="13.2">
      <c r="A318" s="61"/>
      <c r="B318" s="21"/>
      <c r="C318" s="91"/>
      <c r="D318" s="21"/>
      <c r="E318" s="21"/>
      <c r="F318" s="61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</row>
    <row r="319" spans="1:25" ht="13.2">
      <c r="A319" s="61"/>
      <c r="B319" s="21"/>
      <c r="C319" s="91"/>
      <c r="D319" s="21"/>
      <c r="E319" s="21"/>
      <c r="F319" s="61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</row>
    <row r="320" spans="1:25" ht="13.2">
      <c r="A320" s="61"/>
      <c r="B320" s="21"/>
      <c r="C320" s="91"/>
      <c r="D320" s="21"/>
      <c r="E320" s="21"/>
      <c r="F320" s="61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</row>
    <row r="321" spans="1:25" ht="13.2">
      <c r="A321" s="61"/>
      <c r="B321" s="21"/>
      <c r="C321" s="91"/>
      <c r="D321" s="21"/>
      <c r="E321" s="21"/>
      <c r="F321" s="61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</row>
    <row r="322" spans="1:25" ht="13.2">
      <c r="A322" s="61"/>
      <c r="B322" s="21"/>
      <c r="C322" s="91"/>
      <c r="D322" s="21"/>
      <c r="E322" s="21"/>
      <c r="F322" s="61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</row>
    <row r="323" spans="1:25" ht="13.2">
      <c r="A323" s="61"/>
      <c r="B323" s="21"/>
      <c r="C323" s="91"/>
      <c r="D323" s="21"/>
      <c r="E323" s="21"/>
      <c r="F323" s="61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</row>
    <row r="324" spans="1:25" ht="13.2">
      <c r="A324" s="61"/>
      <c r="B324" s="21"/>
      <c r="C324" s="91"/>
      <c r="D324" s="21"/>
      <c r="E324" s="21"/>
      <c r="F324" s="61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</row>
    <row r="325" spans="1:25" ht="13.2">
      <c r="A325" s="61"/>
      <c r="B325" s="21"/>
      <c r="C325" s="91"/>
      <c r="D325" s="21"/>
      <c r="E325" s="21"/>
      <c r="F325" s="61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</row>
    <row r="326" spans="1:25" ht="13.2">
      <c r="A326" s="61"/>
      <c r="B326" s="21"/>
      <c r="C326" s="91"/>
      <c r="D326" s="21"/>
      <c r="E326" s="21"/>
      <c r="F326" s="61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</row>
    <row r="327" spans="1:25" ht="13.2">
      <c r="A327" s="61"/>
      <c r="B327" s="21"/>
      <c r="C327" s="91"/>
      <c r="D327" s="21"/>
      <c r="E327" s="21"/>
      <c r="F327" s="61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</row>
    <row r="328" spans="1:25" ht="13.2">
      <c r="A328" s="61"/>
      <c r="B328" s="21"/>
      <c r="C328" s="91"/>
      <c r="D328" s="21"/>
      <c r="E328" s="21"/>
      <c r="F328" s="61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</row>
    <row r="329" spans="1:25" ht="13.2">
      <c r="A329" s="61"/>
      <c r="B329" s="21"/>
      <c r="C329" s="91"/>
      <c r="D329" s="21"/>
      <c r="E329" s="21"/>
      <c r="F329" s="61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</row>
    <row r="330" spans="1:25" ht="13.2">
      <c r="A330" s="61"/>
      <c r="B330" s="21"/>
      <c r="C330" s="91"/>
      <c r="D330" s="21"/>
      <c r="E330" s="21"/>
      <c r="F330" s="61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</row>
    <row r="331" spans="1:25" ht="13.2">
      <c r="A331" s="61"/>
      <c r="B331" s="21"/>
      <c r="C331" s="91"/>
      <c r="D331" s="21"/>
      <c r="E331" s="21"/>
      <c r="F331" s="61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</row>
    <row r="332" spans="1:25" ht="13.2">
      <c r="A332" s="61"/>
      <c r="B332" s="21"/>
      <c r="C332" s="91"/>
      <c r="D332" s="21"/>
      <c r="E332" s="21"/>
      <c r="F332" s="61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</row>
    <row r="333" spans="1:25" ht="13.2">
      <c r="A333" s="61"/>
      <c r="B333" s="21"/>
      <c r="C333" s="91"/>
      <c r="D333" s="21"/>
      <c r="E333" s="21"/>
      <c r="F333" s="61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</row>
    <row r="334" spans="1:25" ht="13.2">
      <c r="A334" s="61"/>
      <c r="B334" s="21"/>
      <c r="C334" s="91"/>
      <c r="D334" s="21"/>
      <c r="E334" s="21"/>
      <c r="F334" s="61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</row>
    <row r="335" spans="1:25" ht="13.2">
      <c r="A335" s="61"/>
      <c r="B335" s="21"/>
      <c r="C335" s="91"/>
      <c r="D335" s="21"/>
      <c r="E335" s="21"/>
      <c r="F335" s="61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</row>
    <row r="336" spans="1:25" ht="13.2">
      <c r="A336" s="61"/>
      <c r="B336" s="21"/>
      <c r="C336" s="91"/>
      <c r="D336" s="21"/>
      <c r="E336" s="21"/>
      <c r="F336" s="61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</row>
    <row r="337" spans="1:25" ht="13.2">
      <c r="A337" s="61"/>
      <c r="B337" s="21"/>
      <c r="C337" s="91"/>
      <c r="D337" s="21"/>
      <c r="E337" s="21"/>
      <c r="F337" s="61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</row>
    <row r="338" spans="1:25" ht="13.2">
      <c r="A338" s="61"/>
      <c r="B338" s="21"/>
      <c r="C338" s="91"/>
      <c r="D338" s="21"/>
      <c r="E338" s="21"/>
      <c r="F338" s="61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</row>
    <row r="339" spans="1:25" ht="13.2">
      <c r="A339" s="61"/>
      <c r="B339" s="21"/>
      <c r="C339" s="91"/>
      <c r="D339" s="21"/>
      <c r="E339" s="21"/>
      <c r="F339" s="61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</row>
    <row r="340" spans="1:25" ht="13.2">
      <c r="A340" s="61"/>
      <c r="B340" s="21"/>
      <c r="C340" s="91"/>
      <c r="D340" s="21"/>
      <c r="E340" s="21"/>
      <c r="F340" s="61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</row>
    <row r="341" spans="1:25" ht="13.2">
      <c r="A341" s="61"/>
      <c r="B341" s="21"/>
      <c r="C341" s="91"/>
      <c r="D341" s="21"/>
      <c r="E341" s="21"/>
      <c r="F341" s="61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</row>
    <row r="342" spans="1:25" ht="13.2">
      <c r="A342" s="61"/>
      <c r="B342" s="21"/>
      <c r="C342" s="91"/>
      <c r="D342" s="21"/>
      <c r="E342" s="21"/>
      <c r="F342" s="61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</row>
    <row r="343" spans="1:25" ht="13.2">
      <c r="A343" s="61"/>
      <c r="B343" s="21"/>
      <c r="C343" s="91"/>
      <c r="D343" s="21"/>
      <c r="E343" s="21"/>
      <c r="F343" s="61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</row>
    <row r="344" spans="1:25" ht="13.2">
      <c r="A344" s="61"/>
      <c r="B344" s="21"/>
      <c r="C344" s="91"/>
      <c r="D344" s="21"/>
      <c r="E344" s="21"/>
      <c r="F344" s="61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</row>
    <row r="345" spans="1:25" ht="13.2">
      <c r="A345" s="61"/>
      <c r="B345" s="21"/>
      <c r="C345" s="91"/>
      <c r="D345" s="21"/>
      <c r="E345" s="21"/>
      <c r="F345" s="61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</row>
    <row r="346" spans="1:25" ht="13.2">
      <c r="A346" s="61"/>
      <c r="B346" s="21"/>
      <c r="C346" s="91"/>
      <c r="D346" s="21"/>
      <c r="E346" s="21"/>
      <c r="F346" s="61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</row>
    <row r="347" spans="1:25" ht="13.2">
      <c r="A347" s="61"/>
      <c r="B347" s="21"/>
      <c r="C347" s="91"/>
      <c r="D347" s="21"/>
      <c r="E347" s="21"/>
      <c r="F347" s="61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</row>
    <row r="348" spans="1:25" ht="13.2">
      <c r="A348" s="61"/>
      <c r="B348" s="21"/>
      <c r="C348" s="91"/>
      <c r="D348" s="21"/>
      <c r="E348" s="21"/>
      <c r="F348" s="61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</row>
    <row r="349" spans="1:25" ht="13.2">
      <c r="A349" s="61"/>
      <c r="B349" s="21"/>
      <c r="C349" s="91"/>
      <c r="D349" s="21"/>
      <c r="E349" s="21"/>
      <c r="F349" s="61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</row>
    <row r="350" spans="1:25" ht="13.2">
      <c r="A350" s="61"/>
      <c r="B350" s="21"/>
      <c r="C350" s="91"/>
      <c r="D350" s="21"/>
      <c r="E350" s="21"/>
      <c r="F350" s="61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</row>
    <row r="351" spans="1:25" ht="13.2">
      <c r="A351" s="61"/>
      <c r="B351" s="21"/>
      <c r="C351" s="91"/>
      <c r="D351" s="21"/>
      <c r="E351" s="21"/>
      <c r="F351" s="61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</row>
    <row r="352" spans="1:25" ht="13.2">
      <c r="A352" s="61"/>
      <c r="B352" s="21"/>
      <c r="C352" s="91"/>
      <c r="D352" s="21"/>
      <c r="E352" s="21"/>
      <c r="F352" s="61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</row>
    <row r="353" spans="1:25" ht="13.2">
      <c r="A353" s="61"/>
      <c r="B353" s="21"/>
      <c r="C353" s="91"/>
      <c r="D353" s="21"/>
      <c r="E353" s="21"/>
      <c r="F353" s="61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</row>
    <row r="354" spans="1:25" ht="13.2">
      <c r="A354" s="61"/>
      <c r="B354" s="21"/>
      <c r="C354" s="91"/>
      <c r="D354" s="21"/>
      <c r="E354" s="21"/>
      <c r="F354" s="61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</row>
    <row r="355" spans="1:25" ht="13.2">
      <c r="A355" s="61"/>
      <c r="B355" s="21"/>
      <c r="C355" s="91"/>
      <c r="D355" s="21"/>
      <c r="E355" s="21"/>
      <c r="F355" s="61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</row>
    <row r="356" spans="1:25" ht="13.2">
      <c r="A356" s="61"/>
      <c r="B356" s="21"/>
      <c r="C356" s="91"/>
      <c r="D356" s="21"/>
      <c r="E356" s="21"/>
      <c r="F356" s="61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</row>
    <row r="357" spans="1:25" ht="13.2">
      <c r="A357" s="61"/>
      <c r="B357" s="21"/>
      <c r="C357" s="91"/>
      <c r="D357" s="21"/>
      <c r="E357" s="21"/>
      <c r="F357" s="61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</row>
    <row r="358" spans="1:25" ht="13.2">
      <c r="A358" s="61"/>
      <c r="B358" s="21"/>
      <c r="C358" s="91"/>
      <c r="D358" s="21"/>
      <c r="E358" s="21"/>
      <c r="F358" s="61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</row>
    <row r="359" spans="1:25" ht="13.2">
      <c r="A359" s="61"/>
      <c r="B359" s="21"/>
      <c r="C359" s="91"/>
      <c r="D359" s="21"/>
      <c r="E359" s="21"/>
      <c r="F359" s="61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</row>
    <row r="360" spans="1:25" ht="13.2">
      <c r="A360" s="61"/>
      <c r="B360" s="21"/>
      <c r="C360" s="91"/>
      <c r="D360" s="21"/>
      <c r="E360" s="21"/>
      <c r="F360" s="61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</row>
    <row r="361" spans="1:25" ht="13.2">
      <c r="A361" s="61"/>
      <c r="B361" s="21"/>
      <c r="C361" s="91"/>
      <c r="D361" s="21"/>
      <c r="E361" s="21"/>
      <c r="F361" s="61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</row>
    <row r="362" spans="1:25" ht="13.2">
      <c r="A362" s="61"/>
      <c r="B362" s="21"/>
      <c r="C362" s="91"/>
      <c r="D362" s="21"/>
      <c r="E362" s="21"/>
      <c r="F362" s="61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</row>
    <row r="363" spans="1:25" ht="13.2">
      <c r="A363" s="61"/>
      <c r="B363" s="21"/>
      <c r="C363" s="91"/>
      <c r="D363" s="21"/>
      <c r="E363" s="21"/>
      <c r="F363" s="61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</row>
    <row r="364" spans="1:25" ht="13.2">
      <c r="A364" s="61"/>
      <c r="B364" s="21"/>
      <c r="C364" s="91"/>
      <c r="D364" s="21"/>
      <c r="E364" s="21"/>
      <c r="F364" s="61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</row>
    <row r="365" spans="1:25" ht="13.2">
      <c r="A365" s="61"/>
      <c r="B365" s="21"/>
      <c r="C365" s="91"/>
      <c r="D365" s="21"/>
      <c r="E365" s="21"/>
      <c r="F365" s="61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</row>
    <row r="366" spans="1:25" ht="13.2">
      <c r="A366" s="61"/>
      <c r="B366" s="21"/>
      <c r="C366" s="91"/>
      <c r="D366" s="21"/>
      <c r="E366" s="21"/>
      <c r="F366" s="61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</row>
    <row r="367" spans="1:25" ht="13.2">
      <c r="A367" s="61"/>
      <c r="B367" s="21"/>
      <c r="C367" s="91"/>
      <c r="D367" s="21"/>
      <c r="E367" s="21"/>
      <c r="F367" s="61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</row>
    <row r="368" spans="1:25" ht="13.2">
      <c r="A368" s="61"/>
      <c r="B368" s="21"/>
      <c r="C368" s="91"/>
      <c r="D368" s="21"/>
      <c r="E368" s="21"/>
      <c r="F368" s="61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</row>
    <row r="369" spans="1:25" ht="13.2">
      <c r="A369" s="61"/>
      <c r="B369" s="21"/>
      <c r="C369" s="91"/>
      <c r="D369" s="21"/>
      <c r="E369" s="21"/>
      <c r="F369" s="61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</row>
    <row r="370" spans="1:25" ht="13.2">
      <c r="A370" s="61"/>
      <c r="B370" s="21"/>
      <c r="C370" s="91"/>
      <c r="D370" s="21"/>
      <c r="E370" s="21"/>
      <c r="F370" s="61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</row>
    <row r="371" spans="1:25" ht="13.2">
      <c r="A371" s="61"/>
      <c r="B371" s="21"/>
      <c r="C371" s="91"/>
      <c r="D371" s="21"/>
      <c r="E371" s="21"/>
      <c r="F371" s="61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</row>
    <row r="372" spans="1:25" ht="13.2">
      <c r="A372" s="61"/>
      <c r="B372" s="21"/>
      <c r="C372" s="91"/>
      <c r="D372" s="21"/>
      <c r="E372" s="21"/>
      <c r="F372" s="61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</row>
    <row r="373" spans="1:25" ht="13.2">
      <c r="A373" s="61"/>
      <c r="B373" s="21"/>
      <c r="C373" s="91"/>
      <c r="D373" s="21"/>
      <c r="E373" s="21"/>
      <c r="F373" s="61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</row>
    <row r="374" spans="1:25" ht="13.2">
      <c r="A374" s="61"/>
      <c r="B374" s="21"/>
      <c r="C374" s="91"/>
      <c r="D374" s="21"/>
      <c r="E374" s="21"/>
      <c r="F374" s="61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</row>
    <row r="375" spans="1:25" ht="13.2">
      <c r="A375" s="61"/>
      <c r="B375" s="21"/>
      <c r="C375" s="91"/>
      <c r="D375" s="21"/>
      <c r="E375" s="21"/>
      <c r="F375" s="61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</row>
    <row r="376" spans="1:25" ht="13.2">
      <c r="A376" s="61"/>
      <c r="B376" s="21"/>
      <c r="C376" s="91"/>
      <c r="D376" s="21"/>
      <c r="E376" s="21"/>
      <c r="F376" s="61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</row>
    <row r="377" spans="1:25" ht="13.2">
      <c r="A377" s="61"/>
      <c r="B377" s="21"/>
      <c r="C377" s="91"/>
      <c r="D377" s="21"/>
      <c r="E377" s="21"/>
      <c r="F377" s="61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</row>
    <row r="378" spans="1:25" ht="13.2">
      <c r="A378" s="61"/>
      <c r="B378" s="21"/>
      <c r="C378" s="91"/>
      <c r="D378" s="21"/>
      <c r="E378" s="21"/>
      <c r="F378" s="61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</row>
    <row r="379" spans="1:25" ht="13.2">
      <c r="A379" s="61"/>
      <c r="B379" s="21"/>
      <c r="C379" s="91"/>
      <c r="D379" s="21"/>
      <c r="E379" s="21"/>
      <c r="F379" s="61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</row>
    <row r="380" spans="1:25" ht="13.2">
      <c r="A380" s="61"/>
      <c r="B380" s="21"/>
      <c r="C380" s="91"/>
      <c r="D380" s="21"/>
      <c r="E380" s="21"/>
      <c r="F380" s="61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</row>
    <row r="381" spans="1:25" ht="13.2">
      <c r="A381" s="61"/>
      <c r="B381" s="21"/>
      <c r="C381" s="91"/>
      <c r="D381" s="21"/>
      <c r="E381" s="21"/>
      <c r="F381" s="61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</row>
    <row r="382" spans="1:25" ht="13.2">
      <c r="A382" s="61"/>
      <c r="B382" s="21"/>
      <c r="C382" s="91"/>
      <c r="D382" s="21"/>
      <c r="E382" s="21"/>
      <c r="F382" s="61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</row>
    <row r="383" spans="1:25" ht="13.2">
      <c r="A383" s="61"/>
      <c r="B383" s="21"/>
      <c r="C383" s="91"/>
      <c r="D383" s="21"/>
      <c r="E383" s="21"/>
      <c r="F383" s="61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</row>
    <row r="384" spans="1:25" ht="13.2">
      <c r="A384" s="61"/>
      <c r="B384" s="21"/>
      <c r="C384" s="91"/>
      <c r="D384" s="21"/>
      <c r="E384" s="21"/>
      <c r="F384" s="61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</row>
    <row r="385" spans="1:25" ht="13.2">
      <c r="A385" s="61"/>
      <c r="B385" s="21"/>
      <c r="C385" s="91"/>
      <c r="D385" s="21"/>
      <c r="E385" s="21"/>
      <c r="F385" s="61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</row>
    <row r="386" spans="1:25" ht="13.2">
      <c r="A386" s="61"/>
      <c r="B386" s="21"/>
      <c r="C386" s="91"/>
      <c r="D386" s="21"/>
      <c r="E386" s="21"/>
      <c r="F386" s="61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</row>
    <row r="387" spans="1:25" ht="13.2">
      <c r="A387" s="61"/>
      <c r="B387" s="21"/>
      <c r="C387" s="91"/>
      <c r="D387" s="21"/>
      <c r="E387" s="21"/>
      <c r="F387" s="61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</row>
    <row r="388" spans="1:25" ht="13.2">
      <c r="A388" s="61"/>
      <c r="B388" s="21"/>
      <c r="C388" s="91"/>
      <c r="D388" s="21"/>
      <c r="E388" s="21"/>
      <c r="F388" s="61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</row>
    <row r="389" spans="1:25" ht="13.2">
      <c r="A389" s="61"/>
      <c r="B389" s="21"/>
      <c r="C389" s="91"/>
      <c r="D389" s="21"/>
      <c r="E389" s="21"/>
      <c r="F389" s="61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</row>
    <row r="390" spans="1:25" ht="13.2">
      <c r="A390" s="61"/>
      <c r="B390" s="21"/>
      <c r="C390" s="91"/>
      <c r="D390" s="21"/>
      <c r="E390" s="21"/>
      <c r="F390" s="61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</row>
    <row r="391" spans="1:25" ht="13.2">
      <c r="A391" s="61"/>
      <c r="B391" s="21"/>
      <c r="C391" s="91"/>
      <c r="D391" s="21"/>
      <c r="E391" s="21"/>
      <c r="F391" s="61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</row>
    <row r="392" spans="1:25" ht="13.2">
      <c r="A392" s="61"/>
      <c r="B392" s="21"/>
      <c r="C392" s="91"/>
      <c r="D392" s="21"/>
      <c r="E392" s="21"/>
      <c r="F392" s="61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</row>
    <row r="393" spans="1:25" ht="13.2">
      <c r="A393" s="61"/>
      <c r="B393" s="21"/>
      <c r="C393" s="91"/>
      <c r="D393" s="21"/>
      <c r="E393" s="21"/>
      <c r="F393" s="61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</row>
    <row r="394" spans="1:25" ht="13.2">
      <c r="A394" s="61"/>
      <c r="B394" s="21"/>
      <c r="C394" s="91"/>
      <c r="D394" s="21"/>
      <c r="E394" s="21"/>
      <c r="F394" s="61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</row>
    <row r="395" spans="1:25" ht="13.2">
      <c r="A395" s="61"/>
      <c r="B395" s="21"/>
      <c r="C395" s="91"/>
      <c r="D395" s="21"/>
      <c r="E395" s="21"/>
      <c r="F395" s="61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</row>
    <row r="396" spans="1:25" ht="13.2">
      <c r="A396" s="61"/>
      <c r="B396" s="21"/>
      <c r="C396" s="91"/>
      <c r="D396" s="21"/>
      <c r="E396" s="21"/>
      <c r="F396" s="61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</row>
    <row r="397" spans="1:25" ht="13.2">
      <c r="A397" s="61"/>
      <c r="B397" s="21"/>
      <c r="C397" s="91"/>
      <c r="D397" s="21"/>
      <c r="E397" s="21"/>
      <c r="F397" s="61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</row>
    <row r="398" spans="1:25" ht="13.2">
      <c r="A398" s="61"/>
      <c r="B398" s="21"/>
      <c r="C398" s="91"/>
      <c r="D398" s="21"/>
      <c r="E398" s="21"/>
      <c r="F398" s="61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</row>
    <row r="399" spans="1:25" ht="13.2">
      <c r="A399" s="61"/>
      <c r="B399" s="21"/>
      <c r="C399" s="91"/>
      <c r="D399" s="21"/>
      <c r="E399" s="21"/>
      <c r="F399" s="61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</row>
    <row r="400" spans="1:25" ht="13.2">
      <c r="A400" s="61"/>
      <c r="B400" s="21"/>
      <c r="C400" s="91"/>
      <c r="D400" s="21"/>
      <c r="E400" s="21"/>
      <c r="F400" s="61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</row>
    <row r="401" spans="1:25" ht="13.2">
      <c r="A401" s="61"/>
      <c r="B401" s="21"/>
      <c r="C401" s="91"/>
      <c r="D401" s="21"/>
      <c r="E401" s="21"/>
      <c r="F401" s="61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</row>
    <row r="402" spans="1:25" ht="13.2">
      <c r="A402" s="61"/>
      <c r="B402" s="21"/>
      <c r="C402" s="91"/>
      <c r="D402" s="21"/>
      <c r="E402" s="21"/>
      <c r="F402" s="61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</row>
    <row r="403" spans="1:25" ht="13.2">
      <c r="A403" s="61"/>
      <c r="B403" s="21"/>
      <c r="C403" s="91"/>
      <c r="D403" s="21"/>
      <c r="E403" s="21"/>
      <c r="F403" s="61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</row>
    <row r="404" spans="1:25" ht="13.2">
      <c r="A404" s="61"/>
      <c r="B404" s="21"/>
      <c r="C404" s="91"/>
      <c r="D404" s="21"/>
      <c r="E404" s="21"/>
      <c r="F404" s="61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</row>
    <row r="405" spans="1:25" ht="13.2">
      <c r="A405" s="61"/>
      <c r="B405" s="21"/>
      <c r="C405" s="91"/>
      <c r="D405" s="21"/>
      <c r="E405" s="21"/>
      <c r="F405" s="61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</row>
    <row r="406" spans="1:25" ht="13.2">
      <c r="A406" s="61"/>
      <c r="B406" s="21"/>
      <c r="C406" s="91"/>
      <c r="D406" s="21"/>
      <c r="E406" s="21"/>
      <c r="F406" s="61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</row>
    <row r="407" spans="1:25" ht="13.2">
      <c r="A407" s="61"/>
      <c r="B407" s="21"/>
      <c r="C407" s="91"/>
      <c r="D407" s="21"/>
      <c r="E407" s="21"/>
      <c r="F407" s="61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</row>
    <row r="408" spans="1:25" ht="13.2">
      <c r="A408" s="61"/>
      <c r="B408" s="21"/>
      <c r="C408" s="91"/>
      <c r="D408" s="21"/>
      <c r="E408" s="21"/>
      <c r="F408" s="61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</row>
    <row r="409" spans="1:25" ht="13.2">
      <c r="A409" s="61"/>
      <c r="B409" s="21"/>
      <c r="C409" s="91"/>
      <c r="D409" s="21"/>
      <c r="E409" s="21"/>
      <c r="F409" s="61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</row>
    <row r="410" spans="1:25" ht="13.2">
      <c r="A410" s="61"/>
      <c r="B410" s="21"/>
      <c r="C410" s="91"/>
      <c r="D410" s="21"/>
      <c r="E410" s="21"/>
      <c r="F410" s="61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</row>
    <row r="411" spans="1:25" ht="13.2">
      <c r="A411" s="61"/>
      <c r="B411" s="21"/>
      <c r="C411" s="91"/>
      <c r="D411" s="21"/>
      <c r="E411" s="21"/>
      <c r="F411" s="61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</row>
    <row r="412" spans="1:25" ht="13.2">
      <c r="A412" s="61"/>
      <c r="B412" s="21"/>
      <c r="C412" s="91"/>
      <c r="D412" s="21"/>
      <c r="E412" s="21"/>
      <c r="F412" s="61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</row>
    <row r="413" spans="1:25" ht="13.2">
      <c r="A413" s="61"/>
      <c r="B413" s="21"/>
      <c r="C413" s="91"/>
      <c r="D413" s="21"/>
      <c r="E413" s="21"/>
      <c r="F413" s="61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</row>
    <row r="414" spans="1:25" ht="13.2">
      <c r="A414" s="61"/>
      <c r="B414" s="21"/>
      <c r="C414" s="91"/>
      <c r="D414" s="21"/>
      <c r="E414" s="21"/>
      <c r="F414" s="61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</row>
    <row r="415" spans="1:25" ht="13.2">
      <c r="A415" s="61"/>
      <c r="B415" s="21"/>
      <c r="C415" s="91"/>
      <c r="D415" s="21"/>
      <c r="E415" s="21"/>
      <c r="F415" s="61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</row>
    <row r="416" spans="1:25" ht="13.2">
      <c r="A416" s="61"/>
      <c r="B416" s="21"/>
      <c r="C416" s="91"/>
      <c r="D416" s="21"/>
      <c r="E416" s="21"/>
      <c r="F416" s="61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</row>
    <row r="417" spans="1:25" ht="13.2">
      <c r="A417" s="61"/>
      <c r="B417" s="21"/>
      <c r="C417" s="91"/>
      <c r="D417" s="21"/>
      <c r="E417" s="21"/>
      <c r="F417" s="61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</row>
    <row r="418" spans="1:25" ht="13.2">
      <c r="A418" s="61"/>
      <c r="B418" s="21"/>
      <c r="C418" s="91"/>
      <c r="D418" s="21"/>
      <c r="E418" s="21"/>
      <c r="F418" s="61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</row>
    <row r="419" spans="1:25" ht="13.2">
      <c r="A419" s="61"/>
      <c r="B419" s="21"/>
      <c r="C419" s="91"/>
      <c r="D419" s="21"/>
      <c r="E419" s="21"/>
      <c r="F419" s="61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</row>
    <row r="420" spans="1:25" ht="13.2">
      <c r="A420" s="61"/>
      <c r="B420" s="21"/>
      <c r="C420" s="91"/>
      <c r="D420" s="21"/>
      <c r="E420" s="21"/>
      <c r="F420" s="61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</row>
    <row r="421" spans="1:25" ht="13.2">
      <c r="A421" s="61"/>
      <c r="B421" s="21"/>
      <c r="C421" s="91"/>
      <c r="D421" s="21"/>
      <c r="E421" s="21"/>
      <c r="F421" s="61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</row>
    <row r="422" spans="1:25" ht="13.2">
      <c r="A422" s="61"/>
      <c r="B422" s="21"/>
      <c r="C422" s="91"/>
      <c r="D422" s="21"/>
      <c r="E422" s="21"/>
      <c r="F422" s="61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</row>
    <row r="423" spans="1:25" ht="13.2">
      <c r="A423" s="61"/>
      <c r="B423" s="21"/>
      <c r="C423" s="91"/>
      <c r="D423" s="21"/>
      <c r="E423" s="21"/>
      <c r="F423" s="61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</row>
    <row r="424" spans="1:25" ht="13.2">
      <c r="A424" s="61"/>
      <c r="B424" s="21"/>
      <c r="C424" s="91"/>
      <c r="D424" s="21"/>
      <c r="E424" s="21"/>
      <c r="F424" s="61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</row>
    <row r="425" spans="1:25" ht="13.2">
      <c r="A425" s="61"/>
      <c r="B425" s="21"/>
      <c r="C425" s="91"/>
      <c r="D425" s="21"/>
      <c r="E425" s="21"/>
      <c r="F425" s="61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</row>
    <row r="426" spans="1:25" ht="13.2">
      <c r="A426" s="61"/>
      <c r="B426" s="21"/>
      <c r="C426" s="91"/>
      <c r="D426" s="21"/>
      <c r="E426" s="21"/>
      <c r="F426" s="61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</row>
    <row r="427" spans="1:25" ht="13.2">
      <c r="A427" s="61"/>
      <c r="B427" s="21"/>
      <c r="C427" s="91"/>
      <c r="D427" s="21"/>
      <c r="E427" s="21"/>
      <c r="F427" s="61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</row>
    <row r="428" spans="1:25" ht="13.2">
      <c r="A428" s="61"/>
      <c r="B428" s="21"/>
      <c r="C428" s="91"/>
      <c r="D428" s="21"/>
      <c r="E428" s="21"/>
      <c r="F428" s="61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</row>
    <row r="429" spans="1:25" ht="13.2">
      <c r="A429" s="61"/>
      <c r="B429" s="21"/>
      <c r="C429" s="91"/>
      <c r="D429" s="21"/>
      <c r="E429" s="21"/>
      <c r="F429" s="61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</row>
    <row r="430" spans="1:25" ht="13.2">
      <c r="A430" s="61"/>
      <c r="B430" s="21"/>
      <c r="C430" s="91"/>
      <c r="D430" s="21"/>
      <c r="E430" s="21"/>
      <c r="F430" s="61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</row>
    <row r="431" spans="1:25" ht="13.2">
      <c r="A431" s="61"/>
      <c r="B431" s="21"/>
      <c r="C431" s="91"/>
      <c r="D431" s="21"/>
      <c r="E431" s="21"/>
      <c r="F431" s="61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</row>
    <row r="432" spans="1:25" ht="13.2">
      <c r="A432" s="61"/>
      <c r="B432" s="21"/>
      <c r="C432" s="91"/>
      <c r="D432" s="21"/>
      <c r="E432" s="21"/>
      <c r="F432" s="61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</row>
    <row r="433" spans="1:25" ht="13.2">
      <c r="A433" s="61"/>
      <c r="B433" s="21"/>
      <c r="C433" s="91"/>
      <c r="D433" s="21"/>
      <c r="E433" s="21"/>
      <c r="F433" s="61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</row>
    <row r="434" spans="1:25" ht="13.2">
      <c r="A434" s="61"/>
      <c r="B434" s="21"/>
      <c r="C434" s="91"/>
      <c r="D434" s="21"/>
      <c r="E434" s="21"/>
      <c r="F434" s="61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</row>
    <row r="435" spans="1:25" ht="13.2">
      <c r="A435" s="61"/>
      <c r="B435" s="21"/>
      <c r="C435" s="91"/>
      <c r="D435" s="21"/>
      <c r="E435" s="21"/>
      <c r="F435" s="61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</row>
    <row r="436" spans="1:25" ht="13.2">
      <c r="A436" s="61"/>
      <c r="B436" s="21"/>
      <c r="C436" s="91"/>
      <c r="D436" s="21"/>
      <c r="E436" s="21"/>
      <c r="F436" s="61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</row>
    <row r="437" spans="1:25" ht="13.2">
      <c r="A437" s="61"/>
      <c r="B437" s="21"/>
      <c r="C437" s="91"/>
      <c r="D437" s="21"/>
      <c r="E437" s="21"/>
      <c r="F437" s="61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</row>
    <row r="438" spans="1:25" ht="13.2">
      <c r="A438" s="61"/>
      <c r="B438" s="21"/>
      <c r="C438" s="91"/>
      <c r="D438" s="21"/>
      <c r="E438" s="21"/>
      <c r="F438" s="61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</row>
    <row r="439" spans="1:25" ht="13.2">
      <c r="A439" s="61"/>
      <c r="B439" s="21"/>
      <c r="C439" s="91"/>
      <c r="D439" s="21"/>
      <c r="E439" s="21"/>
      <c r="F439" s="61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</row>
    <row r="440" spans="1:25" ht="13.2">
      <c r="A440" s="61"/>
      <c r="B440" s="21"/>
      <c r="C440" s="91"/>
      <c r="D440" s="21"/>
      <c r="E440" s="21"/>
      <c r="F440" s="61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</row>
    <row r="441" spans="1:25" ht="13.2">
      <c r="A441" s="61"/>
      <c r="B441" s="21"/>
      <c r="C441" s="91"/>
      <c r="D441" s="21"/>
      <c r="E441" s="21"/>
      <c r="F441" s="61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</row>
    <row r="442" spans="1:25" ht="13.2">
      <c r="A442" s="61"/>
      <c r="B442" s="21"/>
      <c r="C442" s="91"/>
      <c r="D442" s="21"/>
      <c r="E442" s="21"/>
      <c r="F442" s="61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</row>
    <row r="443" spans="1:25" ht="13.2">
      <c r="A443" s="61"/>
      <c r="B443" s="21"/>
      <c r="C443" s="91"/>
      <c r="D443" s="21"/>
      <c r="E443" s="21"/>
      <c r="F443" s="61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</row>
    <row r="444" spans="1:25" ht="13.2">
      <c r="A444" s="61"/>
      <c r="B444" s="21"/>
      <c r="C444" s="91"/>
      <c r="D444" s="21"/>
      <c r="E444" s="21"/>
      <c r="F444" s="61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</row>
    <row r="445" spans="1:25" ht="13.2">
      <c r="A445" s="61"/>
      <c r="B445" s="21"/>
      <c r="C445" s="91"/>
      <c r="D445" s="21"/>
      <c r="E445" s="21"/>
      <c r="F445" s="61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</row>
    <row r="446" spans="1:25" ht="13.2">
      <c r="A446" s="61"/>
      <c r="B446" s="21"/>
      <c r="C446" s="91"/>
      <c r="D446" s="21"/>
      <c r="E446" s="21"/>
      <c r="F446" s="61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</row>
    <row r="447" spans="1:25" ht="13.2">
      <c r="A447" s="61"/>
      <c r="B447" s="21"/>
      <c r="C447" s="91"/>
      <c r="D447" s="21"/>
      <c r="E447" s="21"/>
      <c r="F447" s="61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</row>
    <row r="448" spans="1:25" ht="13.2">
      <c r="A448" s="61"/>
      <c r="B448" s="21"/>
      <c r="C448" s="91"/>
      <c r="D448" s="21"/>
      <c r="E448" s="21"/>
      <c r="F448" s="61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</row>
    <row r="449" spans="1:25" ht="13.2">
      <c r="A449" s="61"/>
      <c r="B449" s="21"/>
      <c r="C449" s="91"/>
      <c r="D449" s="21"/>
      <c r="E449" s="21"/>
      <c r="F449" s="61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</row>
    <row r="450" spans="1:25" ht="13.2">
      <c r="A450" s="61"/>
      <c r="B450" s="21"/>
      <c r="C450" s="91"/>
      <c r="D450" s="21"/>
      <c r="E450" s="21"/>
      <c r="F450" s="61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</row>
    <row r="451" spans="1:25" ht="13.2">
      <c r="A451" s="61"/>
      <c r="B451" s="21"/>
      <c r="C451" s="91"/>
      <c r="D451" s="21"/>
      <c r="E451" s="21"/>
      <c r="F451" s="61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</row>
    <row r="452" spans="1:25" ht="13.2">
      <c r="A452" s="61"/>
      <c r="B452" s="21"/>
      <c r="C452" s="91"/>
      <c r="D452" s="21"/>
      <c r="E452" s="21"/>
      <c r="F452" s="61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</row>
    <row r="453" spans="1:25" ht="13.2">
      <c r="A453" s="61"/>
      <c r="B453" s="21"/>
      <c r="C453" s="91"/>
      <c r="D453" s="21"/>
      <c r="E453" s="21"/>
      <c r="F453" s="61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</row>
    <row r="454" spans="1:25" ht="13.2">
      <c r="A454" s="61"/>
      <c r="B454" s="21"/>
      <c r="C454" s="91"/>
      <c r="D454" s="21"/>
      <c r="E454" s="21"/>
      <c r="F454" s="61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</row>
    <row r="455" spans="1:25" ht="13.2">
      <c r="A455" s="61"/>
      <c r="B455" s="21"/>
      <c r="C455" s="91"/>
      <c r="D455" s="21"/>
      <c r="E455" s="21"/>
      <c r="F455" s="61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</row>
    <row r="456" spans="1:25" ht="13.2">
      <c r="A456" s="61"/>
      <c r="B456" s="21"/>
      <c r="C456" s="91"/>
      <c r="D456" s="21"/>
      <c r="E456" s="21"/>
      <c r="F456" s="61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</row>
    <row r="457" spans="1:25" ht="13.2">
      <c r="A457" s="61"/>
      <c r="B457" s="21"/>
      <c r="C457" s="91"/>
      <c r="D457" s="21"/>
      <c r="E457" s="21"/>
      <c r="F457" s="61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</row>
    <row r="458" spans="1:25" ht="13.2">
      <c r="A458" s="61"/>
      <c r="B458" s="21"/>
      <c r="C458" s="91"/>
      <c r="D458" s="21"/>
      <c r="E458" s="21"/>
      <c r="F458" s="61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</row>
    <row r="459" spans="1:25" ht="13.2">
      <c r="A459" s="61"/>
      <c r="B459" s="21"/>
      <c r="C459" s="91"/>
      <c r="D459" s="21"/>
      <c r="E459" s="21"/>
      <c r="F459" s="61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</row>
    <row r="460" spans="1:25" ht="13.2">
      <c r="A460" s="61"/>
      <c r="B460" s="21"/>
      <c r="C460" s="91"/>
      <c r="D460" s="21"/>
      <c r="E460" s="21"/>
      <c r="F460" s="61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</row>
    <row r="461" spans="1:25" ht="13.2">
      <c r="A461" s="61"/>
      <c r="B461" s="21"/>
      <c r="C461" s="91"/>
      <c r="D461" s="21"/>
      <c r="E461" s="21"/>
      <c r="F461" s="61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</row>
    <row r="462" spans="1:25" ht="13.2">
      <c r="A462" s="61"/>
      <c r="B462" s="21"/>
      <c r="C462" s="91"/>
      <c r="D462" s="21"/>
      <c r="E462" s="21"/>
      <c r="F462" s="61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</row>
    <row r="463" spans="1:25" ht="13.2">
      <c r="A463" s="61"/>
      <c r="B463" s="21"/>
      <c r="C463" s="91"/>
      <c r="D463" s="21"/>
      <c r="E463" s="21"/>
      <c r="F463" s="61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</row>
    <row r="464" spans="1:25" ht="13.2">
      <c r="A464" s="61"/>
      <c r="B464" s="21"/>
      <c r="C464" s="91"/>
      <c r="D464" s="21"/>
      <c r="E464" s="21"/>
      <c r="F464" s="61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</row>
    <row r="465" spans="1:25" ht="13.2">
      <c r="A465" s="61"/>
      <c r="B465" s="21"/>
      <c r="C465" s="91"/>
      <c r="D465" s="21"/>
      <c r="E465" s="21"/>
      <c r="F465" s="61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</row>
    <row r="466" spans="1:25" ht="13.2">
      <c r="A466" s="61"/>
      <c r="B466" s="21"/>
      <c r="C466" s="91"/>
      <c r="D466" s="21"/>
      <c r="E466" s="21"/>
      <c r="F466" s="61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</row>
    <row r="467" spans="1:25" ht="13.2">
      <c r="A467" s="61"/>
      <c r="B467" s="21"/>
      <c r="C467" s="91"/>
      <c r="D467" s="21"/>
      <c r="E467" s="21"/>
      <c r="F467" s="61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</row>
    <row r="468" spans="1:25" ht="13.2">
      <c r="A468" s="61"/>
      <c r="B468" s="21"/>
      <c r="C468" s="91"/>
      <c r="D468" s="21"/>
      <c r="E468" s="21"/>
      <c r="F468" s="61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</row>
    <row r="469" spans="1:25" ht="13.2">
      <c r="A469" s="61"/>
      <c r="B469" s="21"/>
      <c r="C469" s="91"/>
      <c r="D469" s="21"/>
      <c r="E469" s="21"/>
      <c r="F469" s="61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</row>
    <row r="470" spans="1:25" ht="13.2">
      <c r="A470" s="61"/>
      <c r="B470" s="21"/>
      <c r="C470" s="91"/>
      <c r="D470" s="21"/>
      <c r="E470" s="21"/>
      <c r="F470" s="61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</row>
    <row r="471" spans="1:25" ht="13.2">
      <c r="A471" s="61"/>
      <c r="B471" s="21"/>
      <c r="C471" s="91"/>
      <c r="D471" s="21"/>
      <c r="E471" s="21"/>
      <c r="F471" s="61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</row>
    <row r="472" spans="1:25" ht="13.2">
      <c r="A472" s="61"/>
      <c r="B472" s="21"/>
      <c r="C472" s="91"/>
      <c r="D472" s="21"/>
      <c r="E472" s="21"/>
      <c r="F472" s="61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</row>
    <row r="473" spans="1:25" ht="13.2">
      <c r="A473" s="61"/>
      <c r="B473" s="21"/>
      <c r="C473" s="91"/>
      <c r="D473" s="21"/>
      <c r="E473" s="21"/>
      <c r="F473" s="61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</row>
    <row r="474" spans="1:25" ht="13.2">
      <c r="A474" s="61"/>
      <c r="B474" s="21"/>
      <c r="C474" s="91"/>
      <c r="D474" s="21"/>
      <c r="E474" s="21"/>
      <c r="F474" s="61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</row>
    <row r="475" spans="1:25" ht="13.2">
      <c r="A475" s="61"/>
      <c r="B475" s="21"/>
      <c r="C475" s="91"/>
      <c r="D475" s="21"/>
      <c r="E475" s="21"/>
      <c r="F475" s="61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</row>
    <row r="476" spans="1:25" ht="13.2">
      <c r="A476" s="61"/>
      <c r="B476" s="21"/>
      <c r="C476" s="91"/>
      <c r="D476" s="21"/>
      <c r="E476" s="21"/>
      <c r="F476" s="61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</row>
    <row r="477" spans="1:25" ht="13.2">
      <c r="A477" s="61"/>
      <c r="B477" s="21"/>
      <c r="C477" s="91"/>
      <c r="D477" s="21"/>
      <c r="E477" s="21"/>
      <c r="F477" s="61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</row>
    <row r="478" spans="1:25" ht="13.2">
      <c r="A478" s="61"/>
      <c r="B478" s="21"/>
      <c r="C478" s="91"/>
      <c r="D478" s="21"/>
      <c r="E478" s="21"/>
      <c r="F478" s="61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</row>
    <row r="479" spans="1:25" ht="13.2">
      <c r="A479" s="61"/>
      <c r="B479" s="21"/>
      <c r="C479" s="91"/>
      <c r="D479" s="21"/>
      <c r="E479" s="21"/>
      <c r="F479" s="61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</row>
    <row r="480" spans="1:25" ht="13.2">
      <c r="A480" s="61"/>
      <c r="B480" s="21"/>
      <c r="C480" s="91"/>
      <c r="D480" s="21"/>
      <c r="E480" s="21"/>
      <c r="F480" s="61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</row>
    <row r="481" spans="1:25" ht="13.2">
      <c r="A481" s="61"/>
      <c r="B481" s="21"/>
      <c r="C481" s="91"/>
      <c r="D481" s="21"/>
      <c r="E481" s="21"/>
      <c r="F481" s="61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</row>
    <row r="482" spans="1:25" ht="13.2">
      <c r="A482" s="61"/>
      <c r="B482" s="21"/>
      <c r="C482" s="91"/>
      <c r="D482" s="21"/>
      <c r="E482" s="21"/>
      <c r="F482" s="61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</row>
    <row r="483" spans="1:25" ht="13.2">
      <c r="A483" s="61"/>
      <c r="B483" s="21"/>
      <c r="C483" s="91"/>
      <c r="D483" s="21"/>
      <c r="E483" s="21"/>
      <c r="F483" s="61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</row>
    <row r="484" spans="1:25" ht="13.2">
      <c r="A484" s="61"/>
      <c r="B484" s="21"/>
      <c r="C484" s="91"/>
      <c r="D484" s="21"/>
      <c r="E484" s="21"/>
      <c r="F484" s="61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</row>
    <row r="485" spans="1:25" ht="13.2">
      <c r="A485" s="61"/>
      <c r="B485" s="21"/>
      <c r="C485" s="91"/>
      <c r="D485" s="21"/>
      <c r="E485" s="21"/>
      <c r="F485" s="61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</row>
    <row r="486" spans="1:25" ht="13.2">
      <c r="A486" s="61"/>
      <c r="B486" s="21"/>
      <c r="C486" s="91"/>
      <c r="D486" s="21"/>
      <c r="E486" s="21"/>
      <c r="F486" s="61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</row>
    <row r="487" spans="1:25" ht="13.2">
      <c r="A487" s="61"/>
      <c r="B487" s="21"/>
      <c r="C487" s="91"/>
      <c r="D487" s="21"/>
      <c r="E487" s="21"/>
      <c r="F487" s="61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</row>
    <row r="488" spans="1:25" ht="13.2">
      <c r="A488" s="61"/>
      <c r="B488" s="21"/>
      <c r="C488" s="91"/>
      <c r="D488" s="21"/>
      <c r="E488" s="21"/>
      <c r="F488" s="61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</row>
    <row r="489" spans="1:25" ht="13.2">
      <c r="A489" s="61"/>
      <c r="B489" s="21"/>
      <c r="C489" s="91"/>
      <c r="D489" s="21"/>
      <c r="E489" s="21"/>
      <c r="F489" s="61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</row>
    <row r="490" spans="1:25" ht="13.2">
      <c r="A490" s="61"/>
      <c r="B490" s="21"/>
      <c r="C490" s="91"/>
      <c r="D490" s="21"/>
      <c r="E490" s="21"/>
      <c r="F490" s="61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</row>
    <row r="491" spans="1:25" ht="13.2">
      <c r="A491" s="61"/>
      <c r="B491" s="21"/>
      <c r="C491" s="91"/>
      <c r="D491" s="21"/>
      <c r="E491" s="21"/>
      <c r="F491" s="61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</row>
    <row r="492" spans="1:25" ht="13.2">
      <c r="A492" s="61"/>
      <c r="B492" s="21"/>
      <c r="C492" s="91"/>
      <c r="D492" s="21"/>
      <c r="E492" s="21"/>
      <c r="F492" s="61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</row>
    <row r="493" spans="1:25" ht="13.2">
      <c r="A493" s="61"/>
      <c r="B493" s="21"/>
      <c r="C493" s="91"/>
      <c r="D493" s="21"/>
      <c r="E493" s="21"/>
      <c r="F493" s="61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</row>
    <row r="494" spans="1:25" ht="13.2">
      <c r="A494" s="61"/>
      <c r="B494" s="21"/>
      <c r="C494" s="91"/>
      <c r="D494" s="21"/>
      <c r="E494" s="21"/>
      <c r="F494" s="61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</row>
    <row r="495" spans="1:25" ht="13.2">
      <c r="A495" s="61"/>
      <c r="B495" s="21"/>
      <c r="C495" s="91"/>
      <c r="D495" s="21"/>
      <c r="E495" s="21"/>
      <c r="F495" s="61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</row>
    <row r="496" spans="1:25" ht="13.2">
      <c r="A496" s="61"/>
      <c r="B496" s="21"/>
      <c r="C496" s="91"/>
      <c r="D496" s="21"/>
      <c r="E496" s="21"/>
      <c r="F496" s="61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</row>
    <row r="497" spans="1:25" ht="13.2">
      <c r="A497" s="61"/>
      <c r="B497" s="21"/>
      <c r="C497" s="91"/>
      <c r="D497" s="21"/>
      <c r="E497" s="21"/>
      <c r="F497" s="61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</row>
    <row r="498" spans="1:25" ht="13.2">
      <c r="A498" s="61"/>
      <c r="B498" s="21"/>
      <c r="C498" s="91"/>
      <c r="D498" s="21"/>
      <c r="E498" s="21"/>
      <c r="F498" s="61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</row>
    <row r="499" spans="1:25" ht="13.2">
      <c r="A499" s="61"/>
      <c r="B499" s="21"/>
      <c r="C499" s="91"/>
      <c r="D499" s="21"/>
      <c r="E499" s="21"/>
      <c r="F499" s="61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</row>
    <row r="500" spans="1:25" ht="13.2">
      <c r="A500" s="61"/>
      <c r="B500" s="21"/>
      <c r="C500" s="91"/>
      <c r="D500" s="21"/>
      <c r="E500" s="21"/>
      <c r="F500" s="61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</row>
    <row r="501" spans="1:25" ht="13.2">
      <c r="A501" s="61"/>
      <c r="B501" s="21"/>
      <c r="C501" s="91"/>
      <c r="D501" s="21"/>
      <c r="E501" s="21"/>
      <c r="F501" s="61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</row>
    <row r="502" spans="1:25" ht="13.2">
      <c r="A502" s="61"/>
      <c r="B502" s="21"/>
      <c r="C502" s="91"/>
      <c r="D502" s="21"/>
      <c r="E502" s="21"/>
      <c r="F502" s="61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</row>
    <row r="503" spans="1:25" ht="13.2">
      <c r="A503" s="61"/>
      <c r="B503" s="21"/>
      <c r="C503" s="91"/>
      <c r="D503" s="21"/>
      <c r="E503" s="21"/>
      <c r="F503" s="61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</row>
    <row r="504" spans="1:25" ht="13.2">
      <c r="A504" s="61"/>
      <c r="B504" s="21"/>
      <c r="C504" s="91"/>
      <c r="D504" s="21"/>
      <c r="E504" s="21"/>
      <c r="F504" s="61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</row>
    <row r="505" spans="1:25" ht="13.2">
      <c r="A505" s="61"/>
      <c r="B505" s="21"/>
      <c r="C505" s="91"/>
      <c r="D505" s="21"/>
      <c r="E505" s="21"/>
      <c r="F505" s="61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</row>
    <row r="506" spans="1:25" ht="13.2">
      <c r="A506" s="61"/>
      <c r="B506" s="21"/>
      <c r="C506" s="91"/>
      <c r="D506" s="21"/>
      <c r="E506" s="21"/>
      <c r="F506" s="61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</row>
    <row r="507" spans="1:25" ht="13.2">
      <c r="A507" s="61"/>
      <c r="B507" s="21"/>
      <c r="C507" s="91"/>
      <c r="D507" s="21"/>
      <c r="E507" s="21"/>
      <c r="F507" s="61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</row>
    <row r="508" spans="1:25" ht="13.2">
      <c r="A508" s="61"/>
      <c r="B508" s="21"/>
      <c r="C508" s="91"/>
      <c r="D508" s="21"/>
      <c r="E508" s="21"/>
      <c r="F508" s="61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</row>
    <row r="509" spans="1:25" ht="13.2">
      <c r="A509" s="61"/>
      <c r="B509" s="21"/>
      <c r="C509" s="91"/>
      <c r="D509" s="21"/>
      <c r="E509" s="21"/>
      <c r="F509" s="61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</row>
    <row r="510" spans="1:25" ht="13.2">
      <c r="A510" s="61"/>
      <c r="B510" s="21"/>
      <c r="C510" s="91"/>
      <c r="D510" s="21"/>
      <c r="E510" s="21"/>
      <c r="F510" s="61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</row>
    <row r="511" spans="1:25" ht="13.2">
      <c r="A511" s="61"/>
      <c r="B511" s="21"/>
      <c r="C511" s="91"/>
      <c r="D511" s="21"/>
      <c r="E511" s="21"/>
      <c r="F511" s="61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</row>
    <row r="512" spans="1:25" ht="13.2">
      <c r="A512" s="61"/>
      <c r="B512" s="21"/>
      <c r="C512" s="91"/>
      <c r="D512" s="21"/>
      <c r="E512" s="21"/>
      <c r="F512" s="61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</row>
    <row r="513" spans="1:25" ht="13.2">
      <c r="A513" s="61"/>
      <c r="B513" s="21"/>
      <c r="C513" s="91"/>
      <c r="D513" s="21"/>
      <c r="E513" s="21"/>
      <c r="F513" s="61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</row>
    <row r="514" spans="1:25" ht="13.2">
      <c r="A514" s="61"/>
      <c r="B514" s="21"/>
      <c r="C514" s="91"/>
      <c r="D514" s="21"/>
      <c r="E514" s="21"/>
      <c r="F514" s="61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</row>
    <row r="515" spans="1:25" ht="13.2">
      <c r="A515" s="61"/>
      <c r="B515" s="21"/>
      <c r="C515" s="91"/>
      <c r="D515" s="21"/>
      <c r="E515" s="21"/>
      <c r="F515" s="61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</row>
    <row r="516" spans="1:25" ht="13.2">
      <c r="A516" s="61"/>
      <c r="B516" s="21"/>
      <c r="C516" s="91"/>
      <c r="D516" s="21"/>
      <c r="E516" s="21"/>
      <c r="F516" s="61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</row>
    <row r="517" spans="1:25" ht="13.2">
      <c r="A517" s="61"/>
      <c r="B517" s="21"/>
      <c r="C517" s="91"/>
      <c r="D517" s="21"/>
      <c r="E517" s="21"/>
      <c r="F517" s="61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</row>
    <row r="518" spans="1:25" ht="13.2">
      <c r="A518" s="61"/>
      <c r="B518" s="21"/>
      <c r="C518" s="91"/>
      <c r="D518" s="21"/>
      <c r="E518" s="21"/>
      <c r="F518" s="61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</row>
    <row r="519" spans="1:25" ht="13.2">
      <c r="A519" s="61"/>
      <c r="B519" s="21"/>
      <c r="C519" s="91"/>
      <c r="D519" s="21"/>
      <c r="E519" s="21"/>
      <c r="F519" s="61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</row>
    <row r="520" spans="1:25" ht="13.2">
      <c r="A520" s="61"/>
      <c r="B520" s="21"/>
      <c r="C520" s="91"/>
      <c r="D520" s="21"/>
      <c r="E520" s="21"/>
      <c r="F520" s="61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</row>
    <row r="521" spans="1:25" ht="13.2">
      <c r="A521" s="61"/>
      <c r="B521" s="21"/>
      <c r="C521" s="91"/>
      <c r="D521" s="21"/>
      <c r="E521" s="21"/>
      <c r="F521" s="61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</row>
    <row r="522" spans="1:25" ht="13.2">
      <c r="A522" s="61"/>
      <c r="B522" s="21"/>
      <c r="C522" s="91"/>
      <c r="D522" s="21"/>
      <c r="E522" s="21"/>
      <c r="F522" s="61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</row>
    <row r="523" spans="1:25" ht="13.2">
      <c r="A523" s="61"/>
      <c r="B523" s="21"/>
      <c r="C523" s="91"/>
      <c r="D523" s="21"/>
      <c r="E523" s="21"/>
      <c r="F523" s="61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</row>
    <row r="524" spans="1:25" ht="13.2">
      <c r="A524" s="61"/>
      <c r="B524" s="21"/>
      <c r="C524" s="91"/>
      <c r="D524" s="21"/>
      <c r="E524" s="21"/>
      <c r="F524" s="61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</row>
    <row r="525" spans="1:25" ht="13.2">
      <c r="A525" s="61"/>
      <c r="B525" s="21"/>
      <c r="C525" s="91"/>
      <c r="D525" s="21"/>
      <c r="E525" s="21"/>
      <c r="F525" s="61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</row>
    <row r="526" spans="1:25" ht="13.2">
      <c r="A526" s="61"/>
      <c r="B526" s="21"/>
      <c r="C526" s="91"/>
      <c r="D526" s="21"/>
      <c r="E526" s="21"/>
      <c r="F526" s="61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</row>
    <row r="527" spans="1:25" ht="13.2">
      <c r="A527" s="61"/>
      <c r="B527" s="21"/>
      <c r="C527" s="91"/>
      <c r="D527" s="21"/>
      <c r="E527" s="21"/>
      <c r="F527" s="61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</row>
    <row r="528" spans="1:25" ht="13.2">
      <c r="A528" s="61"/>
      <c r="B528" s="21"/>
      <c r="C528" s="91"/>
      <c r="D528" s="21"/>
      <c r="E528" s="21"/>
      <c r="F528" s="61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</row>
    <row r="529" spans="1:25" ht="13.2">
      <c r="A529" s="61"/>
      <c r="B529" s="21"/>
      <c r="C529" s="91"/>
      <c r="D529" s="21"/>
      <c r="E529" s="21"/>
      <c r="F529" s="61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</row>
    <row r="530" spans="1:25" ht="13.2">
      <c r="A530" s="61"/>
      <c r="B530" s="21"/>
      <c r="C530" s="91"/>
      <c r="D530" s="21"/>
      <c r="E530" s="21"/>
      <c r="F530" s="61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</row>
    <row r="531" spans="1:25" ht="13.2">
      <c r="A531" s="61"/>
      <c r="B531" s="21"/>
      <c r="C531" s="91"/>
      <c r="D531" s="21"/>
      <c r="E531" s="21"/>
      <c r="F531" s="61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</row>
    <row r="532" spans="1:25" ht="13.2">
      <c r="A532" s="61"/>
      <c r="B532" s="21"/>
      <c r="C532" s="91"/>
      <c r="D532" s="21"/>
      <c r="E532" s="21"/>
      <c r="F532" s="61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</row>
    <row r="533" spans="1:25" ht="13.2">
      <c r="A533" s="61"/>
      <c r="B533" s="21"/>
      <c r="C533" s="91"/>
      <c r="D533" s="21"/>
      <c r="E533" s="21"/>
      <c r="F533" s="61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</row>
    <row r="534" spans="1:25" ht="13.2">
      <c r="A534" s="61"/>
      <c r="B534" s="21"/>
      <c r="C534" s="91"/>
      <c r="D534" s="21"/>
      <c r="E534" s="21"/>
      <c r="F534" s="61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</row>
    <row r="535" spans="1:25" ht="13.2">
      <c r="A535" s="61"/>
      <c r="B535" s="21"/>
      <c r="C535" s="91"/>
      <c r="D535" s="21"/>
      <c r="E535" s="21"/>
      <c r="F535" s="61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</row>
    <row r="536" spans="1:25" ht="13.2">
      <c r="A536" s="61"/>
      <c r="B536" s="21"/>
      <c r="C536" s="91"/>
      <c r="D536" s="21"/>
      <c r="E536" s="21"/>
      <c r="F536" s="61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</row>
    <row r="537" spans="1:25" ht="13.2">
      <c r="A537" s="61"/>
      <c r="B537" s="21"/>
      <c r="C537" s="91"/>
      <c r="D537" s="21"/>
      <c r="E537" s="21"/>
      <c r="F537" s="61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</row>
    <row r="538" spans="1:25" ht="13.2">
      <c r="A538" s="61"/>
      <c r="B538" s="21"/>
      <c r="C538" s="91"/>
      <c r="D538" s="21"/>
      <c r="E538" s="21"/>
      <c r="F538" s="61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</row>
    <row r="539" spans="1:25" ht="13.2">
      <c r="A539" s="61"/>
      <c r="B539" s="21"/>
      <c r="C539" s="91"/>
      <c r="D539" s="21"/>
      <c r="E539" s="21"/>
      <c r="F539" s="61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</row>
    <row r="540" spans="1:25" ht="13.2">
      <c r="A540" s="61"/>
      <c r="B540" s="21"/>
      <c r="C540" s="91"/>
      <c r="D540" s="21"/>
      <c r="E540" s="21"/>
      <c r="F540" s="61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</row>
    <row r="541" spans="1:25" ht="13.2">
      <c r="A541" s="61"/>
      <c r="B541" s="21"/>
      <c r="C541" s="91"/>
      <c r="D541" s="21"/>
      <c r="E541" s="21"/>
      <c r="F541" s="61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</row>
    <row r="542" spans="1:25" ht="13.2">
      <c r="A542" s="61"/>
      <c r="B542" s="21"/>
      <c r="C542" s="91"/>
      <c r="D542" s="21"/>
      <c r="E542" s="21"/>
      <c r="F542" s="61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</row>
    <row r="543" spans="1:25" ht="13.2">
      <c r="A543" s="61"/>
      <c r="B543" s="21"/>
      <c r="C543" s="91"/>
      <c r="D543" s="21"/>
      <c r="E543" s="21"/>
      <c r="F543" s="61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</row>
    <row r="544" spans="1:25" ht="13.2">
      <c r="A544" s="61"/>
      <c r="B544" s="21"/>
      <c r="C544" s="91"/>
      <c r="D544" s="21"/>
      <c r="E544" s="21"/>
      <c r="F544" s="61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</row>
    <row r="545" spans="1:25" ht="13.2">
      <c r="A545" s="61"/>
      <c r="B545" s="21"/>
      <c r="C545" s="91"/>
      <c r="D545" s="21"/>
      <c r="E545" s="21"/>
      <c r="F545" s="61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</row>
    <row r="546" spans="1:25" ht="13.2">
      <c r="A546" s="61"/>
      <c r="B546" s="21"/>
      <c r="C546" s="91"/>
      <c r="D546" s="21"/>
      <c r="E546" s="21"/>
      <c r="F546" s="61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</row>
    <row r="547" spans="1:25" ht="13.2">
      <c r="A547" s="61"/>
      <c r="B547" s="21"/>
      <c r="C547" s="91"/>
      <c r="D547" s="21"/>
      <c r="E547" s="21"/>
      <c r="F547" s="61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</row>
    <row r="548" spans="1:25" ht="13.2">
      <c r="A548" s="61"/>
      <c r="B548" s="21"/>
      <c r="C548" s="91"/>
      <c r="D548" s="21"/>
      <c r="E548" s="21"/>
      <c r="F548" s="61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</row>
    <row r="549" spans="1:25" ht="13.2">
      <c r="A549" s="61"/>
      <c r="B549" s="21"/>
      <c r="C549" s="91"/>
      <c r="D549" s="21"/>
      <c r="E549" s="21"/>
      <c r="F549" s="61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</row>
    <row r="550" spans="1:25" ht="13.2">
      <c r="A550" s="61"/>
      <c r="B550" s="21"/>
      <c r="C550" s="91"/>
      <c r="D550" s="21"/>
      <c r="E550" s="21"/>
      <c r="F550" s="61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</row>
    <row r="551" spans="1:25" ht="13.2">
      <c r="A551" s="61"/>
      <c r="B551" s="21"/>
      <c r="C551" s="91"/>
      <c r="D551" s="21"/>
      <c r="E551" s="21"/>
      <c r="F551" s="61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</row>
    <row r="552" spans="1:25" ht="13.2">
      <c r="A552" s="61"/>
      <c r="B552" s="21"/>
      <c r="C552" s="91"/>
      <c r="D552" s="21"/>
      <c r="E552" s="21"/>
      <c r="F552" s="61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</row>
    <row r="553" spans="1:25" ht="13.2">
      <c r="A553" s="61"/>
      <c r="B553" s="21"/>
      <c r="C553" s="91"/>
      <c r="D553" s="21"/>
      <c r="E553" s="21"/>
      <c r="F553" s="61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</row>
    <row r="554" spans="1:25" ht="13.2">
      <c r="A554" s="61"/>
      <c r="B554" s="21"/>
      <c r="C554" s="91"/>
      <c r="D554" s="21"/>
      <c r="E554" s="21"/>
      <c r="F554" s="61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</row>
    <row r="555" spans="1:25" ht="13.2">
      <c r="A555" s="61"/>
      <c r="B555" s="21"/>
      <c r="C555" s="91"/>
      <c r="D555" s="21"/>
      <c r="E555" s="21"/>
      <c r="F555" s="61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</row>
    <row r="556" spans="1:25" ht="13.2">
      <c r="A556" s="61"/>
      <c r="B556" s="21"/>
      <c r="C556" s="91"/>
      <c r="D556" s="21"/>
      <c r="E556" s="21"/>
      <c r="F556" s="61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</row>
    <row r="557" spans="1:25" ht="13.2">
      <c r="A557" s="61"/>
      <c r="B557" s="21"/>
      <c r="C557" s="91"/>
      <c r="D557" s="21"/>
      <c r="E557" s="21"/>
      <c r="F557" s="61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</row>
    <row r="558" spans="1:25" ht="13.2">
      <c r="A558" s="61"/>
      <c r="B558" s="21"/>
      <c r="C558" s="91"/>
      <c r="D558" s="21"/>
      <c r="E558" s="21"/>
      <c r="F558" s="61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</row>
    <row r="559" spans="1:25" ht="13.2">
      <c r="A559" s="61"/>
      <c r="B559" s="21"/>
      <c r="C559" s="91"/>
      <c r="D559" s="21"/>
      <c r="E559" s="21"/>
      <c r="F559" s="61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</row>
    <row r="560" spans="1:25" ht="13.2">
      <c r="A560" s="61"/>
      <c r="B560" s="21"/>
      <c r="C560" s="91"/>
      <c r="D560" s="21"/>
      <c r="E560" s="21"/>
      <c r="F560" s="61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</row>
    <row r="561" spans="1:25" ht="13.2">
      <c r="A561" s="61"/>
      <c r="B561" s="21"/>
      <c r="C561" s="91"/>
      <c r="D561" s="21"/>
      <c r="E561" s="21"/>
      <c r="F561" s="61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</row>
    <row r="562" spans="1:25" ht="13.2">
      <c r="A562" s="61"/>
      <c r="B562" s="21"/>
      <c r="C562" s="91"/>
      <c r="D562" s="21"/>
      <c r="E562" s="21"/>
      <c r="F562" s="61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</row>
    <row r="563" spans="1:25" ht="13.2">
      <c r="A563" s="61"/>
      <c r="B563" s="21"/>
      <c r="C563" s="91"/>
      <c r="D563" s="21"/>
      <c r="E563" s="21"/>
      <c r="F563" s="61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</row>
    <row r="564" spans="1:25" ht="13.2">
      <c r="A564" s="61"/>
      <c r="B564" s="21"/>
      <c r="C564" s="91"/>
      <c r="D564" s="21"/>
      <c r="E564" s="21"/>
      <c r="F564" s="61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</row>
    <row r="565" spans="1:25" ht="13.2">
      <c r="A565" s="61"/>
      <c r="B565" s="21"/>
      <c r="C565" s="91"/>
      <c r="D565" s="21"/>
      <c r="E565" s="21"/>
      <c r="F565" s="61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</row>
    <row r="566" spans="1:25" ht="13.2">
      <c r="A566" s="61"/>
      <c r="B566" s="21"/>
      <c r="C566" s="91"/>
      <c r="D566" s="21"/>
      <c r="E566" s="21"/>
      <c r="F566" s="61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</row>
    <row r="567" spans="1:25" ht="13.2">
      <c r="A567" s="61"/>
      <c r="B567" s="21"/>
      <c r="C567" s="91"/>
      <c r="D567" s="21"/>
      <c r="E567" s="21"/>
      <c r="F567" s="61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</row>
    <row r="568" spans="1:25" ht="13.2">
      <c r="A568" s="61"/>
      <c r="B568" s="21"/>
      <c r="C568" s="91"/>
      <c r="D568" s="21"/>
      <c r="E568" s="21"/>
      <c r="F568" s="61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</row>
    <row r="569" spans="1:25" ht="13.2">
      <c r="A569" s="61"/>
      <c r="B569" s="21"/>
      <c r="C569" s="91"/>
      <c r="D569" s="21"/>
      <c r="E569" s="21"/>
      <c r="F569" s="61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</row>
    <row r="570" spans="1:25" ht="13.2">
      <c r="A570" s="61"/>
      <c r="B570" s="21"/>
      <c r="C570" s="91"/>
      <c r="D570" s="21"/>
      <c r="E570" s="21"/>
      <c r="F570" s="61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</row>
    <row r="571" spans="1:25" ht="13.2">
      <c r="A571" s="61"/>
      <c r="B571" s="21"/>
      <c r="C571" s="91"/>
      <c r="D571" s="21"/>
      <c r="E571" s="21"/>
      <c r="F571" s="61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</row>
    <row r="572" spans="1:25" ht="13.2">
      <c r="A572" s="61"/>
      <c r="B572" s="21"/>
      <c r="C572" s="91"/>
      <c r="D572" s="21"/>
      <c r="E572" s="21"/>
      <c r="F572" s="61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</row>
    <row r="573" spans="1:25" ht="13.2">
      <c r="A573" s="61"/>
      <c r="B573" s="21"/>
      <c r="C573" s="91"/>
      <c r="D573" s="21"/>
      <c r="E573" s="21"/>
      <c r="F573" s="61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</row>
    <row r="574" spans="1:25" ht="13.2">
      <c r="A574" s="61"/>
      <c r="B574" s="21"/>
      <c r="C574" s="91"/>
      <c r="D574" s="21"/>
      <c r="E574" s="21"/>
      <c r="F574" s="61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</row>
    <row r="575" spans="1:25" ht="13.2">
      <c r="A575" s="61"/>
      <c r="B575" s="21"/>
      <c r="C575" s="91"/>
      <c r="D575" s="21"/>
      <c r="E575" s="21"/>
      <c r="F575" s="61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</row>
    <row r="576" spans="1:25" ht="13.2">
      <c r="A576" s="61"/>
      <c r="B576" s="21"/>
      <c r="C576" s="91"/>
      <c r="D576" s="21"/>
      <c r="E576" s="21"/>
      <c r="F576" s="61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</row>
    <row r="577" spans="1:25" ht="13.2">
      <c r="A577" s="61"/>
      <c r="B577" s="21"/>
      <c r="C577" s="91"/>
      <c r="D577" s="21"/>
      <c r="E577" s="21"/>
      <c r="F577" s="61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</row>
    <row r="578" spans="1:25" ht="13.2">
      <c r="A578" s="61"/>
      <c r="B578" s="21"/>
      <c r="C578" s="91"/>
      <c r="D578" s="21"/>
      <c r="E578" s="21"/>
      <c r="F578" s="61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</row>
    <row r="579" spans="1:25" ht="13.2">
      <c r="A579" s="61"/>
      <c r="B579" s="21"/>
      <c r="C579" s="91"/>
      <c r="D579" s="21"/>
      <c r="E579" s="21"/>
      <c r="F579" s="61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</row>
    <row r="580" spans="1:25" ht="13.2">
      <c r="A580" s="61"/>
      <c r="B580" s="21"/>
      <c r="C580" s="91"/>
      <c r="D580" s="21"/>
      <c r="E580" s="21"/>
      <c r="F580" s="61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</row>
    <row r="581" spans="1:25" ht="13.2">
      <c r="A581" s="61"/>
      <c r="B581" s="21"/>
      <c r="C581" s="91"/>
      <c r="D581" s="21"/>
      <c r="E581" s="21"/>
      <c r="F581" s="61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</row>
    <row r="582" spans="1:25" ht="13.2">
      <c r="A582" s="61"/>
      <c r="B582" s="21"/>
      <c r="C582" s="91"/>
      <c r="D582" s="21"/>
      <c r="E582" s="21"/>
      <c r="F582" s="61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</row>
    <row r="583" spans="1:25" ht="13.2">
      <c r="A583" s="61"/>
      <c r="B583" s="21"/>
      <c r="C583" s="91"/>
      <c r="D583" s="21"/>
      <c r="E583" s="21"/>
      <c r="F583" s="61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</row>
    <row r="584" spans="1:25" ht="13.2">
      <c r="A584" s="61"/>
      <c r="B584" s="21"/>
      <c r="C584" s="91"/>
      <c r="D584" s="21"/>
      <c r="E584" s="21"/>
      <c r="F584" s="61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</row>
    <row r="585" spans="1:25" ht="13.2">
      <c r="A585" s="61"/>
      <c r="B585" s="21"/>
      <c r="C585" s="91"/>
      <c r="D585" s="21"/>
      <c r="E585" s="21"/>
      <c r="F585" s="61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</row>
    <row r="586" spans="1:25" ht="13.2">
      <c r="A586" s="61"/>
      <c r="B586" s="21"/>
      <c r="C586" s="91"/>
      <c r="D586" s="21"/>
      <c r="E586" s="21"/>
      <c r="F586" s="61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</row>
    <row r="587" spans="1:25" ht="13.2">
      <c r="A587" s="61"/>
      <c r="B587" s="21"/>
      <c r="C587" s="91"/>
      <c r="D587" s="21"/>
      <c r="E587" s="21"/>
      <c r="F587" s="61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</row>
    <row r="588" spans="1:25" ht="13.2">
      <c r="A588" s="61"/>
      <c r="B588" s="21"/>
      <c r="C588" s="91"/>
      <c r="D588" s="21"/>
      <c r="E588" s="21"/>
      <c r="F588" s="61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</row>
    <row r="589" spans="1:25" ht="13.2">
      <c r="A589" s="61"/>
      <c r="B589" s="21"/>
      <c r="C589" s="91"/>
      <c r="D589" s="21"/>
      <c r="E589" s="21"/>
      <c r="F589" s="61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</row>
    <row r="590" spans="1:25" ht="13.2">
      <c r="A590" s="61"/>
      <c r="B590" s="21"/>
      <c r="C590" s="91"/>
      <c r="D590" s="21"/>
      <c r="E590" s="21"/>
      <c r="F590" s="61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</row>
    <row r="591" spans="1:25" ht="13.2">
      <c r="A591" s="61"/>
      <c r="B591" s="21"/>
      <c r="C591" s="91"/>
      <c r="D591" s="21"/>
      <c r="E591" s="21"/>
      <c r="F591" s="61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</row>
    <row r="592" spans="1:25" ht="13.2">
      <c r="A592" s="61"/>
      <c r="B592" s="21"/>
      <c r="C592" s="91"/>
      <c r="D592" s="21"/>
      <c r="E592" s="21"/>
      <c r="F592" s="61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</row>
    <row r="593" spans="1:25" ht="13.2">
      <c r="A593" s="61"/>
      <c r="B593" s="21"/>
      <c r="C593" s="91"/>
      <c r="D593" s="21"/>
      <c r="E593" s="21"/>
      <c r="F593" s="61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</row>
    <row r="594" spans="1:25" ht="13.2">
      <c r="A594" s="61"/>
      <c r="B594" s="21"/>
      <c r="C594" s="91"/>
      <c r="D594" s="21"/>
      <c r="E594" s="21"/>
      <c r="F594" s="61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</row>
    <row r="595" spans="1:25" ht="13.2">
      <c r="A595" s="61"/>
      <c r="B595" s="21"/>
      <c r="C595" s="91"/>
      <c r="D595" s="21"/>
      <c r="E595" s="21"/>
      <c r="F595" s="61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</row>
    <row r="596" spans="1:25" ht="13.2">
      <c r="A596" s="61"/>
      <c r="B596" s="21"/>
      <c r="C596" s="91"/>
      <c r="D596" s="21"/>
      <c r="E596" s="21"/>
      <c r="F596" s="61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</row>
    <row r="597" spans="1:25" ht="13.2">
      <c r="A597" s="61"/>
      <c r="B597" s="21"/>
      <c r="C597" s="91"/>
      <c r="D597" s="21"/>
      <c r="E597" s="21"/>
      <c r="F597" s="61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</row>
    <row r="598" spans="1:25" ht="13.2">
      <c r="A598" s="61"/>
      <c r="B598" s="21"/>
      <c r="C598" s="91"/>
      <c r="D598" s="21"/>
      <c r="E598" s="21"/>
      <c r="F598" s="61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</row>
    <row r="599" spans="1:25" ht="13.2">
      <c r="A599" s="61"/>
      <c r="B599" s="21"/>
      <c r="C599" s="91"/>
      <c r="D599" s="21"/>
      <c r="E599" s="21"/>
      <c r="F599" s="61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</row>
    <row r="600" spans="1:25" ht="13.2">
      <c r="A600" s="61"/>
      <c r="B600" s="21"/>
      <c r="C600" s="91"/>
      <c r="D600" s="21"/>
      <c r="E600" s="21"/>
      <c r="F600" s="61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</row>
    <row r="601" spans="1:25" ht="13.2">
      <c r="A601" s="61"/>
      <c r="B601" s="21"/>
      <c r="C601" s="91"/>
      <c r="D601" s="21"/>
      <c r="E601" s="21"/>
      <c r="F601" s="61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</row>
    <row r="602" spans="1:25" ht="13.2">
      <c r="A602" s="61"/>
      <c r="B602" s="21"/>
      <c r="C602" s="91"/>
      <c r="D602" s="21"/>
      <c r="E602" s="21"/>
      <c r="F602" s="61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</row>
    <row r="603" spans="1:25" ht="13.2">
      <c r="A603" s="61"/>
      <c r="B603" s="21"/>
      <c r="C603" s="91"/>
      <c r="D603" s="21"/>
      <c r="E603" s="21"/>
      <c r="F603" s="61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</row>
    <row r="604" spans="1:25" ht="13.2">
      <c r="A604" s="61"/>
      <c r="B604" s="21"/>
      <c r="C604" s="91"/>
      <c r="D604" s="21"/>
      <c r="E604" s="21"/>
      <c r="F604" s="61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</row>
    <row r="605" spans="1:25" ht="13.2">
      <c r="A605" s="61"/>
      <c r="B605" s="21"/>
      <c r="C605" s="91"/>
      <c r="D605" s="21"/>
      <c r="E605" s="21"/>
      <c r="F605" s="61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</row>
    <row r="606" spans="1:25" ht="13.2">
      <c r="A606" s="61"/>
      <c r="B606" s="21"/>
      <c r="C606" s="91"/>
      <c r="D606" s="21"/>
      <c r="E606" s="21"/>
      <c r="F606" s="61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</row>
    <row r="607" spans="1:25" ht="13.2">
      <c r="A607" s="61"/>
      <c r="B607" s="21"/>
      <c r="C607" s="91"/>
      <c r="D607" s="21"/>
      <c r="E607" s="21"/>
      <c r="F607" s="61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</row>
    <row r="608" spans="1:25" ht="13.2">
      <c r="A608" s="61"/>
      <c r="B608" s="21"/>
      <c r="C608" s="91"/>
      <c r="D608" s="21"/>
      <c r="E608" s="21"/>
      <c r="F608" s="61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</row>
    <row r="609" spans="1:25" ht="13.2">
      <c r="A609" s="61"/>
      <c r="B609" s="21"/>
      <c r="C609" s="91"/>
      <c r="D609" s="21"/>
      <c r="E609" s="21"/>
      <c r="F609" s="61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</row>
    <row r="610" spans="1:25" ht="13.2">
      <c r="A610" s="61"/>
      <c r="B610" s="21"/>
      <c r="C610" s="91"/>
      <c r="D610" s="21"/>
      <c r="E610" s="21"/>
      <c r="F610" s="61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</row>
    <row r="611" spans="1:25" ht="13.2">
      <c r="A611" s="61"/>
      <c r="B611" s="21"/>
      <c r="C611" s="91"/>
      <c r="D611" s="21"/>
      <c r="E611" s="21"/>
      <c r="F611" s="61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</row>
    <row r="612" spans="1:25" ht="13.2">
      <c r="A612" s="61"/>
      <c r="B612" s="21"/>
      <c r="C612" s="91"/>
      <c r="D612" s="21"/>
      <c r="E612" s="21"/>
      <c r="F612" s="61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</row>
    <row r="613" spans="1:25" ht="13.2">
      <c r="A613" s="61"/>
      <c r="B613" s="21"/>
      <c r="C613" s="91"/>
      <c r="D613" s="21"/>
      <c r="E613" s="21"/>
      <c r="F613" s="61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</row>
    <row r="614" spans="1:25" ht="13.2">
      <c r="A614" s="61"/>
      <c r="B614" s="21"/>
      <c r="C614" s="91"/>
      <c r="D614" s="21"/>
      <c r="E614" s="21"/>
      <c r="F614" s="61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</row>
    <row r="615" spans="1:25" ht="13.2">
      <c r="A615" s="61"/>
      <c r="B615" s="21"/>
      <c r="C615" s="91"/>
      <c r="D615" s="21"/>
      <c r="E615" s="21"/>
      <c r="F615" s="61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</row>
    <row r="616" spans="1:25" ht="13.2">
      <c r="A616" s="61"/>
      <c r="B616" s="21"/>
      <c r="C616" s="91"/>
      <c r="D616" s="21"/>
      <c r="E616" s="21"/>
      <c r="F616" s="61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</row>
    <row r="617" spans="1:25" ht="13.2">
      <c r="A617" s="61"/>
      <c r="B617" s="21"/>
      <c r="C617" s="91"/>
      <c r="D617" s="21"/>
      <c r="E617" s="21"/>
      <c r="F617" s="61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</row>
    <row r="618" spans="1:25" ht="13.2">
      <c r="A618" s="61"/>
      <c r="B618" s="21"/>
      <c r="C618" s="91"/>
      <c r="D618" s="21"/>
      <c r="E618" s="21"/>
      <c r="F618" s="61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</row>
    <row r="619" spans="1:25" ht="13.2">
      <c r="A619" s="61"/>
      <c r="B619" s="21"/>
      <c r="C619" s="91"/>
      <c r="D619" s="21"/>
      <c r="E619" s="21"/>
      <c r="F619" s="61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</row>
    <row r="620" spans="1:25" ht="13.2">
      <c r="A620" s="61"/>
      <c r="B620" s="21"/>
      <c r="C620" s="91"/>
      <c r="D620" s="21"/>
      <c r="E620" s="21"/>
      <c r="F620" s="61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</row>
    <row r="621" spans="1:25" ht="13.2">
      <c r="A621" s="61"/>
      <c r="B621" s="21"/>
      <c r="C621" s="91"/>
      <c r="D621" s="21"/>
      <c r="E621" s="21"/>
      <c r="F621" s="61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</row>
    <row r="622" spans="1:25" ht="13.2">
      <c r="A622" s="61"/>
      <c r="B622" s="21"/>
      <c r="C622" s="91"/>
      <c r="D622" s="21"/>
      <c r="E622" s="21"/>
      <c r="F622" s="61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</row>
    <row r="623" spans="1:25" ht="13.2">
      <c r="A623" s="61"/>
      <c r="B623" s="21"/>
      <c r="C623" s="91"/>
      <c r="D623" s="21"/>
      <c r="E623" s="21"/>
      <c r="F623" s="61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</row>
    <row r="624" spans="1:25" ht="13.2">
      <c r="A624" s="61"/>
      <c r="B624" s="21"/>
      <c r="C624" s="91"/>
      <c r="D624" s="21"/>
      <c r="E624" s="21"/>
      <c r="F624" s="61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</row>
    <row r="625" spans="1:25" ht="13.2">
      <c r="A625" s="61"/>
      <c r="B625" s="21"/>
      <c r="C625" s="91"/>
      <c r="D625" s="21"/>
      <c r="E625" s="21"/>
      <c r="F625" s="61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</row>
    <row r="626" spans="1:25" ht="13.2">
      <c r="A626" s="61"/>
      <c r="B626" s="21"/>
      <c r="C626" s="91"/>
      <c r="D626" s="21"/>
      <c r="E626" s="21"/>
      <c r="F626" s="61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</row>
    <row r="627" spans="1:25" ht="13.2">
      <c r="A627" s="61"/>
      <c r="B627" s="21"/>
      <c r="C627" s="91"/>
      <c r="D627" s="21"/>
      <c r="E627" s="21"/>
      <c r="F627" s="61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</row>
    <row r="628" spans="1:25" ht="13.2">
      <c r="A628" s="61"/>
      <c r="B628" s="21"/>
      <c r="C628" s="91"/>
      <c r="D628" s="21"/>
      <c r="E628" s="21"/>
      <c r="F628" s="61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</row>
    <row r="629" spans="1:25" ht="13.2">
      <c r="A629" s="61"/>
      <c r="B629" s="21"/>
      <c r="C629" s="91"/>
      <c r="D629" s="21"/>
      <c r="E629" s="21"/>
      <c r="F629" s="61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</row>
    <row r="630" spans="1:25" ht="13.2">
      <c r="A630" s="61"/>
      <c r="B630" s="21"/>
      <c r="C630" s="91"/>
      <c r="D630" s="21"/>
      <c r="E630" s="21"/>
      <c r="F630" s="61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</row>
    <row r="631" spans="1:25" ht="13.2">
      <c r="A631" s="61"/>
      <c r="B631" s="21"/>
      <c r="C631" s="91"/>
      <c r="D631" s="21"/>
      <c r="E631" s="21"/>
      <c r="F631" s="61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</row>
    <row r="632" spans="1:25" ht="13.2">
      <c r="A632" s="61"/>
      <c r="B632" s="21"/>
      <c r="C632" s="91"/>
      <c r="D632" s="21"/>
      <c r="E632" s="21"/>
      <c r="F632" s="61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</row>
    <row r="633" spans="1:25" ht="13.2">
      <c r="A633" s="61"/>
      <c r="B633" s="21"/>
      <c r="C633" s="91"/>
      <c r="D633" s="21"/>
      <c r="E633" s="21"/>
      <c r="F633" s="61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</row>
    <row r="634" spans="1:25" ht="13.2">
      <c r="A634" s="61"/>
      <c r="B634" s="21"/>
      <c r="C634" s="91"/>
      <c r="D634" s="21"/>
      <c r="E634" s="21"/>
      <c r="F634" s="61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</row>
    <row r="635" spans="1:25" ht="13.2">
      <c r="A635" s="61"/>
      <c r="B635" s="21"/>
      <c r="C635" s="91"/>
      <c r="D635" s="21"/>
      <c r="E635" s="21"/>
      <c r="F635" s="61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</row>
    <row r="636" spans="1:25" ht="13.2">
      <c r="A636" s="61"/>
      <c r="B636" s="21"/>
      <c r="C636" s="91"/>
      <c r="D636" s="21"/>
      <c r="E636" s="21"/>
      <c r="F636" s="61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</row>
    <row r="637" spans="1:25" ht="13.2">
      <c r="A637" s="61"/>
      <c r="B637" s="21"/>
      <c r="C637" s="91"/>
      <c r="D637" s="21"/>
      <c r="E637" s="21"/>
      <c r="F637" s="61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</row>
    <row r="638" spans="1:25" ht="13.2">
      <c r="A638" s="61"/>
      <c r="B638" s="21"/>
      <c r="C638" s="91"/>
      <c r="D638" s="21"/>
      <c r="E638" s="21"/>
      <c r="F638" s="61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</row>
    <row r="639" spans="1:25" ht="13.2">
      <c r="A639" s="61"/>
      <c r="B639" s="21"/>
      <c r="C639" s="91"/>
      <c r="D639" s="21"/>
      <c r="E639" s="21"/>
      <c r="F639" s="61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</row>
    <row r="640" spans="1:25" ht="13.2">
      <c r="A640" s="61"/>
      <c r="B640" s="21"/>
      <c r="C640" s="91"/>
      <c r="D640" s="21"/>
      <c r="E640" s="21"/>
      <c r="F640" s="61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</row>
    <row r="641" spans="1:25" ht="13.2">
      <c r="A641" s="61"/>
      <c r="B641" s="21"/>
      <c r="C641" s="91"/>
      <c r="D641" s="21"/>
      <c r="E641" s="21"/>
      <c r="F641" s="61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</row>
    <row r="642" spans="1:25" ht="13.2">
      <c r="A642" s="61"/>
      <c r="B642" s="21"/>
      <c r="C642" s="91"/>
      <c r="D642" s="21"/>
      <c r="E642" s="21"/>
      <c r="F642" s="61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</row>
    <row r="643" spans="1:25" ht="13.2">
      <c r="A643" s="61"/>
      <c r="B643" s="21"/>
      <c r="C643" s="91"/>
      <c r="D643" s="21"/>
      <c r="E643" s="21"/>
      <c r="F643" s="61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</row>
    <row r="644" spans="1:25" ht="13.2">
      <c r="A644" s="61"/>
      <c r="B644" s="21"/>
      <c r="C644" s="91"/>
      <c r="D644" s="21"/>
      <c r="E644" s="21"/>
      <c r="F644" s="61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</row>
    <row r="645" spans="1:25" ht="13.2">
      <c r="A645" s="61"/>
      <c r="B645" s="21"/>
      <c r="C645" s="91"/>
      <c r="D645" s="21"/>
      <c r="E645" s="21"/>
      <c r="F645" s="61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</row>
    <row r="646" spans="1:25" ht="13.2">
      <c r="A646" s="61"/>
      <c r="B646" s="21"/>
      <c r="C646" s="91"/>
      <c r="D646" s="21"/>
      <c r="E646" s="21"/>
      <c r="F646" s="61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</row>
    <row r="647" spans="1:25" ht="13.2">
      <c r="A647" s="61"/>
      <c r="B647" s="21"/>
      <c r="C647" s="91"/>
      <c r="D647" s="21"/>
      <c r="E647" s="21"/>
      <c r="F647" s="61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</row>
    <row r="648" spans="1:25" ht="13.2">
      <c r="A648" s="61"/>
      <c r="B648" s="21"/>
      <c r="C648" s="91"/>
      <c r="D648" s="21"/>
      <c r="E648" s="21"/>
      <c r="F648" s="61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</row>
    <row r="649" spans="1:25" ht="13.2">
      <c r="A649" s="61"/>
      <c r="B649" s="21"/>
      <c r="C649" s="91"/>
      <c r="D649" s="21"/>
      <c r="E649" s="21"/>
      <c r="F649" s="61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</row>
    <row r="650" spans="1:25" ht="13.2">
      <c r="A650" s="61"/>
      <c r="B650" s="21"/>
      <c r="C650" s="91"/>
      <c r="D650" s="21"/>
      <c r="E650" s="21"/>
      <c r="F650" s="61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</row>
    <row r="651" spans="1:25" ht="13.2">
      <c r="A651" s="61"/>
      <c r="B651" s="21"/>
      <c r="C651" s="91"/>
      <c r="D651" s="21"/>
      <c r="E651" s="21"/>
      <c r="F651" s="61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</row>
    <row r="652" spans="1:25" ht="13.2">
      <c r="A652" s="61"/>
      <c r="B652" s="21"/>
      <c r="C652" s="91"/>
      <c r="D652" s="21"/>
      <c r="E652" s="21"/>
      <c r="F652" s="61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</row>
    <row r="653" spans="1:25" ht="13.2">
      <c r="A653" s="61"/>
      <c r="B653" s="21"/>
      <c r="C653" s="91"/>
      <c r="D653" s="21"/>
      <c r="E653" s="21"/>
      <c r="F653" s="61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</row>
    <row r="654" spans="1:25" ht="13.2">
      <c r="A654" s="61"/>
      <c r="B654" s="21"/>
      <c r="C654" s="91"/>
      <c r="D654" s="21"/>
      <c r="E654" s="21"/>
      <c r="F654" s="61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</row>
    <row r="655" spans="1:25" ht="13.2">
      <c r="A655" s="61"/>
      <c r="B655" s="21"/>
      <c r="C655" s="91"/>
      <c r="D655" s="21"/>
      <c r="E655" s="21"/>
      <c r="F655" s="61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</row>
    <row r="656" spans="1:25" ht="13.2">
      <c r="A656" s="61"/>
      <c r="B656" s="21"/>
      <c r="C656" s="91"/>
      <c r="D656" s="21"/>
      <c r="E656" s="21"/>
      <c r="F656" s="61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</row>
    <row r="657" spans="1:25" ht="13.2">
      <c r="A657" s="61"/>
      <c r="B657" s="21"/>
      <c r="C657" s="91"/>
      <c r="D657" s="21"/>
      <c r="E657" s="21"/>
      <c r="F657" s="61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</row>
    <row r="658" spans="1:25" ht="13.2">
      <c r="A658" s="61"/>
      <c r="B658" s="21"/>
      <c r="C658" s="91"/>
      <c r="D658" s="21"/>
      <c r="E658" s="21"/>
      <c r="F658" s="61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</row>
    <row r="659" spans="1:25" ht="13.2">
      <c r="A659" s="61"/>
      <c r="B659" s="21"/>
      <c r="C659" s="91"/>
      <c r="D659" s="21"/>
      <c r="E659" s="21"/>
      <c r="F659" s="61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</row>
    <row r="660" spans="1:25" ht="13.2">
      <c r="A660" s="61"/>
      <c r="B660" s="21"/>
      <c r="C660" s="91"/>
      <c r="D660" s="21"/>
      <c r="E660" s="21"/>
      <c r="F660" s="61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</row>
    <row r="661" spans="1:25" ht="13.2">
      <c r="A661" s="61"/>
      <c r="B661" s="21"/>
      <c r="C661" s="91"/>
      <c r="D661" s="21"/>
      <c r="E661" s="21"/>
      <c r="F661" s="61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</row>
    <row r="662" spans="1:25" ht="13.2">
      <c r="A662" s="61"/>
      <c r="B662" s="21"/>
      <c r="C662" s="91"/>
      <c r="D662" s="21"/>
      <c r="E662" s="21"/>
      <c r="F662" s="61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</row>
    <row r="663" spans="1:25" ht="13.2">
      <c r="A663" s="61"/>
      <c r="B663" s="21"/>
      <c r="C663" s="91"/>
      <c r="D663" s="21"/>
      <c r="E663" s="21"/>
      <c r="F663" s="61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</row>
    <row r="664" spans="1:25" ht="13.2">
      <c r="A664" s="61"/>
      <c r="B664" s="21"/>
      <c r="C664" s="91"/>
      <c r="D664" s="21"/>
      <c r="E664" s="21"/>
      <c r="F664" s="61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</row>
    <row r="665" spans="1:25" ht="13.2">
      <c r="A665" s="61"/>
      <c r="B665" s="21"/>
      <c r="C665" s="91"/>
      <c r="D665" s="21"/>
      <c r="E665" s="21"/>
      <c r="F665" s="61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</row>
    <row r="666" spans="1:25" ht="13.2">
      <c r="A666" s="61"/>
      <c r="B666" s="21"/>
      <c r="C666" s="91"/>
      <c r="D666" s="21"/>
      <c r="E666" s="21"/>
      <c r="F666" s="61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</row>
    <row r="667" spans="1:25" ht="13.2">
      <c r="A667" s="61"/>
      <c r="B667" s="21"/>
      <c r="C667" s="91"/>
      <c r="D667" s="21"/>
      <c r="E667" s="21"/>
      <c r="F667" s="61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</row>
    <row r="668" spans="1:25" ht="13.2">
      <c r="A668" s="61"/>
      <c r="B668" s="21"/>
      <c r="C668" s="91"/>
      <c r="D668" s="21"/>
      <c r="E668" s="21"/>
      <c r="F668" s="61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</row>
    <row r="669" spans="1:25" ht="13.2">
      <c r="A669" s="61"/>
      <c r="B669" s="21"/>
      <c r="C669" s="91"/>
      <c r="D669" s="21"/>
      <c r="E669" s="21"/>
      <c r="F669" s="61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</row>
    <row r="670" spans="1:25" ht="13.2">
      <c r="A670" s="61"/>
      <c r="B670" s="21"/>
      <c r="C670" s="91"/>
      <c r="D670" s="21"/>
      <c r="E670" s="21"/>
      <c r="F670" s="61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</row>
    <row r="671" spans="1:25" ht="13.2">
      <c r="A671" s="61"/>
      <c r="B671" s="21"/>
      <c r="C671" s="91"/>
      <c r="D671" s="21"/>
      <c r="E671" s="21"/>
      <c r="F671" s="61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</row>
    <row r="672" spans="1:25" ht="13.2">
      <c r="A672" s="61"/>
      <c r="B672" s="21"/>
      <c r="C672" s="91"/>
      <c r="D672" s="21"/>
      <c r="E672" s="21"/>
      <c r="F672" s="61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</row>
    <row r="673" spans="1:25" ht="13.2">
      <c r="A673" s="61"/>
      <c r="B673" s="21"/>
      <c r="C673" s="91"/>
      <c r="D673" s="21"/>
      <c r="E673" s="21"/>
      <c r="F673" s="61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</row>
    <row r="674" spans="1:25" ht="13.2">
      <c r="A674" s="61"/>
      <c r="B674" s="21"/>
      <c r="C674" s="91"/>
      <c r="D674" s="21"/>
      <c r="E674" s="21"/>
      <c r="F674" s="61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</row>
    <row r="675" spans="1:25" ht="13.2">
      <c r="A675" s="61"/>
      <c r="B675" s="21"/>
      <c r="C675" s="91"/>
      <c r="D675" s="21"/>
      <c r="E675" s="21"/>
      <c r="F675" s="61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</row>
    <row r="676" spans="1:25" ht="13.2">
      <c r="A676" s="61"/>
      <c r="B676" s="21"/>
      <c r="C676" s="91"/>
      <c r="D676" s="21"/>
      <c r="E676" s="21"/>
      <c r="F676" s="61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</row>
    <row r="677" spans="1:25" ht="13.2">
      <c r="A677" s="61"/>
      <c r="B677" s="21"/>
      <c r="C677" s="91"/>
      <c r="D677" s="21"/>
      <c r="E677" s="21"/>
      <c r="F677" s="61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</row>
    <row r="678" spans="1:25" ht="13.2">
      <c r="A678" s="61"/>
      <c r="B678" s="21"/>
      <c r="C678" s="91"/>
      <c r="D678" s="21"/>
      <c r="E678" s="21"/>
      <c r="F678" s="61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</row>
    <row r="679" spans="1:25" ht="13.2">
      <c r="A679" s="61"/>
      <c r="B679" s="21"/>
      <c r="C679" s="91"/>
      <c r="D679" s="21"/>
      <c r="E679" s="21"/>
      <c r="F679" s="61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</row>
    <row r="680" spans="1:25" ht="13.2">
      <c r="A680" s="61"/>
      <c r="B680" s="21"/>
      <c r="C680" s="91"/>
      <c r="D680" s="21"/>
      <c r="E680" s="21"/>
      <c r="F680" s="61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</row>
    <row r="681" spans="1:25" ht="13.2">
      <c r="A681" s="61"/>
      <c r="B681" s="21"/>
      <c r="C681" s="91"/>
      <c r="D681" s="21"/>
      <c r="E681" s="21"/>
      <c r="F681" s="61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</row>
    <row r="682" spans="1:25" ht="13.2">
      <c r="A682" s="61"/>
      <c r="B682" s="21"/>
      <c r="C682" s="91"/>
      <c r="D682" s="21"/>
      <c r="E682" s="21"/>
      <c r="F682" s="61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</row>
    <row r="683" spans="1:25" ht="13.2">
      <c r="A683" s="61"/>
      <c r="B683" s="21"/>
      <c r="C683" s="91"/>
      <c r="D683" s="21"/>
      <c r="E683" s="21"/>
      <c r="F683" s="61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</row>
    <row r="684" spans="1:25" ht="13.2">
      <c r="A684" s="61"/>
      <c r="B684" s="21"/>
      <c r="C684" s="91"/>
      <c r="D684" s="21"/>
      <c r="E684" s="21"/>
      <c r="F684" s="61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</row>
    <row r="685" spans="1:25" ht="13.2">
      <c r="A685" s="61"/>
      <c r="B685" s="21"/>
      <c r="C685" s="91"/>
      <c r="D685" s="21"/>
      <c r="E685" s="21"/>
      <c r="F685" s="61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</row>
    <row r="686" spans="1:25" ht="13.2">
      <c r="A686" s="61"/>
      <c r="B686" s="21"/>
      <c r="C686" s="91"/>
      <c r="D686" s="21"/>
      <c r="E686" s="21"/>
      <c r="F686" s="61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</row>
    <row r="687" spans="1:25" ht="13.2">
      <c r="A687" s="61"/>
      <c r="B687" s="21"/>
      <c r="C687" s="91"/>
      <c r="D687" s="21"/>
      <c r="E687" s="21"/>
      <c r="F687" s="61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</row>
    <row r="688" spans="1:25" ht="13.2">
      <c r="A688" s="61"/>
      <c r="B688" s="21"/>
      <c r="C688" s="91"/>
      <c r="D688" s="21"/>
      <c r="E688" s="21"/>
      <c r="F688" s="61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</row>
    <row r="689" spans="1:25" ht="13.2">
      <c r="A689" s="61"/>
      <c r="B689" s="21"/>
      <c r="C689" s="91"/>
      <c r="D689" s="21"/>
      <c r="E689" s="21"/>
      <c r="F689" s="61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</row>
    <row r="690" spans="1:25" ht="13.2">
      <c r="A690" s="61"/>
      <c r="B690" s="21"/>
      <c r="C690" s="91"/>
      <c r="D690" s="21"/>
      <c r="E690" s="21"/>
      <c r="F690" s="61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</row>
    <row r="691" spans="1:25" ht="13.2">
      <c r="A691" s="61"/>
      <c r="B691" s="21"/>
      <c r="C691" s="91"/>
      <c r="D691" s="21"/>
      <c r="E691" s="21"/>
      <c r="F691" s="61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</row>
    <row r="692" spans="1:25" ht="13.2">
      <c r="A692" s="61"/>
      <c r="B692" s="21"/>
      <c r="C692" s="91"/>
      <c r="D692" s="21"/>
      <c r="E692" s="21"/>
      <c r="F692" s="61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</row>
    <row r="693" spans="1:25" ht="13.2">
      <c r="A693" s="61"/>
      <c r="B693" s="21"/>
      <c r="C693" s="91"/>
      <c r="D693" s="21"/>
      <c r="E693" s="21"/>
      <c r="F693" s="61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</row>
    <row r="694" spans="1:25" ht="13.2">
      <c r="A694" s="61"/>
      <c r="B694" s="21"/>
      <c r="C694" s="91"/>
      <c r="D694" s="21"/>
      <c r="E694" s="21"/>
      <c r="F694" s="61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</row>
    <row r="695" spans="1:25" ht="13.2">
      <c r="A695" s="61"/>
      <c r="B695" s="21"/>
      <c r="C695" s="91"/>
      <c r="D695" s="21"/>
      <c r="E695" s="21"/>
      <c r="F695" s="61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</row>
    <row r="696" spans="1:25" ht="13.2">
      <c r="A696" s="61"/>
      <c r="B696" s="21"/>
      <c r="C696" s="91"/>
      <c r="D696" s="21"/>
      <c r="E696" s="21"/>
      <c r="F696" s="61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</row>
    <row r="697" spans="1:25" ht="13.2">
      <c r="A697" s="61"/>
      <c r="B697" s="21"/>
      <c r="C697" s="91"/>
      <c r="D697" s="21"/>
      <c r="E697" s="21"/>
      <c r="F697" s="61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</row>
    <row r="698" spans="1:25" ht="13.2">
      <c r="A698" s="61"/>
      <c r="B698" s="21"/>
      <c r="C698" s="91"/>
      <c r="D698" s="21"/>
      <c r="E698" s="21"/>
      <c r="F698" s="61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</row>
    <row r="699" spans="1:25" ht="13.2">
      <c r="A699" s="61"/>
      <c r="B699" s="21"/>
      <c r="C699" s="91"/>
      <c r="D699" s="21"/>
      <c r="E699" s="21"/>
      <c r="F699" s="61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</row>
    <row r="700" spans="1:25" ht="13.2">
      <c r="A700" s="61"/>
      <c r="B700" s="21"/>
      <c r="C700" s="91"/>
      <c r="D700" s="21"/>
      <c r="E700" s="21"/>
      <c r="F700" s="61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</row>
    <row r="701" spans="1:25" ht="13.2">
      <c r="A701" s="61"/>
      <c r="B701" s="21"/>
      <c r="C701" s="91"/>
      <c r="D701" s="21"/>
      <c r="E701" s="21"/>
      <c r="F701" s="61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</row>
    <row r="702" spans="1:25" ht="13.2">
      <c r="A702" s="61"/>
      <c r="B702" s="21"/>
      <c r="C702" s="91"/>
      <c r="D702" s="21"/>
      <c r="E702" s="21"/>
      <c r="F702" s="61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</row>
    <row r="703" spans="1:25" ht="13.2">
      <c r="A703" s="61"/>
      <c r="B703" s="21"/>
      <c r="C703" s="91"/>
      <c r="D703" s="21"/>
      <c r="E703" s="21"/>
      <c r="F703" s="61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</row>
    <row r="704" spans="1:25" ht="13.2">
      <c r="A704" s="61"/>
      <c r="B704" s="21"/>
      <c r="C704" s="91"/>
      <c r="D704" s="21"/>
      <c r="E704" s="21"/>
      <c r="F704" s="61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</row>
    <row r="705" spans="1:25" ht="13.2">
      <c r="A705" s="61"/>
      <c r="B705" s="21"/>
      <c r="C705" s="91"/>
      <c r="D705" s="21"/>
      <c r="E705" s="21"/>
      <c r="F705" s="61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</row>
    <row r="706" spans="1:25" ht="13.2">
      <c r="A706" s="61"/>
      <c r="B706" s="21"/>
      <c r="C706" s="91"/>
      <c r="D706" s="21"/>
      <c r="E706" s="21"/>
      <c r="F706" s="61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</row>
    <row r="707" spans="1:25" ht="13.2">
      <c r="A707" s="61"/>
      <c r="B707" s="21"/>
      <c r="C707" s="91"/>
      <c r="D707" s="21"/>
      <c r="E707" s="21"/>
      <c r="F707" s="61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</row>
    <row r="708" spans="1:25" ht="13.2">
      <c r="A708" s="61"/>
      <c r="B708" s="21"/>
      <c r="C708" s="91"/>
      <c r="D708" s="21"/>
      <c r="E708" s="21"/>
      <c r="F708" s="61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</row>
    <row r="709" spans="1:25" ht="13.2">
      <c r="A709" s="61"/>
      <c r="B709" s="21"/>
      <c r="C709" s="91"/>
      <c r="D709" s="21"/>
      <c r="E709" s="21"/>
      <c r="F709" s="61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</row>
    <row r="710" spans="1:25" ht="13.2">
      <c r="A710" s="61"/>
      <c r="B710" s="21"/>
      <c r="C710" s="91"/>
      <c r="D710" s="21"/>
      <c r="E710" s="21"/>
      <c r="F710" s="61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</row>
    <row r="711" spans="1:25" ht="13.2">
      <c r="A711" s="61"/>
      <c r="B711" s="21"/>
      <c r="C711" s="91"/>
      <c r="D711" s="21"/>
      <c r="E711" s="21"/>
      <c r="F711" s="61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</row>
    <row r="712" spans="1:25" ht="13.2">
      <c r="A712" s="61"/>
      <c r="B712" s="21"/>
      <c r="C712" s="91"/>
      <c r="D712" s="21"/>
      <c r="E712" s="21"/>
      <c r="F712" s="61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</row>
    <row r="713" spans="1:25" ht="13.2">
      <c r="A713" s="61"/>
      <c r="B713" s="21"/>
      <c r="C713" s="91"/>
      <c r="D713" s="21"/>
      <c r="E713" s="21"/>
      <c r="F713" s="61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</row>
    <row r="714" spans="1:25" ht="13.2">
      <c r="A714" s="61"/>
      <c r="B714" s="21"/>
      <c r="C714" s="91"/>
      <c r="D714" s="21"/>
      <c r="E714" s="21"/>
      <c r="F714" s="61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</row>
    <row r="715" spans="1:25" ht="13.2">
      <c r="A715" s="61"/>
      <c r="B715" s="21"/>
      <c r="C715" s="91"/>
      <c r="D715" s="21"/>
      <c r="E715" s="21"/>
      <c r="F715" s="61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</row>
    <row r="716" spans="1:25" ht="13.2">
      <c r="A716" s="61"/>
      <c r="B716" s="21"/>
      <c r="C716" s="91"/>
      <c r="D716" s="21"/>
      <c r="E716" s="21"/>
      <c r="F716" s="61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</row>
    <row r="717" spans="1:25" ht="13.2">
      <c r="A717" s="61"/>
      <c r="B717" s="21"/>
      <c r="C717" s="91"/>
      <c r="D717" s="21"/>
      <c r="E717" s="21"/>
      <c r="F717" s="61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</row>
    <row r="718" spans="1:25" ht="13.2">
      <c r="A718" s="61"/>
      <c r="B718" s="21"/>
      <c r="C718" s="91"/>
      <c r="D718" s="21"/>
      <c r="E718" s="21"/>
      <c r="F718" s="61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</row>
    <row r="719" spans="1:25" ht="13.2">
      <c r="A719" s="61"/>
      <c r="B719" s="21"/>
      <c r="C719" s="91"/>
      <c r="D719" s="21"/>
      <c r="E719" s="21"/>
      <c r="F719" s="61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</row>
    <row r="720" spans="1:25" ht="13.2">
      <c r="A720" s="61"/>
      <c r="B720" s="21"/>
      <c r="C720" s="91"/>
      <c r="D720" s="21"/>
      <c r="E720" s="21"/>
      <c r="F720" s="61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</row>
    <row r="721" spans="1:25" ht="13.2">
      <c r="A721" s="61"/>
      <c r="B721" s="21"/>
      <c r="C721" s="91"/>
      <c r="D721" s="21"/>
      <c r="E721" s="21"/>
      <c r="F721" s="61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</row>
    <row r="722" spans="1:25" ht="13.2">
      <c r="A722" s="61"/>
      <c r="B722" s="21"/>
      <c r="C722" s="91"/>
      <c r="D722" s="21"/>
      <c r="E722" s="21"/>
      <c r="F722" s="61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</row>
    <row r="723" spans="1:25" ht="13.2">
      <c r="A723" s="61"/>
      <c r="B723" s="21"/>
      <c r="C723" s="91"/>
      <c r="D723" s="21"/>
      <c r="E723" s="21"/>
      <c r="F723" s="61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</row>
    <row r="724" spans="1:25" ht="13.2">
      <c r="A724" s="61"/>
      <c r="B724" s="21"/>
      <c r="C724" s="91"/>
      <c r="D724" s="21"/>
      <c r="E724" s="21"/>
      <c r="F724" s="61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</row>
    <row r="725" spans="1:25" ht="13.2">
      <c r="A725" s="61"/>
      <c r="B725" s="21"/>
      <c r="C725" s="91"/>
      <c r="D725" s="21"/>
      <c r="E725" s="21"/>
      <c r="F725" s="61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</row>
    <row r="726" spans="1:25" ht="13.2">
      <c r="A726" s="61"/>
      <c r="B726" s="21"/>
      <c r="C726" s="91"/>
      <c r="D726" s="21"/>
      <c r="E726" s="21"/>
      <c r="F726" s="61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</row>
    <row r="727" spans="1:25" ht="13.2">
      <c r="A727" s="61"/>
      <c r="B727" s="21"/>
      <c r="C727" s="91"/>
      <c r="D727" s="21"/>
      <c r="E727" s="21"/>
      <c r="F727" s="61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</row>
    <row r="728" spans="1:25" ht="13.2">
      <c r="A728" s="61"/>
      <c r="B728" s="21"/>
      <c r="C728" s="91"/>
      <c r="D728" s="21"/>
      <c r="E728" s="21"/>
      <c r="F728" s="61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</row>
    <row r="729" spans="1:25" ht="13.2">
      <c r="A729" s="61"/>
      <c r="B729" s="21"/>
      <c r="C729" s="91"/>
      <c r="D729" s="21"/>
      <c r="E729" s="21"/>
      <c r="F729" s="61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</row>
    <row r="730" spans="1:25" ht="13.2">
      <c r="A730" s="61"/>
      <c r="B730" s="21"/>
      <c r="C730" s="91"/>
      <c r="D730" s="21"/>
      <c r="E730" s="21"/>
      <c r="F730" s="61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</row>
    <row r="731" spans="1:25" ht="13.2">
      <c r="A731" s="61"/>
      <c r="B731" s="21"/>
      <c r="C731" s="91"/>
      <c r="D731" s="21"/>
      <c r="E731" s="21"/>
      <c r="F731" s="61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</row>
    <row r="732" spans="1:25" ht="13.2">
      <c r="A732" s="61"/>
      <c r="B732" s="21"/>
      <c r="C732" s="91"/>
      <c r="D732" s="21"/>
      <c r="E732" s="21"/>
      <c r="F732" s="61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</row>
    <row r="733" spans="1:25" ht="13.2">
      <c r="A733" s="61"/>
      <c r="B733" s="21"/>
      <c r="C733" s="91"/>
      <c r="D733" s="21"/>
      <c r="E733" s="21"/>
      <c r="F733" s="61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</row>
    <row r="734" spans="1:25" ht="13.2">
      <c r="A734" s="61"/>
      <c r="B734" s="21"/>
      <c r="C734" s="91"/>
      <c r="D734" s="21"/>
      <c r="E734" s="21"/>
      <c r="F734" s="61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</row>
    <row r="735" spans="1:25" ht="13.2">
      <c r="A735" s="61"/>
      <c r="B735" s="21"/>
      <c r="C735" s="91"/>
      <c r="D735" s="21"/>
      <c r="E735" s="21"/>
      <c r="F735" s="61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</row>
    <row r="736" spans="1:25" ht="13.2">
      <c r="A736" s="61"/>
      <c r="B736" s="21"/>
      <c r="C736" s="91"/>
      <c r="D736" s="21"/>
      <c r="E736" s="21"/>
      <c r="F736" s="61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</row>
    <row r="737" spans="1:25" ht="13.2">
      <c r="A737" s="61"/>
      <c r="B737" s="21"/>
      <c r="C737" s="91"/>
      <c r="D737" s="21"/>
      <c r="E737" s="21"/>
      <c r="F737" s="61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</row>
    <row r="738" spans="1:25" ht="13.2">
      <c r="A738" s="61"/>
      <c r="B738" s="21"/>
      <c r="C738" s="91"/>
      <c r="D738" s="21"/>
      <c r="E738" s="21"/>
      <c r="F738" s="61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</row>
    <row r="739" spans="1:25" ht="13.2">
      <c r="A739" s="61"/>
      <c r="B739" s="21"/>
      <c r="C739" s="91"/>
      <c r="D739" s="21"/>
      <c r="E739" s="21"/>
      <c r="F739" s="61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</row>
    <row r="740" spans="1:25" ht="13.2">
      <c r="A740" s="61"/>
      <c r="B740" s="21"/>
      <c r="C740" s="91"/>
      <c r="D740" s="21"/>
      <c r="E740" s="21"/>
      <c r="F740" s="61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</row>
    <row r="741" spans="1:25" ht="13.2">
      <c r="A741" s="61"/>
      <c r="B741" s="21"/>
      <c r="C741" s="91"/>
      <c r="D741" s="21"/>
      <c r="E741" s="21"/>
      <c r="F741" s="61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</row>
    <row r="742" spans="1:25" ht="13.2">
      <c r="A742" s="61"/>
      <c r="B742" s="21"/>
      <c r="C742" s="91"/>
      <c r="D742" s="21"/>
      <c r="E742" s="21"/>
      <c r="F742" s="61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</row>
    <row r="743" spans="1:25" ht="13.2">
      <c r="A743" s="61"/>
      <c r="B743" s="21"/>
      <c r="C743" s="91"/>
      <c r="D743" s="21"/>
      <c r="E743" s="21"/>
      <c r="F743" s="61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</row>
    <row r="744" spans="1:25" ht="13.2">
      <c r="A744" s="61"/>
      <c r="B744" s="21"/>
      <c r="C744" s="91"/>
      <c r="D744" s="21"/>
      <c r="E744" s="21"/>
      <c r="F744" s="61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</row>
    <row r="745" spans="1:25" ht="13.2">
      <c r="A745" s="61"/>
      <c r="B745" s="21"/>
      <c r="C745" s="91"/>
      <c r="D745" s="21"/>
      <c r="E745" s="21"/>
      <c r="F745" s="61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</row>
    <row r="746" spans="1:25" ht="13.2">
      <c r="A746" s="61"/>
      <c r="B746" s="21"/>
      <c r="C746" s="91"/>
      <c r="D746" s="21"/>
      <c r="E746" s="21"/>
      <c r="F746" s="61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</row>
    <row r="747" spans="1:25" ht="13.2">
      <c r="A747" s="61"/>
      <c r="B747" s="21"/>
      <c r="C747" s="91"/>
      <c r="D747" s="21"/>
      <c r="E747" s="21"/>
      <c r="F747" s="61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</row>
    <row r="748" spans="1:25" ht="13.2">
      <c r="A748" s="61"/>
      <c r="B748" s="21"/>
      <c r="C748" s="91"/>
      <c r="D748" s="21"/>
      <c r="E748" s="21"/>
      <c r="F748" s="61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</row>
    <row r="749" spans="1:25" ht="13.2">
      <c r="A749" s="61"/>
      <c r="B749" s="21"/>
      <c r="C749" s="91"/>
      <c r="D749" s="21"/>
      <c r="E749" s="21"/>
      <c r="F749" s="61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</row>
    <row r="750" spans="1:25" ht="13.2">
      <c r="A750" s="61"/>
      <c r="B750" s="21"/>
      <c r="C750" s="91"/>
      <c r="D750" s="21"/>
      <c r="E750" s="21"/>
      <c r="F750" s="61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</row>
    <row r="751" spans="1:25" ht="13.2">
      <c r="A751" s="61"/>
      <c r="B751" s="21"/>
      <c r="C751" s="91"/>
      <c r="D751" s="21"/>
      <c r="E751" s="21"/>
      <c r="F751" s="61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</row>
    <row r="752" spans="1:25" ht="13.2">
      <c r="A752" s="61"/>
      <c r="B752" s="21"/>
      <c r="C752" s="91"/>
      <c r="D752" s="21"/>
      <c r="E752" s="21"/>
      <c r="F752" s="61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</row>
    <row r="753" spans="1:25" ht="13.2">
      <c r="A753" s="61"/>
      <c r="B753" s="21"/>
      <c r="C753" s="91"/>
      <c r="D753" s="21"/>
      <c r="E753" s="21"/>
      <c r="F753" s="61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</row>
    <row r="754" spans="1:25" ht="13.2">
      <c r="A754" s="61"/>
      <c r="B754" s="21"/>
      <c r="C754" s="91"/>
      <c r="D754" s="21"/>
      <c r="E754" s="21"/>
      <c r="F754" s="61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</row>
    <row r="755" spans="1:25" ht="13.2">
      <c r="A755" s="61"/>
      <c r="B755" s="21"/>
      <c r="C755" s="91"/>
      <c r="D755" s="21"/>
      <c r="E755" s="21"/>
      <c r="F755" s="61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</row>
    <row r="756" spans="1:25" ht="13.2">
      <c r="A756" s="61"/>
      <c r="B756" s="21"/>
      <c r="C756" s="91"/>
      <c r="D756" s="21"/>
      <c r="E756" s="21"/>
      <c r="F756" s="61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</row>
    <row r="757" spans="1:25" ht="13.2">
      <c r="A757" s="61"/>
      <c r="B757" s="21"/>
      <c r="C757" s="91"/>
      <c r="D757" s="21"/>
      <c r="E757" s="21"/>
      <c r="F757" s="61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</row>
    <row r="758" spans="1:25" ht="13.2">
      <c r="A758" s="61"/>
      <c r="B758" s="21"/>
      <c r="C758" s="91"/>
      <c r="D758" s="21"/>
      <c r="E758" s="21"/>
      <c r="F758" s="61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</row>
    <row r="759" spans="1:25" ht="13.2">
      <c r="A759" s="61"/>
      <c r="B759" s="21"/>
      <c r="C759" s="91"/>
      <c r="D759" s="21"/>
      <c r="E759" s="21"/>
      <c r="F759" s="61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</row>
    <row r="760" spans="1:25" ht="13.2">
      <c r="A760" s="61"/>
      <c r="B760" s="21"/>
      <c r="C760" s="91"/>
      <c r="D760" s="21"/>
      <c r="E760" s="21"/>
      <c r="F760" s="61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</row>
    <row r="761" spans="1:25" ht="13.2">
      <c r="A761" s="61"/>
      <c r="B761" s="21"/>
      <c r="C761" s="91"/>
      <c r="D761" s="21"/>
      <c r="E761" s="21"/>
      <c r="F761" s="61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</row>
    <row r="762" spans="1:25" ht="13.2">
      <c r="A762" s="61"/>
      <c r="B762" s="21"/>
      <c r="C762" s="91"/>
      <c r="D762" s="21"/>
      <c r="E762" s="21"/>
      <c r="F762" s="61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</row>
    <row r="763" spans="1:25" ht="13.2">
      <c r="A763" s="61"/>
      <c r="B763" s="21"/>
      <c r="C763" s="91"/>
      <c r="D763" s="21"/>
      <c r="E763" s="21"/>
      <c r="F763" s="61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</row>
    <row r="764" spans="1:25" ht="13.2">
      <c r="A764" s="61"/>
      <c r="B764" s="21"/>
      <c r="C764" s="91"/>
      <c r="D764" s="21"/>
      <c r="E764" s="21"/>
      <c r="F764" s="61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</row>
    <row r="765" spans="1:25" ht="13.2">
      <c r="A765" s="61"/>
      <c r="B765" s="21"/>
      <c r="C765" s="91"/>
      <c r="D765" s="21"/>
      <c r="E765" s="21"/>
      <c r="F765" s="61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</row>
    <row r="766" spans="1:25" ht="13.2">
      <c r="A766" s="61"/>
      <c r="B766" s="21"/>
      <c r="C766" s="91"/>
      <c r="D766" s="21"/>
      <c r="E766" s="21"/>
      <c r="F766" s="61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</row>
    <row r="767" spans="1:25" ht="13.2">
      <c r="A767" s="61"/>
      <c r="B767" s="21"/>
      <c r="C767" s="91"/>
      <c r="D767" s="21"/>
      <c r="E767" s="21"/>
      <c r="F767" s="61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</row>
    <row r="768" spans="1:25" ht="13.2">
      <c r="A768" s="61"/>
      <c r="B768" s="21"/>
      <c r="C768" s="91"/>
      <c r="D768" s="21"/>
      <c r="E768" s="21"/>
      <c r="F768" s="61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</row>
    <row r="769" spans="1:25" ht="13.2">
      <c r="A769" s="61"/>
      <c r="B769" s="21"/>
      <c r="C769" s="91"/>
      <c r="D769" s="21"/>
      <c r="E769" s="21"/>
      <c r="F769" s="61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</row>
    <row r="770" spans="1:25" ht="13.2">
      <c r="A770" s="61"/>
      <c r="B770" s="21"/>
      <c r="C770" s="91"/>
      <c r="D770" s="21"/>
      <c r="E770" s="21"/>
      <c r="F770" s="61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</row>
    <row r="771" spans="1:25" ht="13.2">
      <c r="A771" s="61"/>
      <c r="B771" s="21"/>
      <c r="C771" s="91"/>
      <c r="D771" s="21"/>
      <c r="E771" s="21"/>
      <c r="F771" s="61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</row>
    <row r="772" spans="1:25" ht="13.2">
      <c r="A772" s="61"/>
      <c r="B772" s="21"/>
      <c r="C772" s="91"/>
      <c r="D772" s="21"/>
      <c r="E772" s="21"/>
      <c r="F772" s="61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</row>
    <row r="773" spans="1:25" ht="13.2">
      <c r="A773" s="61"/>
      <c r="B773" s="21"/>
      <c r="C773" s="91"/>
      <c r="D773" s="21"/>
      <c r="E773" s="21"/>
      <c r="F773" s="61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</row>
    <row r="774" spans="1:25" ht="13.2">
      <c r="A774" s="61"/>
      <c r="B774" s="21"/>
      <c r="C774" s="91"/>
      <c r="D774" s="21"/>
      <c r="E774" s="21"/>
      <c r="F774" s="61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</row>
    <row r="775" spans="1:25" ht="13.2">
      <c r="A775" s="61"/>
      <c r="B775" s="21"/>
      <c r="C775" s="91"/>
      <c r="D775" s="21"/>
      <c r="E775" s="21"/>
      <c r="F775" s="61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</row>
    <row r="776" spans="1:25" ht="13.2">
      <c r="A776" s="61"/>
      <c r="B776" s="21"/>
      <c r="C776" s="91"/>
      <c r="D776" s="21"/>
      <c r="E776" s="21"/>
      <c r="F776" s="61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</row>
    <row r="777" spans="1:25" ht="13.2">
      <c r="A777" s="61"/>
      <c r="B777" s="21"/>
      <c r="C777" s="91"/>
      <c r="D777" s="21"/>
      <c r="E777" s="21"/>
      <c r="F777" s="61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</row>
    <row r="778" spans="1:25" ht="13.2">
      <c r="A778" s="61"/>
      <c r="B778" s="21"/>
      <c r="C778" s="91"/>
      <c r="D778" s="21"/>
      <c r="E778" s="21"/>
      <c r="F778" s="61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</row>
    <row r="779" spans="1:25" ht="13.2">
      <c r="A779" s="61"/>
      <c r="B779" s="21"/>
      <c r="C779" s="91"/>
      <c r="D779" s="21"/>
      <c r="E779" s="21"/>
      <c r="F779" s="61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</row>
    <row r="780" spans="1:25" ht="13.2">
      <c r="A780" s="61"/>
      <c r="B780" s="21"/>
      <c r="C780" s="91"/>
      <c r="D780" s="21"/>
      <c r="E780" s="21"/>
      <c r="F780" s="61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</row>
    <row r="781" spans="1:25" ht="13.2">
      <c r="A781" s="61"/>
      <c r="B781" s="21"/>
      <c r="C781" s="91"/>
      <c r="D781" s="21"/>
      <c r="E781" s="21"/>
      <c r="F781" s="61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</row>
    <row r="782" spans="1:25" ht="13.2">
      <c r="A782" s="61"/>
      <c r="B782" s="21"/>
      <c r="C782" s="91"/>
      <c r="D782" s="21"/>
      <c r="E782" s="21"/>
      <c r="F782" s="61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</row>
    <row r="783" spans="1:25" ht="13.2">
      <c r="A783" s="61"/>
      <c r="B783" s="21"/>
      <c r="C783" s="91"/>
      <c r="D783" s="21"/>
      <c r="E783" s="21"/>
      <c r="F783" s="61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</row>
    <row r="784" spans="1:25" ht="13.2">
      <c r="A784" s="61"/>
      <c r="B784" s="21"/>
      <c r="C784" s="91"/>
      <c r="D784" s="21"/>
      <c r="E784" s="21"/>
      <c r="F784" s="61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</row>
    <row r="785" spans="1:25" ht="13.2">
      <c r="A785" s="61"/>
      <c r="B785" s="21"/>
      <c r="C785" s="91"/>
      <c r="D785" s="21"/>
      <c r="E785" s="21"/>
      <c r="F785" s="61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</row>
    <row r="786" spans="1:25" ht="13.2">
      <c r="A786" s="61"/>
      <c r="B786" s="21"/>
      <c r="C786" s="91"/>
      <c r="D786" s="21"/>
      <c r="E786" s="21"/>
      <c r="F786" s="61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</row>
    <row r="787" spans="1:25" ht="13.2">
      <c r="A787" s="61"/>
      <c r="B787" s="21"/>
      <c r="C787" s="91"/>
      <c r="D787" s="21"/>
      <c r="E787" s="21"/>
      <c r="F787" s="61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</row>
    <row r="788" spans="1:25" ht="13.2">
      <c r="A788" s="61"/>
      <c r="B788" s="21"/>
      <c r="C788" s="91"/>
      <c r="D788" s="21"/>
      <c r="E788" s="21"/>
      <c r="F788" s="61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</row>
    <row r="789" spans="1:25" ht="13.2">
      <c r="A789" s="61"/>
      <c r="B789" s="21"/>
      <c r="C789" s="91"/>
      <c r="D789" s="21"/>
      <c r="E789" s="21"/>
      <c r="F789" s="61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</row>
    <row r="790" spans="1:25" ht="13.2">
      <c r="A790" s="61"/>
      <c r="B790" s="21"/>
      <c r="C790" s="91"/>
      <c r="D790" s="21"/>
      <c r="E790" s="21"/>
      <c r="F790" s="61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</row>
    <row r="791" spans="1:25" ht="13.2">
      <c r="A791" s="61"/>
      <c r="B791" s="21"/>
      <c r="C791" s="91"/>
      <c r="D791" s="21"/>
      <c r="E791" s="21"/>
      <c r="F791" s="61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</row>
    <row r="792" spans="1:25" ht="13.2">
      <c r="A792" s="61"/>
      <c r="B792" s="21"/>
      <c r="C792" s="91"/>
      <c r="D792" s="21"/>
      <c r="E792" s="21"/>
      <c r="F792" s="61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</row>
    <row r="793" spans="1:25" ht="13.2">
      <c r="A793" s="61"/>
      <c r="B793" s="21"/>
      <c r="C793" s="91"/>
      <c r="D793" s="21"/>
      <c r="E793" s="21"/>
      <c r="F793" s="61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</row>
    <row r="794" spans="1:25" ht="13.2">
      <c r="A794" s="61"/>
      <c r="B794" s="21"/>
      <c r="C794" s="91"/>
      <c r="D794" s="21"/>
      <c r="E794" s="21"/>
      <c r="F794" s="61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</row>
    <row r="795" spans="1:25" ht="13.2">
      <c r="A795" s="61"/>
      <c r="B795" s="21"/>
      <c r="C795" s="91"/>
      <c r="D795" s="21"/>
      <c r="E795" s="21"/>
      <c r="F795" s="61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</row>
    <row r="796" spans="1:25" ht="13.2">
      <c r="A796" s="61"/>
      <c r="B796" s="21"/>
      <c r="C796" s="91"/>
      <c r="D796" s="21"/>
      <c r="E796" s="21"/>
      <c r="F796" s="61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</row>
    <row r="797" spans="1:25" ht="13.2">
      <c r="A797" s="61"/>
      <c r="B797" s="21"/>
      <c r="C797" s="91"/>
      <c r="D797" s="21"/>
      <c r="E797" s="21"/>
      <c r="F797" s="61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</row>
    <row r="798" spans="1:25" ht="13.2">
      <c r="A798" s="61"/>
      <c r="B798" s="21"/>
      <c r="C798" s="91"/>
      <c r="D798" s="21"/>
      <c r="E798" s="21"/>
      <c r="F798" s="61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</row>
    <row r="799" spans="1:25" ht="13.2">
      <c r="A799" s="61"/>
      <c r="B799" s="21"/>
      <c r="C799" s="91"/>
      <c r="D799" s="21"/>
      <c r="E799" s="21"/>
      <c r="F799" s="61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</row>
    <row r="800" spans="1:25" ht="13.2">
      <c r="A800" s="61"/>
      <c r="B800" s="21"/>
      <c r="C800" s="91"/>
      <c r="D800" s="21"/>
      <c r="E800" s="21"/>
      <c r="F800" s="61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</row>
    <row r="801" spans="1:25" ht="13.2">
      <c r="A801" s="61"/>
      <c r="B801" s="21"/>
      <c r="C801" s="91"/>
      <c r="D801" s="21"/>
      <c r="E801" s="21"/>
      <c r="F801" s="61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</row>
    <row r="802" spans="1:25" ht="13.2">
      <c r="A802" s="61"/>
      <c r="B802" s="21"/>
      <c r="C802" s="91"/>
      <c r="D802" s="21"/>
      <c r="E802" s="21"/>
      <c r="F802" s="61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</row>
    <row r="803" spans="1:25" ht="13.2">
      <c r="A803" s="61"/>
      <c r="B803" s="21"/>
      <c r="C803" s="91"/>
      <c r="D803" s="21"/>
      <c r="E803" s="21"/>
      <c r="F803" s="61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</row>
    <row r="804" spans="1:25" ht="13.2">
      <c r="A804" s="61"/>
      <c r="B804" s="21"/>
      <c r="C804" s="91"/>
      <c r="D804" s="21"/>
      <c r="E804" s="21"/>
      <c r="F804" s="61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</row>
    <row r="805" spans="1:25" ht="13.2">
      <c r="A805" s="61"/>
      <c r="B805" s="21"/>
      <c r="C805" s="91"/>
      <c r="D805" s="21"/>
      <c r="E805" s="21"/>
      <c r="F805" s="61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</row>
    <row r="806" spans="1:25" ht="13.2">
      <c r="A806" s="61"/>
      <c r="B806" s="21"/>
      <c r="C806" s="91"/>
      <c r="D806" s="21"/>
      <c r="E806" s="21"/>
      <c r="F806" s="61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</row>
    <row r="807" spans="1:25" ht="13.2">
      <c r="A807" s="61"/>
      <c r="B807" s="21"/>
      <c r="C807" s="91"/>
      <c r="D807" s="21"/>
      <c r="E807" s="21"/>
      <c r="F807" s="61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</row>
    <row r="808" spans="1:25" ht="13.2">
      <c r="A808" s="61"/>
      <c r="B808" s="21"/>
      <c r="C808" s="91"/>
      <c r="D808" s="21"/>
      <c r="E808" s="21"/>
      <c r="F808" s="61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</row>
    <row r="809" spans="1:25" ht="13.2">
      <c r="A809" s="61"/>
      <c r="B809" s="21"/>
      <c r="C809" s="91"/>
      <c r="D809" s="21"/>
      <c r="E809" s="21"/>
      <c r="F809" s="61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</row>
    <row r="810" spans="1:25" ht="13.2">
      <c r="A810" s="61"/>
      <c r="B810" s="21"/>
      <c r="C810" s="91"/>
      <c r="D810" s="21"/>
      <c r="E810" s="21"/>
      <c r="F810" s="61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</row>
    <row r="811" spans="1:25" ht="13.2">
      <c r="A811" s="61"/>
      <c r="B811" s="21"/>
      <c r="C811" s="91"/>
      <c r="D811" s="21"/>
      <c r="E811" s="21"/>
      <c r="F811" s="61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</row>
    <row r="812" spans="1:25" ht="13.2">
      <c r="A812" s="61"/>
      <c r="B812" s="21"/>
      <c r="C812" s="91"/>
      <c r="D812" s="21"/>
      <c r="E812" s="21"/>
      <c r="F812" s="61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</row>
    <row r="813" spans="1:25" ht="13.2">
      <c r="A813" s="61"/>
      <c r="B813" s="21"/>
      <c r="C813" s="91"/>
      <c r="D813" s="21"/>
      <c r="E813" s="21"/>
      <c r="F813" s="61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</row>
    <row r="814" spans="1:25" ht="13.2">
      <c r="A814" s="61"/>
      <c r="B814" s="21"/>
      <c r="C814" s="91"/>
      <c r="D814" s="21"/>
      <c r="E814" s="21"/>
      <c r="F814" s="61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</row>
    <row r="815" spans="1:25" ht="13.2">
      <c r="A815" s="61"/>
      <c r="B815" s="21"/>
      <c r="C815" s="91"/>
      <c r="D815" s="21"/>
      <c r="E815" s="21"/>
      <c r="F815" s="61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</row>
    <row r="816" spans="1:25" ht="13.2">
      <c r="A816" s="61"/>
      <c r="B816" s="21"/>
      <c r="C816" s="91"/>
      <c r="D816" s="21"/>
      <c r="E816" s="21"/>
      <c r="F816" s="61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</row>
    <row r="817" spans="1:25" ht="13.2">
      <c r="A817" s="61"/>
      <c r="B817" s="21"/>
      <c r="C817" s="91"/>
      <c r="D817" s="21"/>
      <c r="E817" s="21"/>
      <c r="F817" s="61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</row>
    <row r="818" spans="1:25" ht="13.2">
      <c r="A818" s="61"/>
      <c r="B818" s="21"/>
      <c r="C818" s="91"/>
      <c r="D818" s="21"/>
      <c r="E818" s="21"/>
      <c r="F818" s="61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</row>
    <row r="819" spans="1:25" ht="13.2">
      <c r="A819" s="61"/>
      <c r="B819" s="21"/>
      <c r="C819" s="91"/>
      <c r="D819" s="21"/>
      <c r="E819" s="21"/>
      <c r="F819" s="61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</row>
    <row r="820" spans="1:25" ht="13.2">
      <c r="A820" s="61"/>
      <c r="B820" s="21"/>
      <c r="C820" s="91"/>
      <c r="D820" s="21"/>
      <c r="E820" s="21"/>
      <c r="F820" s="61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</row>
    <row r="821" spans="1:25" ht="13.2">
      <c r="A821" s="61"/>
      <c r="B821" s="21"/>
      <c r="C821" s="91"/>
      <c r="D821" s="21"/>
      <c r="E821" s="21"/>
      <c r="F821" s="61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</row>
    <row r="822" spans="1:25" ht="13.2">
      <c r="A822" s="61"/>
      <c r="B822" s="21"/>
      <c r="C822" s="91"/>
      <c r="D822" s="21"/>
      <c r="E822" s="21"/>
      <c r="F822" s="61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</row>
    <row r="823" spans="1:25" ht="13.2">
      <c r="A823" s="61"/>
      <c r="B823" s="21"/>
      <c r="C823" s="91"/>
      <c r="D823" s="21"/>
      <c r="E823" s="21"/>
      <c r="F823" s="61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</row>
    <row r="824" spans="1:25" ht="13.2">
      <c r="A824" s="61"/>
      <c r="B824" s="21"/>
      <c r="C824" s="91"/>
      <c r="D824" s="21"/>
      <c r="E824" s="21"/>
      <c r="F824" s="61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</row>
    <row r="825" spans="1:25" ht="13.2">
      <c r="A825" s="61"/>
      <c r="B825" s="21"/>
      <c r="C825" s="91"/>
      <c r="D825" s="21"/>
      <c r="E825" s="21"/>
      <c r="F825" s="61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</row>
    <row r="826" spans="1:25" ht="13.2">
      <c r="A826" s="61"/>
      <c r="B826" s="21"/>
      <c r="C826" s="91"/>
      <c r="D826" s="21"/>
      <c r="E826" s="21"/>
      <c r="F826" s="61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</row>
    <row r="827" spans="1:25" ht="13.2">
      <c r="A827" s="61"/>
      <c r="B827" s="21"/>
      <c r="C827" s="91"/>
      <c r="D827" s="21"/>
      <c r="E827" s="21"/>
      <c r="F827" s="61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</row>
    <row r="828" spans="1:25" ht="13.2">
      <c r="A828" s="61"/>
      <c r="B828" s="21"/>
      <c r="C828" s="91"/>
      <c r="D828" s="21"/>
      <c r="E828" s="21"/>
      <c r="F828" s="61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</row>
    <row r="829" spans="1:25" ht="13.2">
      <c r="A829" s="61"/>
      <c r="B829" s="21"/>
      <c r="C829" s="91"/>
      <c r="D829" s="21"/>
      <c r="E829" s="21"/>
      <c r="F829" s="61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</row>
    <row r="830" spans="1:25" ht="13.2">
      <c r="A830" s="61"/>
      <c r="B830" s="21"/>
      <c r="C830" s="91"/>
      <c r="D830" s="21"/>
      <c r="E830" s="21"/>
      <c r="F830" s="61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</row>
    <row r="831" spans="1:25" ht="13.2">
      <c r="A831" s="61"/>
      <c r="B831" s="21"/>
      <c r="C831" s="91"/>
      <c r="D831" s="21"/>
      <c r="E831" s="21"/>
      <c r="F831" s="61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</row>
    <row r="832" spans="1:25" ht="13.2">
      <c r="A832" s="61"/>
      <c r="B832" s="21"/>
      <c r="C832" s="91"/>
      <c r="D832" s="21"/>
      <c r="E832" s="21"/>
      <c r="F832" s="61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</row>
    <row r="833" spans="1:25" ht="13.2">
      <c r="A833" s="61"/>
      <c r="B833" s="21"/>
      <c r="C833" s="91"/>
      <c r="D833" s="21"/>
      <c r="E833" s="21"/>
      <c r="F833" s="61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</row>
    <row r="834" spans="1:25" ht="13.2">
      <c r="A834" s="61"/>
      <c r="B834" s="21"/>
      <c r="C834" s="91"/>
      <c r="D834" s="21"/>
      <c r="E834" s="21"/>
      <c r="F834" s="61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</row>
    <row r="835" spans="1:25" ht="13.2">
      <c r="A835" s="61"/>
      <c r="B835" s="21"/>
      <c r="C835" s="91"/>
      <c r="D835" s="21"/>
      <c r="E835" s="21"/>
      <c r="F835" s="61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</row>
    <row r="836" spans="1:25" ht="13.2">
      <c r="A836" s="61"/>
      <c r="B836" s="21"/>
      <c r="C836" s="91"/>
      <c r="D836" s="21"/>
      <c r="E836" s="21"/>
      <c r="F836" s="61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</row>
    <row r="837" spans="1:25" ht="13.2">
      <c r="A837" s="61"/>
      <c r="B837" s="21"/>
      <c r="C837" s="91"/>
      <c r="D837" s="21"/>
      <c r="E837" s="21"/>
      <c r="F837" s="61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</row>
    <row r="838" spans="1:25" ht="13.2">
      <c r="A838" s="61"/>
      <c r="B838" s="21"/>
      <c r="C838" s="91"/>
      <c r="D838" s="21"/>
      <c r="E838" s="21"/>
      <c r="F838" s="61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</row>
    <row r="839" spans="1:25" ht="13.2">
      <c r="A839" s="61"/>
      <c r="B839" s="21"/>
      <c r="C839" s="91"/>
      <c r="D839" s="21"/>
      <c r="E839" s="21"/>
      <c r="F839" s="61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</row>
    <row r="840" spans="1:25" ht="13.2">
      <c r="A840" s="61"/>
      <c r="B840" s="21"/>
      <c r="C840" s="91"/>
      <c r="D840" s="21"/>
      <c r="E840" s="21"/>
      <c r="F840" s="61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</row>
    <row r="841" spans="1:25" ht="13.2">
      <c r="A841" s="61"/>
      <c r="B841" s="21"/>
      <c r="C841" s="91"/>
      <c r="D841" s="21"/>
      <c r="E841" s="21"/>
      <c r="F841" s="61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</row>
    <row r="842" spans="1:25" ht="13.2">
      <c r="A842" s="61"/>
      <c r="B842" s="21"/>
      <c r="C842" s="91"/>
      <c r="D842" s="21"/>
      <c r="E842" s="21"/>
      <c r="F842" s="61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</row>
    <row r="843" spans="1:25" ht="13.2">
      <c r="A843" s="61"/>
      <c r="B843" s="21"/>
      <c r="C843" s="91"/>
      <c r="D843" s="21"/>
      <c r="E843" s="21"/>
      <c r="F843" s="61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</row>
    <row r="844" spans="1:25" ht="13.2">
      <c r="A844" s="61"/>
      <c r="B844" s="21"/>
      <c r="C844" s="91"/>
      <c r="D844" s="21"/>
      <c r="E844" s="21"/>
      <c r="F844" s="61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</row>
    <row r="845" spans="1:25" ht="13.2">
      <c r="A845" s="61"/>
      <c r="B845" s="21"/>
      <c r="C845" s="91"/>
      <c r="D845" s="21"/>
      <c r="E845" s="21"/>
      <c r="F845" s="61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</row>
    <row r="846" spans="1:25" ht="13.2">
      <c r="A846" s="61"/>
      <c r="B846" s="21"/>
      <c r="C846" s="91"/>
      <c r="D846" s="21"/>
      <c r="E846" s="21"/>
      <c r="F846" s="61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</row>
    <row r="847" spans="1:25" ht="13.2">
      <c r="A847" s="61"/>
      <c r="B847" s="21"/>
      <c r="C847" s="91"/>
      <c r="D847" s="21"/>
      <c r="E847" s="21"/>
      <c r="F847" s="61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</row>
    <row r="848" spans="1:25" ht="13.2">
      <c r="A848" s="61"/>
      <c r="B848" s="21"/>
      <c r="C848" s="91"/>
      <c r="D848" s="21"/>
      <c r="E848" s="21"/>
      <c r="F848" s="61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</row>
    <row r="849" spans="1:25" ht="13.2">
      <c r="A849" s="61"/>
      <c r="B849" s="21"/>
      <c r="C849" s="91"/>
      <c r="D849" s="21"/>
      <c r="E849" s="21"/>
      <c r="F849" s="61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</row>
    <row r="850" spans="1:25" ht="13.2">
      <c r="A850" s="61"/>
      <c r="B850" s="21"/>
      <c r="C850" s="91"/>
      <c r="D850" s="21"/>
      <c r="E850" s="21"/>
      <c r="F850" s="61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</row>
    <row r="851" spans="1:25" ht="13.2">
      <c r="A851" s="61"/>
      <c r="B851" s="21"/>
      <c r="C851" s="91"/>
      <c r="D851" s="21"/>
      <c r="E851" s="21"/>
      <c r="F851" s="61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</row>
    <row r="852" spans="1:25" ht="13.2">
      <c r="A852" s="61"/>
      <c r="B852" s="21"/>
      <c r="C852" s="91"/>
      <c r="D852" s="21"/>
      <c r="E852" s="21"/>
      <c r="F852" s="61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</row>
    <row r="853" spans="1:25" ht="13.2">
      <c r="A853" s="61"/>
      <c r="B853" s="21"/>
      <c r="C853" s="91"/>
      <c r="D853" s="21"/>
      <c r="E853" s="21"/>
      <c r="F853" s="61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</row>
    <row r="854" spans="1:25" ht="13.2">
      <c r="A854" s="61"/>
      <c r="B854" s="21"/>
      <c r="C854" s="91"/>
      <c r="D854" s="21"/>
      <c r="E854" s="21"/>
      <c r="F854" s="61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</row>
    <row r="855" spans="1:25" ht="13.2">
      <c r="A855" s="61"/>
      <c r="B855" s="21"/>
      <c r="C855" s="91"/>
      <c r="D855" s="21"/>
      <c r="E855" s="21"/>
      <c r="F855" s="61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</row>
    <row r="856" spans="1:25" ht="13.2">
      <c r="A856" s="61"/>
      <c r="B856" s="21"/>
      <c r="C856" s="91"/>
      <c r="D856" s="21"/>
      <c r="E856" s="21"/>
      <c r="F856" s="61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</row>
    <row r="857" spans="1:25" ht="13.2">
      <c r="A857" s="61"/>
      <c r="B857" s="21"/>
      <c r="C857" s="91"/>
      <c r="D857" s="21"/>
      <c r="E857" s="21"/>
      <c r="F857" s="61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</row>
    <row r="858" spans="1:25" ht="13.2">
      <c r="A858" s="61"/>
      <c r="B858" s="21"/>
      <c r="C858" s="91"/>
      <c r="D858" s="21"/>
      <c r="E858" s="21"/>
      <c r="F858" s="61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</row>
    <row r="859" spans="1:25" ht="13.2">
      <c r="A859" s="61"/>
      <c r="B859" s="21"/>
      <c r="C859" s="91"/>
      <c r="D859" s="21"/>
      <c r="E859" s="21"/>
      <c r="F859" s="61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</row>
    <row r="860" spans="1:25" ht="13.2">
      <c r="A860" s="61"/>
      <c r="B860" s="21"/>
      <c r="C860" s="91"/>
      <c r="D860" s="21"/>
      <c r="E860" s="21"/>
      <c r="F860" s="61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</row>
    <row r="861" spans="1:25" ht="13.2">
      <c r="A861" s="61"/>
      <c r="B861" s="21"/>
      <c r="C861" s="91"/>
      <c r="D861" s="21"/>
      <c r="E861" s="21"/>
      <c r="F861" s="61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</row>
    <row r="862" spans="1:25" ht="13.2">
      <c r="A862" s="61"/>
      <c r="B862" s="21"/>
      <c r="C862" s="91"/>
      <c r="D862" s="21"/>
      <c r="E862" s="21"/>
      <c r="F862" s="61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</row>
    <row r="863" spans="1:25" ht="13.2">
      <c r="A863" s="61"/>
      <c r="B863" s="21"/>
      <c r="C863" s="91"/>
      <c r="D863" s="21"/>
      <c r="E863" s="21"/>
      <c r="F863" s="61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</row>
    <row r="864" spans="1:25" ht="13.2">
      <c r="A864" s="61"/>
      <c r="B864" s="21"/>
      <c r="C864" s="91"/>
      <c r="D864" s="21"/>
      <c r="E864" s="21"/>
      <c r="F864" s="61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</row>
    <row r="865" spans="1:25" ht="13.2">
      <c r="A865" s="61"/>
      <c r="B865" s="21"/>
      <c r="C865" s="91"/>
      <c r="D865" s="21"/>
      <c r="E865" s="21"/>
      <c r="F865" s="61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</row>
    <row r="866" spans="1:25" ht="13.2">
      <c r="A866" s="61"/>
      <c r="B866" s="21"/>
      <c r="C866" s="91"/>
      <c r="D866" s="21"/>
      <c r="E866" s="21"/>
      <c r="F866" s="61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</row>
    <row r="867" spans="1:25" ht="13.2">
      <c r="A867" s="61"/>
      <c r="B867" s="21"/>
      <c r="C867" s="91"/>
      <c r="D867" s="21"/>
      <c r="E867" s="21"/>
      <c r="F867" s="61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</row>
    <row r="868" spans="1:25" ht="13.2">
      <c r="A868" s="61"/>
      <c r="B868" s="21"/>
      <c r="C868" s="91"/>
      <c r="D868" s="21"/>
      <c r="E868" s="21"/>
      <c r="F868" s="61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</row>
    <row r="869" spans="1:25" ht="13.2">
      <c r="A869" s="61"/>
      <c r="B869" s="21"/>
      <c r="C869" s="91"/>
      <c r="D869" s="21"/>
      <c r="E869" s="21"/>
      <c r="F869" s="61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</row>
    <row r="870" spans="1:25" ht="13.2">
      <c r="A870" s="61"/>
      <c r="B870" s="21"/>
      <c r="C870" s="91"/>
      <c r="D870" s="21"/>
      <c r="E870" s="21"/>
      <c r="F870" s="61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</row>
    <row r="871" spans="1:25" ht="13.2">
      <c r="A871" s="61"/>
      <c r="B871" s="21"/>
      <c r="C871" s="91"/>
      <c r="D871" s="21"/>
      <c r="E871" s="21"/>
      <c r="F871" s="61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</row>
    <row r="872" spans="1:25" ht="13.2">
      <c r="A872" s="61"/>
      <c r="B872" s="21"/>
      <c r="C872" s="91"/>
      <c r="D872" s="21"/>
      <c r="E872" s="21"/>
      <c r="F872" s="61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</row>
    <row r="873" spans="1:25" ht="13.2">
      <c r="A873" s="61"/>
      <c r="B873" s="21"/>
      <c r="C873" s="91"/>
      <c r="D873" s="21"/>
      <c r="E873" s="21"/>
      <c r="F873" s="61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</row>
    <row r="874" spans="1:25" ht="13.2">
      <c r="A874" s="61"/>
      <c r="B874" s="21"/>
      <c r="C874" s="91"/>
      <c r="D874" s="21"/>
      <c r="E874" s="21"/>
      <c r="F874" s="61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</row>
    <row r="875" spans="1:25" ht="13.2">
      <c r="A875" s="61"/>
      <c r="B875" s="21"/>
      <c r="C875" s="91"/>
      <c r="D875" s="21"/>
      <c r="E875" s="21"/>
      <c r="F875" s="61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</row>
    <row r="876" spans="1:25" ht="13.2">
      <c r="A876" s="61"/>
      <c r="B876" s="21"/>
      <c r="C876" s="91"/>
      <c r="D876" s="21"/>
      <c r="E876" s="21"/>
      <c r="F876" s="61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</row>
    <row r="877" spans="1:25" ht="13.2">
      <c r="A877" s="61"/>
      <c r="B877" s="21"/>
      <c r="C877" s="91"/>
      <c r="D877" s="21"/>
      <c r="E877" s="21"/>
      <c r="F877" s="61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</row>
    <row r="878" spans="1:25" ht="13.2">
      <c r="A878" s="61"/>
      <c r="B878" s="21"/>
      <c r="C878" s="91"/>
      <c r="D878" s="21"/>
      <c r="E878" s="21"/>
      <c r="F878" s="61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</row>
    <row r="879" spans="1:25" ht="13.2">
      <c r="A879" s="61"/>
      <c r="B879" s="21"/>
      <c r="C879" s="91"/>
      <c r="D879" s="21"/>
      <c r="E879" s="21"/>
      <c r="F879" s="61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</row>
    <row r="880" spans="1:25" ht="13.2">
      <c r="A880" s="61"/>
      <c r="B880" s="21"/>
      <c r="C880" s="91"/>
      <c r="D880" s="21"/>
      <c r="E880" s="21"/>
      <c r="F880" s="61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</row>
    <row r="881" spans="1:25" ht="13.2">
      <c r="A881" s="61"/>
      <c r="B881" s="21"/>
      <c r="C881" s="91"/>
      <c r="D881" s="21"/>
      <c r="E881" s="21"/>
      <c r="F881" s="61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</row>
    <row r="882" spans="1:25" ht="13.2">
      <c r="A882" s="61"/>
      <c r="B882" s="21"/>
      <c r="C882" s="91"/>
      <c r="D882" s="21"/>
      <c r="E882" s="21"/>
      <c r="F882" s="61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</row>
    <row r="883" spans="1:25" ht="13.2">
      <c r="A883" s="61"/>
      <c r="B883" s="21"/>
      <c r="C883" s="91"/>
      <c r="D883" s="21"/>
      <c r="E883" s="21"/>
      <c r="F883" s="61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</row>
    <row r="884" spans="1:25" ht="13.2">
      <c r="A884" s="61"/>
      <c r="B884" s="21"/>
      <c r="C884" s="91"/>
      <c r="D884" s="21"/>
      <c r="E884" s="21"/>
      <c r="F884" s="61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</row>
    <row r="885" spans="1:25" ht="13.2">
      <c r="A885" s="61"/>
      <c r="B885" s="21"/>
      <c r="C885" s="91"/>
      <c r="D885" s="21"/>
      <c r="E885" s="21"/>
      <c r="F885" s="61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</row>
    <row r="886" spans="1:25" ht="13.2">
      <c r="A886" s="61"/>
      <c r="B886" s="21"/>
      <c r="C886" s="91"/>
      <c r="D886" s="21"/>
      <c r="E886" s="21"/>
      <c r="F886" s="61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</row>
    <row r="887" spans="1:25" ht="13.2">
      <c r="A887" s="61"/>
      <c r="B887" s="21"/>
      <c r="C887" s="91"/>
      <c r="D887" s="21"/>
      <c r="E887" s="21"/>
      <c r="F887" s="61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</row>
    <row r="888" spans="1:25" ht="13.2">
      <c r="A888" s="61"/>
      <c r="B888" s="21"/>
      <c r="C888" s="91"/>
      <c r="D888" s="21"/>
      <c r="E888" s="21"/>
      <c r="F888" s="61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</row>
    <row r="889" spans="1:25" ht="13.2">
      <c r="A889" s="61"/>
      <c r="B889" s="21"/>
      <c r="C889" s="91"/>
      <c r="D889" s="21"/>
      <c r="E889" s="21"/>
      <c r="F889" s="61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</row>
    <row r="890" spans="1:25" ht="13.2">
      <c r="A890" s="61"/>
      <c r="B890" s="21"/>
      <c r="C890" s="91"/>
      <c r="D890" s="21"/>
      <c r="E890" s="21"/>
      <c r="F890" s="61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</row>
    <row r="891" spans="1:25" ht="13.2">
      <c r="A891" s="61"/>
      <c r="B891" s="21"/>
      <c r="C891" s="91"/>
      <c r="D891" s="21"/>
      <c r="E891" s="21"/>
      <c r="F891" s="61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</row>
    <row r="892" spans="1:25" ht="13.2">
      <c r="A892" s="61"/>
      <c r="B892" s="21"/>
      <c r="C892" s="91"/>
      <c r="D892" s="21"/>
      <c r="E892" s="21"/>
      <c r="F892" s="61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</row>
    <row r="893" spans="1:25" ht="13.2">
      <c r="A893" s="61"/>
      <c r="B893" s="21"/>
      <c r="C893" s="91"/>
      <c r="D893" s="21"/>
      <c r="E893" s="21"/>
      <c r="F893" s="61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</row>
    <row r="894" spans="1:25" ht="13.2">
      <c r="A894" s="61"/>
      <c r="B894" s="21"/>
      <c r="C894" s="91"/>
      <c r="D894" s="21"/>
      <c r="E894" s="21"/>
      <c r="F894" s="61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</row>
    <row r="895" spans="1:25" ht="13.2">
      <c r="A895" s="61"/>
      <c r="B895" s="21"/>
      <c r="C895" s="91"/>
      <c r="D895" s="21"/>
      <c r="E895" s="21"/>
      <c r="F895" s="61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</row>
    <row r="896" spans="1:25" ht="13.2">
      <c r="A896" s="61"/>
      <c r="B896" s="21"/>
      <c r="C896" s="91"/>
      <c r="D896" s="21"/>
      <c r="E896" s="21"/>
      <c r="F896" s="61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</row>
    <row r="897" spans="1:25" ht="13.2">
      <c r="A897" s="61"/>
      <c r="B897" s="21"/>
      <c r="C897" s="91"/>
      <c r="D897" s="21"/>
      <c r="E897" s="21"/>
      <c r="F897" s="61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</row>
    <row r="898" spans="1:25" ht="13.2">
      <c r="A898" s="61"/>
      <c r="B898" s="21"/>
      <c r="C898" s="91"/>
      <c r="D898" s="21"/>
      <c r="E898" s="21"/>
      <c r="F898" s="61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</row>
    <row r="899" spans="1:25" ht="13.2">
      <c r="A899" s="61"/>
      <c r="B899" s="21"/>
      <c r="C899" s="91"/>
      <c r="D899" s="21"/>
      <c r="E899" s="21"/>
      <c r="F899" s="61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</row>
    <row r="900" spans="1:25" ht="13.2">
      <c r="A900" s="61"/>
      <c r="B900" s="21"/>
      <c r="C900" s="91"/>
      <c r="D900" s="21"/>
      <c r="E900" s="21"/>
      <c r="F900" s="61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</row>
    <row r="901" spans="1:25" ht="13.2">
      <c r="A901" s="61"/>
      <c r="B901" s="21"/>
      <c r="C901" s="91"/>
      <c r="D901" s="21"/>
      <c r="E901" s="21"/>
      <c r="F901" s="61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</row>
    <row r="902" spans="1:25" ht="13.2">
      <c r="A902" s="61"/>
      <c r="B902" s="21"/>
      <c r="C902" s="91"/>
      <c r="D902" s="21"/>
      <c r="E902" s="21"/>
      <c r="F902" s="61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</row>
    <row r="903" spans="1:25" ht="13.2">
      <c r="A903" s="61"/>
      <c r="B903" s="21"/>
      <c r="C903" s="91"/>
      <c r="D903" s="21"/>
      <c r="E903" s="21"/>
      <c r="F903" s="61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</row>
    <row r="904" spans="1:25" ht="13.2">
      <c r="A904" s="61"/>
      <c r="B904" s="21"/>
      <c r="C904" s="91"/>
      <c r="D904" s="21"/>
      <c r="E904" s="21"/>
      <c r="F904" s="61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</row>
    <row r="905" spans="1:25" ht="13.2">
      <c r="A905" s="61"/>
      <c r="B905" s="21"/>
      <c r="C905" s="91"/>
      <c r="D905" s="21"/>
      <c r="E905" s="21"/>
      <c r="F905" s="61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</row>
    <row r="906" spans="1:25" ht="13.2">
      <c r="A906" s="61"/>
      <c r="B906" s="21"/>
      <c r="C906" s="91"/>
      <c r="D906" s="21"/>
      <c r="E906" s="21"/>
      <c r="F906" s="61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</row>
    <row r="907" spans="1:25" ht="13.2">
      <c r="A907" s="61"/>
      <c r="B907" s="21"/>
      <c r="C907" s="91"/>
      <c r="D907" s="21"/>
      <c r="E907" s="21"/>
      <c r="F907" s="61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</row>
    <row r="908" spans="1:25" ht="13.2">
      <c r="A908" s="61"/>
      <c r="B908" s="21"/>
      <c r="C908" s="91"/>
      <c r="D908" s="21"/>
      <c r="E908" s="21"/>
      <c r="F908" s="61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</row>
    <row r="909" spans="1:25" ht="13.2">
      <c r="A909" s="61"/>
      <c r="B909" s="21"/>
      <c r="C909" s="91"/>
      <c r="D909" s="21"/>
      <c r="E909" s="21"/>
      <c r="F909" s="61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</row>
    <row r="910" spans="1:25" ht="13.2">
      <c r="A910" s="61"/>
      <c r="B910" s="21"/>
      <c r="C910" s="91"/>
      <c r="D910" s="21"/>
      <c r="E910" s="21"/>
      <c r="F910" s="61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</row>
    <row r="911" spans="1:25" ht="13.2">
      <c r="A911" s="61"/>
      <c r="B911" s="21"/>
      <c r="C911" s="91"/>
      <c r="D911" s="21"/>
      <c r="E911" s="21"/>
      <c r="F911" s="61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</row>
    <row r="912" spans="1:25" ht="13.2">
      <c r="A912" s="61"/>
      <c r="B912" s="21"/>
      <c r="C912" s="91"/>
      <c r="D912" s="21"/>
      <c r="E912" s="21"/>
      <c r="F912" s="61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</row>
    <row r="913" spans="1:25" ht="13.2">
      <c r="A913" s="61"/>
      <c r="B913" s="21"/>
      <c r="C913" s="91"/>
      <c r="D913" s="21"/>
      <c r="E913" s="21"/>
      <c r="F913" s="61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</row>
    <row r="914" spans="1:25" ht="13.2">
      <c r="A914" s="61"/>
      <c r="B914" s="21"/>
      <c r="C914" s="91"/>
      <c r="D914" s="21"/>
      <c r="E914" s="21"/>
      <c r="F914" s="61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</row>
    <row r="915" spans="1:25" ht="13.2">
      <c r="A915" s="61"/>
      <c r="B915" s="21"/>
      <c r="C915" s="91"/>
      <c r="D915" s="21"/>
      <c r="E915" s="21"/>
      <c r="F915" s="61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</row>
    <row r="916" spans="1:25" ht="13.2">
      <c r="A916" s="61"/>
      <c r="B916" s="21"/>
      <c r="C916" s="91"/>
      <c r="D916" s="21"/>
      <c r="E916" s="21"/>
      <c r="F916" s="61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</row>
    <row r="917" spans="1:25" ht="13.2">
      <c r="A917" s="61"/>
      <c r="B917" s="21"/>
      <c r="C917" s="91"/>
      <c r="D917" s="21"/>
      <c r="E917" s="21"/>
      <c r="F917" s="61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</row>
    <row r="918" spans="1:25" ht="13.2">
      <c r="A918" s="61"/>
      <c r="B918" s="21"/>
      <c r="C918" s="91"/>
      <c r="D918" s="21"/>
      <c r="E918" s="21"/>
      <c r="F918" s="61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</row>
    <row r="919" spans="1:25" ht="13.2">
      <c r="A919" s="61"/>
      <c r="B919" s="21"/>
      <c r="C919" s="91"/>
      <c r="D919" s="21"/>
      <c r="E919" s="21"/>
      <c r="F919" s="61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</row>
    <row r="920" spans="1:25" ht="13.2">
      <c r="A920" s="61"/>
      <c r="B920" s="21"/>
      <c r="C920" s="91"/>
      <c r="D920" s="21"/>
      <c r="E920" s="21"/>
      <c r="F920" s="61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</row>
    <row r="921" spans="1:25" ht="13.2">
      <c r="A921" s="61"/>
      <c r="B921" s="21"/>
      <c r="C921" s="91"/>
      <c r="D921" s="21"/>
      <c r="E921" s="21"/>
      <c r="F921" s="61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</row>
    <row r="922" spans="1:25" ht="13.2">
      <c r="A922" s="61"/>
      <c r="B922" s="21"/>
      <c r="C922" s="91"/>
      <c r="D922" s="21"/>
      <c r="E922" s="21"/>
      <c r="F922" s="61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</row>
    <row r="923" spans="1:25" ht="13.2">
      <c r="A923" s="61"/>
      <c r="B923" s="21"/>
      <c r="C923" s="91"/>
      <c r="D923" s="21"/>
      <c r="E923" s="21"/>
      <c r="F923" s="61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</row>
    <row r="924" spans="1:25" ht="13.2">
      <c r="A924" s="61"/>
      <c r="B924" s="21"/>
      <c r="C924" s="91"/>
      <c r="D924" s="21"/>
      <c r="E924" s="21"/>
      <c r="F924" s="61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</row>
    <row r="925" spans="1:25" ht="13.2">
      <c r="A925" s="61"/>
      <c r="B925" s="21"/>
      <c r="C925" s="91"/>
      <c r="D925" s="21"/>
      <c r="E925" s="21"/>
      <c r="F925" s="61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</row>
    <row r="926" spans="1:25" ht="13.2">
      <c r="A926" s="61"/>
      <c r="B926" s="21"/>
      <c r="C926" s="91"/>
      <c r="D926" s="21"/>
      <c r="E926" s="21"/>
      <c r="F926" s="61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</row>
    <row r="927" spans="1:25" ht="13.2">
      <c r="A927" s="61"/>
      <c r="B927" s="21"/>
      <c r="C927" s="91"/>
      <c r="D927" s="21"/>
      <c r="E927" s="21"/>
      <c r="F927" s="61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</row>
    <row r="928" spans="1:25" ht="13.2">
      <c r="A928" s="61"/>
      <c r="B928" s="21"/>
      <c r="C928" s="91"/>
      <c r="D928" s="21"/>
      <c r="E928" s="21"/>
      <c r="F928" s="61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</row>
    <row r="929" spans="1:25" ht="13.2">
      <c r="A929" s="61"/>
      <c r="B929" s="21"/>
      <c r="C929" s="91"/>
      <c r="D929" s="21"/>
      <c r="E929" s="21"/>
      <c r="F929" s="61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</row>
    <row r="930" spans="1:25" ht="13.2">
      <c r="A930" s="61"/>
      <c r="B930" s="21"/>
      <c r="C930" s="91"/>
      <c r="D930" s="21"/>
      <c r="E930" s="21"/>
      <c r="F930" s="61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</row>
    <row r="931" spans="1:25" ht="13.2">
      <c r="A931" s="61"/>
      <c r="B931" s="21"/>
      <c r="C931" s="91"/>
      <c r="D931" s="21"/>
      <c r="E931" s="21"/>
      <c r="F931" s="61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</row>
    <row r="932" spans="1:25" ht="13.2">
      <c r="A932" s="61"/>
      <c r="B932" s="21"/>
      <c r="C932" s="91"/>
      <c r="D932" s="21"/>
      <c r="E932" s="21"/>
      <c r="F932" s="61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</row>
    <row r="933" spans="1:25" ht="13.2">
      <c r="A933" s="61"/>
      <c r="B933" s="21"/>
      <c r="C933" s="91"/>
      <c r="D933" s="21"/>
      <c r="E933" s="21"/>
      <c r="F933" s="61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</row>
    <row r="934" spans="1:25" ht="13.2">
      <c r="A934" s="61"/>
      <c r="B934" s="21"/>
      <c r="C934" s="91"/>
      <c r="D934" s="21"/>
      <c r="E934" s="21"/>
      <c r="F934" s="61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</row>
    <row r="935" spans="1:25" ht="13.2">
      <c r="A935" s="61"/>
      <c r="B935" s="21"/>
      <c r="C935" s="91"/>
      <c r="D935" s="21"/>
      <c r="E935" s="21"/>
      <c r="F935" s="61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</row>
    <row r="936" spans="1:25" ht="13.2">
      <c r="A936" s="61"/>
      <c r="B936" s="21"/>
      <c r="C936" s="91"/>
      <c r="D936" s="21"/>
      <c r="E936" s="21"/>
      <c r="F936" s="61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</row>
    <row r="937" spans="1:25" ht="13.2">
      <c r="A937" s="61"/>
      <c r="B937" s="21"/>
      <c r="C937" s="91"/>
      <c r="D937" s="21"/>
      <c r="E937" s="21"/>
      <c r="F937" s="61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</row>
    <row r="938" spans="1:25" ht="13.2">
      <c r="A938" s="61"/>
      <c r="B938" s="21"/>
      <c r="C938" s="91"/>
      <c r="D938" s="21"/>
      <c r="E938" s="21"/>
      <c r="F938" s="61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</row>
    <row r="939" spans="1:25" ht="13.2">
      <c r="A939" s="61"/>
      <c r="B939" s="21"/>
      <c r="C939" s="91"/>
      <c r="D939" s="21"/>
      <c r="E939" s="21"/>
      <c r="F939" s="61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</row>
    <row r="940" spans="1:25" ht="13.2">
      <c r="A940" s="61"/>
      <c r="B940" s="21"/>
      <c r="C940" s="91"/>
      <c r="D940" s="21"/>
      <c r="E940" s="21"/>
      <c r="F940" s="61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</row>
    <row r="941" spans="1:25" ht="13.2">
      <c r="A941" s="61"/>
      <c r="B941" s="21"/>
      <c r="C941" s="91"/>
      <c r="D941" s="21"/>
      <c r="E941" s="21"/>
      <c r="F941" s="61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</row>
    <row r="942" spans="1:25" ht="13.2">
      <c r="A942" s="61"/>
      <c r="B942" s="21"/>
      <c r="C942" s="91"/>
      <c r="D942" s="21"/>
      <c r="E942" s="21"/>
      <c r="F942" s="61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</row>
    <row r="943" spans="1:25" ht="13.2">
      <c r="A943" s="61"/>
      <c r="B943" s="21"/>
      <c r="C943" s="91"/>
      <c r="D943" s="21"/>
      <c r="E943" s="21"/>
      <c r="F943" s="61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</row>
    <row r="944" spans="1:25" ht="13.2">
      <c r="A944" s="61"/>
      <c r="B944" s="21"/>
      <c r="C944" s="91"/>
      <c r="D944" s="21"/>
      <c r="E944" s="21"/>
      <c r="F944" s="61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</row>
    <row r="945" spans="1:25" ht="13.2">
      <c r="A945" s="61"/>
      <c r="B945" s="21"/>
      <c r="C945" s="91"/>
      <c r="D945" s="21"/>
      <c r="E945" s="21"/>
      <c r="F945" s="61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</row>
    <row r="946" spans="1:25" ht="13.2">
      <c r="A946" s="61"/>
      <c r="B946" s="21"/>
      <c r="C946" s="91"/>
      <c r="D946" s="21"/>
      <c r="E946" s="21"/>
      <c r="F946" s="61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</row>
    <row r="947" spans="1:25" ht="13.2">
      <c r="A947" s="61"/>
      <c r="B947" s="21"/>
      <c r="C947" s="91"/>
      <c r="D947" s="21"/>
      <c r="E947" s="21"/>
      <c r="F947" s="61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</row>
    <row r="948" spans="1:25" ht="13.2">
      <c r="A948" s="61"/>
      <c r="B948" s="21"/>
      <c r="C948" s="91"/>
      <c r="D948" s="21"/>
      <c r="E948" s="21"/>
      <c r="F948" s="61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</row>
    <row r="949" spans="1:25" ht="13.2">
      <c r="A949" s="61"/>
      <c r="B949" s="21"/>
      <c r="C949" s="91"/>
      <c r="D949" s="21"/>
      <c r="E949" s="21"/>
      <c r="F949" s="61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</row>
    <row r="950" spans="1:25" ht="13.2">
      <c r="A950" s="61"/>
      <c r="B950" s="21"/>
      <c r="C950" s="91"/>
      <c r="D950" s="21"/>
      <c r="E950" s="21"/>
      <c r="F950" s="61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</row>
    <row r="951" spans="1:25" ht="13.2">
      <c r="A951" s="61"/>
      <c r="B951" s="21"/>
      <c r="C951" s="91"/>
      <c r="D951" s="21"/>
      <c r="E951" s="21"/>
      <c r="F951" s="61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</row>
    <row r="952" spans="1:25" ht="13.2">
      <c r="A952" s="61"/>
      <c r="B952" s="21"/>
      <c r="C952" s="91"/>
      <c r="D952" s="21"/>
      <c r="E952" s="21"/>
      <c r="F952" s="61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</row>
    <row r="953" spans="1:25" ht="13.2">
      <c r="A953" s="61"/>
      <c r="B953" s="21"/>
      <c r="C953" s="91"/>
      <c r="D953" s="21"/>
      <c r="E953" s="21"/>
      <c r="F953" s="61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</row>
    <row r="954" spans="1:25" ht="13.2">
      <c r="A954" s="61"/>
      <c r="B954" s="21"/>
      <c r="C954" s="91"/>
      <c r="D954" s="21"/>
      <c r="E954" s="21"/>
      <c r="F954" s="61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</row>
    <row r="955" spans="1:25" ht="13.2">
      <c r="A955" s="61"/>
      <c r="B955" s="21"/>
      <c r="C955" s="91"/>
      <c r="D955" s="21"/>
      <c r="E955" s="21"/>
      <c r="F955" s="61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</row>
    <row r="956" spans="1:25" ht="13.2">
      <c r="A956" s="61"/>
      <c r="B956" s="21"/>
      <c r="C956" s="91"/>
      <c r="D956" s="21"/>
      <c r="E956" s="21"/>
      <c r="F956" s="61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</row>
    <row r="957" spans="1:25" ht="13.2">
      <c r="A957" s="61"/>
      <c r="B957" s="21"/>
      <c r="C957" s="91"/>
      <c r="D957" s="21"/>
      <c r="E957" s="21"/>
      <c r="F957" s="61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</row>
    <row r="958" spans="1:25" ht="13.2">
      <c r="A958" s="61"/>
      <c r="B958" s="21"/>
      <c r="C958" s="91"/>
      <c r="D958" s="21"/>
      <c r="E958" s="21"/>
      <c r="F958" s="61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</row>
    <row r="959" spans="1:25" ht="13.2">
      <c r="A959" s="61"/>
      <c r="B959" s="21"/>
      <c r="C959" s="91"/>
      <c r="D959" s="21"/>
      <c r="E959" s="21"/>
      <c r="F959" s="61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</row>
    <row r="960" spans="1:25" ht="13.2">
      <c r="A960" s="61"/>
      <c r="B960" s="21"/>
      <c r="C960" s="91"/>
      <c r="D960" s="21"/>
      <c r="E960" s="21"/>
      <c r="F960" s="61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</row>
    <row r="961" spans="1:25" ht="13.2">
      <c r="A961" s="61"/>
      <c r="B961" s="21"/>
      <c r="C961" s="91"/>
      <c r="D961" s="21"/>
      <c r="E961" s="21"/>
      <c r="F961" s="61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</row>
    <row r="962" spans="1:25" ht="13.2">
      <c r="A962" s="61"/>
      <c r="B962" s="21"/>
      <c r="C962" s="91"/>
      <c r="D962" s="21"/>
      <c r="E962" s="21"/>
      <c r="F962" s="61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</row>
    <row r="963" spans="1:25" ht="13.2">
      <c r="A963" s="61"/>
      <c r="B963" s="21"/>
      <c r="C963" s="91"/>
      <c r="D963" s="21"/>
      <c r="E963" s="21"/>
      <c r="F963" s="61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</row>
    <row r="964" spans="1:25" ht="13.2">
      <c r="A964" s="61"/>
      <c r="B964" s="21"/>
      <c r="C964" s="91"/>
      <c r="D964" s="21"/>
      <c r="E964" s="21"/>
      <c r="F964" s="61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</row>
    <row r="965" spans="1:25" ht="13.2">
      <c r="A965" s="61"/>
      <c r="B965" s="21"/>
      <c r="C965" s="91"/>
      <c r="D965" s="21"/>
      <c r="E965" s="21"/>
      <c r="F965" s="61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</row>
    <row r="966" spans="1:25" ht="13.2">
      <c r="A966" s="61"/>
      <c r="B966" s="21"/>
      <c r="C966" s="91"/>
      <c r="D966" s="21"/>
      <c r="E966" s="21"/>
      <c r="F966" s="61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</row>
    <row r="967" spans="1:25" ht="13.2">
      <c r="A967" s="61"/>
      <c r="B967" s="21"/>
      <c r="C967" s="91"/>
      <c r="D967" s="21"/>
      <c r="E967" s="21"/>
      <c r="F967" s="61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</row>
    <row r="968" spans="1:25" ht="13.2">
      <c r="A968" s="61"/>
      <c r="B968" s="21"/>
      <c r="C968" s="91"/>
      <c r="D968" s="21"/>
      <c r="E968" s="21"/>
      <c r="F968" s="61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</row>
    <row r="969" spans="1:25" ht="13.2">
      <c r="A969" s="61"/>
      <c r="B969" s="21"/>
      <c r="C969" s="91"/>
      <c r="D969" s="21"/>
      <c r="E969" s="21"/>
      <c r="F969" s="61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</row>
    <row r="970" spans="1:25" ht="13.2">
      <c r="A970" s="61"/>
      <c r="B970" s="21"/>
      <c r="C970" s="91"/>
      <c r="D970" s="21"/>
      <c r="E970" s="21"/>
      <c r="F970" s="61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</row>
    <row r="971" spans="1:25" ht="13.2">
      <c r="A971" s="61"/>
      <c r="B971" s="21"/>
      <c r="C971" s="91"/>
      <c r="D971" s="21"/>
      <c r="E971" s="21"/>
      <c r="F971" s="61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</row>
    <row r="972" spans="1:25" ht="13.2">
      <c r="A972" s="61"/>
      <c r="B972" s="21"/>
      <c r="C972" s="91"/>
      <c r="D972" s="21"/>
      <c r="E972" s="21"/>
      <c r="F972" s="61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</row>
    <row r="973" spans="1:25" ht="13.2">
      <c r="A973" s="61"/>
      <c r="B973" s="21"/>
      <c r="C973" s="91"/>
      <c r="D973" s="21"/>
      <c r="E973" s="21"/>
      <c r="F973" s="61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</row>
    <row r="974" spans="1:25" ht="13.2">
      <c r="A974" s="61"/>
      <c r="B974" s="21"/>
      <c r="C974" s="91"/>
      <c r="D974" s="21"/>
      <c r="E974" s="21"/>
      <c r="F974" s="61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</row>
    <row r="975" spans="1:25" ht="13.2">
      <c r="A975" s="61"/>
      <c r="B975" s="21"/>
      <c r="C975" s="91"/>
      <c r="D975" s="21"/>
      <c r="E975" s="21"/>
      <c r="F975" s="61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</row>
    <row r="976" spans="1:25" ht="13.2">
      <c r="A976" s="61"/>
      <c r="B976" s="21"/>
      <c r="C976" s="91"/>
      <c r="D976" s="21"/>
      <c r="E976" s="21"/>
      <c r="F976" s="61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</row>
    <row r="977" spans="1:25" ht="13.2">
      <c r="A977" s="61"/>
      <c r="B977" s="21"/>
      <c r="C977" s="91"/>
      <c r="D977" s="21"/>
      <c r="E977" s="21"/>
      <c r="F977" s="61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</row>
    <row r="978" spans="1:25" ht="13.2">
      <c r="A978" s="61"/>
      <c r="B978" s="21"/>
      <c r="C978" s="91"/>
      <c r="D978" s="21"/>
      <c r="E978" s="21"/>
      <c r="F978" s="61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</row>
    <row r="979" spans="1:25" ht="13.2">
      <c r="A979" s="61"/>
      <c r="B979" s="21"/>
      <c r="C979" s="91"/>
      <c r="D979" s="21"/>
      <c r="E979" s="21"/>
      <c r="F979" s="61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</row>
    <row r="980" spans="1:25" ht="13.2">
      <c r="A980" s="61"/>
      <c r="B980" s="21"/>
      <c r="C980" s="91"/>
      <c r="D980" s="21"/>
      <c r="E980" s="21"/>
      <c r="F980" s="61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</row>
    <row r="981" spans="1:25" ht="13.2">
      <c r="A981" s="61"/>
      <c r="B981" s="21"/>
      <c r="C981" s="91"/>
      <c r="D981" s="21"/>
      <c r="E981" s="21"/>
      <c r="F981" s="61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</row>
    <row r="982" spans="1:25" ht="13.2">
      <c r="A982" s="61"/>
      <c r="B982" s="21"/>
      <c r="C982" s="91"/>
      <c r="D982" s="21"/>
      <c r="E982" s="21"/>
      <c r="F982" s="61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</row>
    <row r="983" spans="1:25" ht="13.2">
      <c r="A983" s="61"/>
      <c r="B983" s="21"/>
      <c r="C983" s="91"/>
      <c r="D983" s="21"/>
      <c r="E983" s="21"/>
      <c r="F983" s="61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</row>
    <row r="984" spans="1:25" ht="13.2">
      <c r="A984" s="61"/>
      <c r="B984" s="21"/>
      <c r="C984" s="91"/>
      <c r="D984" s="21"/>
      <c r="E984" s="21"/>
      <c r="F984" s="61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</row>
    <row r="985" spans="1:25" ht="13.2">
      <c r="A985" s="61"/>
      <c r="B985" s="21"/>
      <c r="C985" s="91"/>
      <c r="D985" s="21"/>
      <c r="E985" s="21"/>
      <c r="F985" s="61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</row>
    <row r="986" spans="1:25" ht="13.2">
      <c r="A986" s="61"/>
      <c r="B986" s="21"/>
      <c r="C986" s="91"/>
      <c r="D986" s="21"/>
      <c r="E986" s="21"/>
      <c r="F986" s="61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</row>
    <row r="987" spans="1:25" ht="13.2">
      <c r="A987" s="61"/>
      <c r="B987" s="21"/>
      <c r="C987" s="91"/>
      <c r="D987" s="21"/>
      <c r="E987" s="21"/>
      <c r="F987" s="61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</row>
    <row r="988" spans="1:25" ht="13.2">
      <c r="A988" s="61"/>
      <c r="B988" s="21"/>
      <c r="C988" s="91"/>
      <c r="D988" s="21"/>
      <c r="E988" s="21"/>
      <c r="F988" s="61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</row>
    <row r="989" spans="1:25" ht="13.2">
      <c r="A989" s="61"/>
      <c r="B989" s="21"/>
      <c r="C989" s="91"/>
      <c r="D989" s="21"/>
      <c r="E989" s="21"/>
      <c r="F989" s="61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</row>
    <row r="990" spans="1:25" ht="13.2">
      <c r="A990" s="61"/>
      <c r="B990" s="21"/>
      <c r="C990" s="91"/>
      <c r="D990" s="21"/>
      <c r="E990" s="21"/>
      <c r="F990" s="61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</row>
    <row r="991" spans="1:25" ht="13.2">
      <c r="A991" s="61"/>
      <c r="B991" s="21"/>
      <c r="C991" s="91"/>
      <c r="D991" s="21"/>
      <c r="E991" s="21"/>
      <c r="F991" s="61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</row>
    <row r="992" spans="1:25" ht="13.2">
      <c r="A992" s="61"/>
      <c r="B992" s="21"/>
      <c r="C992" s="91"/>
      <c r="D992" s="21"/>
      <c r="E992" s="21"/>
      <c r="F992" s="61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</row>
    <row r="993" spans="1:25" ht="13.2">
      <c r="A993" s="61"/>
      <c r="B993" s="21"/>
      <c r="C993" s="91"/>
      <c r="D993" s="21"/>
      <c r="E993" s="21"/>
      <c r="F993" s="61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</row>
    <row r="994" spans="1:25" ht="13.2">
      <c r="A994" s="61"/>
      <c r="B994" s="21"/>
      <c r="C994" s="91"/>
      <c r="D994" s="21"/>
      <c r="E994" s="21"/>
      <c r="F994" s="61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</row>
  </sheetData>
  <mergeCells count="2">
    <mergeCell ref="A1:F1"/>
    <mergeCell ref="A2:F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K42"/>
  <sheetViews>
    <sheetView workbookViewId="0"/>
  </sheetViews>
  <sheetFormatPr defaultColWidth="12.6640625" defaultRowHeight="15" customHeight="1"/>
  <sheetData>
    <row r="2" spans="2:5">
      <c r="B2" s="401" t="s">
        <v>3361</v>
      </c>
      <c r="C2" s="393"/>
      <c r="D2" s="393"/>
      <c r="E2" s="393"/>
    </row>
    <row r="3" spans="2:5" ht="15" customHeight="1">
      <c r="B3" s="393"/>
      <c r="C3" s="393"/>
      <c r="D3" s="393"/>
      <c r="E3" s="393"/>
    </row>
    <row r="4" spans="2:5">
      <c r="B4" s="402" t="s">
        <v>3349</v>
      </c>
      <c r="C4" s="405" t="s">
        <v>3350</v>
      </c>
      <c r="D4" s="408" t="s">
        <v>3362</v>
      </c>
      <c r="E4" s="409" t="s">
        <v>31</v>
      </c>
    </row>
    <row r="5" spans="2:5">
      <c r="B5" s="403"/>
      <c r="C5" s="403"/>
      <c r="D5" s="403"/>
      <c r="E5" s="403"/>
    </row>
    <row r="6" spans="2:5">
      <c r="B6" s="403"/>
      <c r="C6" s="403"/>
      <c r="D6" s="403"/>
      <c r="E6" s="403"/>
    </row>
    <row r="7" spans="2:5">
      <c r="B7" s="404"/>
      <c r="C7" s="404"/>
      <c r="D7" s="404"/>
      <c r="E7" s="404"/>
    </row>
    <row r="8" spans="2:5">
      <c r="B8" s="389" t="s">
        <v>15</v>
      </c>
      <c r="C8" s="23">
        <v>4</v>
      </c>
      <c r="D8" s="23">
        <v>4</v>
      </c>
      <c r="E8" s="27"/>
    </row>
    <row r="9" spans="2:5">
      <c r="B9" s="389" t="s">
        <v>18</v>
      </c>
      <c r="C9" s="23">
        <v>2</v>
      </c>
      <c r="D9" s="23">
        <v>2</v>
      </c>
      <c r="E9" s="27"/>
    </row>
    <row r="10" spans="2:5">
      <c r="B10" s="389" t="s">
        <v>16</v>
      </c>
      <c r="C10" s="23">
        <v>3</v>
      </c>
      <c r="D10" s="23">
        <v>3</v>
      </c>
      <c r="E10" s="27"/>
    </row>
    <row r="11" spans="2:5">
      <c r="B11" s="389" t="s">
        <v>17</v>
      </c>
      <c r="C11" s="23">
        <v>3</v>
      </c>
      <c r="D11" s="23">
        <v>3</v>
      </c>
      <c r="E11" s="27"/>
    </row>
    <row r="12" spans="2:5">
      <c r="B12" s="389" t="s">
        <v>162</v>
      </c>
      <c r="C12" s="23">
        <v>0.5</v>
      </c>
      <c r="D12" s="23" t="s">
        <v>3363</v>
      </c>
      <c r="E12" s="27"/>
    </row>
    <row r="13" spans="2:5">
      <c r="B13" s="389" t="s">
        <v>3355</v>
      </c>
      <c r="C13" s="23">
        <v>0.5</v>
      </c>
      <c r="D13" s="23" t="s">
        <v>3363</v>
      </c>
      <c r="E13" s="27"/>
    </row>
    <row r="14" spans="2:5">
      <c r="B14" s="389" t="s">
        <v>25</v>
      </c>
      <c r="C14" s="23">
        <v>2</v>
      </c>
      <c r="D14" s="23">
        <v>2</v>
      </c>
      <c r="E14" s="27"/>
    </row>
    <row r="15" spans="2:5">
      <c r="B15" s="389" t="s">
        <v>24</v>
      </c>
      <c r="C15" s="23">
        <v>2</v>
      </c>
      <c r="D15" s="23">
        <v>2</v>
      </c>
      <c r="E15" s="27"/>
    </row>
    <row r="16" spans="2:5">
      <c r="B16" s="389" t="s">
        <v>21</v>
      </c>
      <c r="C16" s="23">
        <v>2</v>
      </c>
      <c r="D16" s="23">
        <v>2</v>
      </c>
      <c r="E16" s="27"/>
    </row>
    <row r="17" spans="2:11">
      <c r="B17" s="389" t="s">
        <v>22</v>
      </c>
      <c r="C17" s="23">
        <v>2</v>
      </c>
      <c r="D17" s="23">
        <v>2</v>
      </c>
      <c r="E17" s="27"/>
    </row>
    <row r="18" spans="2:11">
      <c r="B18" s="389" t="s">
        <v>3340</v>
      </c>
      <c r="C18" s="23" t="s">
        <v>47</v>
      </c>
      <c r="D18" s="23" t="s">
        <v>3363</v>
      </c>
      <c r="E18" s="27"/>
    </row>
    <row r="19" spans="2:11">
      <c r="B19" s="389" t="s">
        <v>3359</v>
      </c>
      <c r="C19" s="23" t="s">
        <v>47</v>
      </c>
      <c r="D19" s="23">
        <v>1</v>
      </c>
      <c r="E19" s="27"/>
    </row>
    <row r="20" spans="2:11">
      <c r="B20" s="389" t="s">
        <v>3360</v>
      </c>
      <c r="C20" s="23" t="s">
        <v>47</v>
      </c>
      <c r="D20" s="23">
        <v>1</v>
      </c>
      <c r="E20" s="27"/>
    </row>
    <row r="23" spans="2:11"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2:11"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21"/>
      <c r="C25" s="407" t="s">
        <v>3349</v>
      </c>
      <c r="D25" s="407" t="s">
        <v>3364</v>
      </c>
      <c r="E25" s="407" t="s">
        <v>3365</v>
      </c>
      <c r="F25" s="407" t="s">
        <v>3366</v>
      </c>
      <c r="G25" s="407" t="s">
        <v>3367</v>
      </c>
      <c r="H25" s="407" t="s">
        <v>3368</v>
      </c>
      <c r="I25" s="407" t="s">
        <v>3369</v>
      </c>
      <c r="J25" s="407" t="s">
        <v>3370</v>
      </c>
      <c r="K25" s="407" t="s">
        <v>3371</v>
      </c>
    </row>
    <row r="26" spans="2:11">
      <c r="B26" s="21"/>
      <c r="C26" s="403"/>
      <c r="D26" s="403"/>
      <c r="E26" s="403"/>
      <c r="F26" s="403"/>
      <c r="G26" s="403"/>
      <c r="H26" s="403"/>
      <c r="I26" s="403"/>
      <c r="J26" s="403"/>
      <c r="K26" s="403"/>
    </row>
    <row r="27" spans="2:11">
      <c r="B27" s="21"/>
      <c r="C27" s="403"/>
      <c r="D27" s="403"/>
      <c r="E27" s="403"/>
      <c r="F27" s="403"/>
      <c r="G27" s="403"/>
      <c r="H27" s="403"/>
      <c r="I27" s="403"/>
      <c r="J27" s="403"/>
      <c r="K27" s="403"/>
    </row>
    <row r="28" spans="2:11">
      <c r="B28" s="21"/>
      <c r="C28" s="404"/>
      <c r="D28" s="404"/>
      <c r="E28" s="404"/>
      <c r="F28" s="404"/>
      <c r="G28" s="404"/>
      <c r="H28" s="404"/>
      <c r="I28" s="404"/>
      <c r="J28" s="404"/>
      <c r="K28" s="404"/>
    </row>
    <row r="29" spans="2:11">
      <c r="B29" s="21"/>
      <c r="C29" s="390" t="s">
        <v>15</v>
      </c>
      <c r="D29" s="246">
        <v>39</v>
      </c>
      <c r="E29" s="254">
        <v>65</v>
      </c>
      <c r="F29" s="254">
        <v>24</v>
      </c>
      <c r="G29" s="246">
        <v>6</v>
      </c>
      <c r="H29" s="246">
        <v>35</v>
      </c>
      <c r="I29" s="250">
        <v>37</v>
      </c>
      <c r="J29" s="264">
        <v>509516</v>
      </c>
      <c r="K29" s="264">
        <v>246921</v>
      </c>
    </row>
    <row r="30" spans="2:11">
      <c r="B30" s="21"/>
      <c r="C30" s="390" t="s">
        <v>18</v>
      </c>
      <c r="D30" s="246">
        <v>8</v>
      </c>
      <c r="E30" s="246">
        <v>5</v>
      </c>
      <c r="F30" s="246">
        <v>6</v>
      </c>
      <c r="G30" s="246">
        <v>0</v>
      </c>
      <c r="H30" s="246">
        <v>6</v>
      </c>
      <c r="I30" s="246">
        <v>11</v>
      </c>
      <c r="J30" s="264">
        <v>206600</v>
      </c>
      <c r="K30" s="264">
        <v>10000</v>
      </c>
    </row>
    <row r="31" spans="2:11">
      <c r="B31" s="21"/>
      <c r="C31" s="390" t="s">
        <v>16</v>
      </c>
      <c r="D31" s="246">
        <v>32</v>
      </c>
      <c r="E31" s="254">
        <v>23</v>
      </c>
      <c r="F31" s="254">
        <v>28</v>
      </c>
      <c r="G31" s="246">
        <v>1</v>
      </c>
      <c r="H31" s="246">
        <v>20</v>
      </c>
      <c r="I31" s="246">
        <v>18</v>
      </c>
      <c r="J31" s="264">
        <v>321569</v>
      </c>
      <c r="K31" s="264">
        <v>91000</v>
      </c>
    </row>
    <row r="32" spans="2:11">
      <c r="B32" s="21"/>
      <c r="C32" s="390" t="s">
        <v>17</v>
      </c>
      <c r="D32" s="60">
        <v>30</v>
      </c>
      <c r="E32" s="60">
        <v>30</v>
      </c>
      <c r="F32" s="59">
        <v>23</v>
      </c>
      <c r="G32" s="60">
        <v>6</v>
      </c>
      <c r="H32" s="60">
        <v>31</v>
      </c>
      <c r="I32" s="60">
        <v>29</v>
      </c>
      <c r="J32" s="264">
        <v>142950</v>
      </c>
      <c r="K32" s="264">
        <v>196050</v>
      </c>
    </row>
    <row r="33" spans="2:11">
      <c r="B33" s="21"/>
      <c r="C33" s="390" t="s">
        <v>3372</v>
      </c>
      <c r="D33" s="246">
        <v>7</v>
      </c>
      <c r="E33" s="23">
        <v>2</v>
      </c>
      <c r="F33" s="23">
        <v>3</v>
      </c>
      <c r="G33" s="23">
        <v>2</v>
      </c>
      <c r="H33" s="23">
        <v>6</v>
      </c>
      <c r="I33" s="23">
        <v>9</v>
      </c>
      <c r="J33" s="391">
        <v>0</v>
      </c>
      <c r="K33" s="391">
        <v>12000</v>
      </c>
    </row>
    <row r="34" spans="2:11">
      <c r="B34" s="21"/>
      <c r="C34" s="390" t="s">
        <v>3355</v>
      </c>
      <c r="D34" s="246">
        <v>1</v>
      </c>
      <c r="E34" s="246">
        <v>0</v>
      </c>
      <c r="F34" s="246">
        <v>0</v>
      </c>
      <c r="G34" s="246">
        <v>0</v>
      </c>
      <c r="H34" s="246">
        <v>0</v>
      </c>
      <c r="I34" s="250">
        <v>0</v>
      </c>
      <c r="J34" s="264">
        <v>600</v>
      </c>
      <c r="K34" s="264">
        <v>0</v>
      </c>
    </row>
    <row r="35" spans="2:11">
      <c r="B35" s="21"/>
      <c r="C35" s="390" t="s">
        <v>25</v>
      </c>
      <c r="D35" s="246">
        <v>12</v>
      </c>
      <c r="E35" s="254">
        <v>16</v>
      </c>
      <c r="F35" s="254">
        <v>2</v>
      </c>
      <c r="G35" s="254">
        <v>0</v>
      </c>
      <c r="H35" s="254">
        <v>0</v>
      </c>
      <c r="I35" s="254">
        <v>0</v>
      </c>
      <c r="J35" s="73"/>
      <c r="K35" s="60">
        <v>0</v>
      </c>
    </row>
    <row r="36" spans="2:11">
      <c r="B36" s="21"/>
      <c r="C36" s="390" t="s">
        <v>24</v>
      </c>
      <c r="D36" s="275">
        <v>12</v>
      </c>
      <c r="E36" s="275">
        <v>27</v>
      </c>
      <c r="F36" s="275">
        <v>8</v>
      </c>
      <c r="G36" s="275">
        <v>13</v>
      </c>
      <c r="H36" s="275">
        <v>12</v>
      </c>
      <c r="I36" s="275">
        <v>15</v>
      </c>
      <c r="J36" s="392">
        <v>102200</v>
      </c>
      <c r="K36" s="392">
        <v>97500</v>
      </c>
    </row>
    <row r="37" spans="2:11">
      <c r="B37" s="21"/>
      <c r="C37" s="390" t="s">
        <v>21</v>
      </c>
      <c r="D37" s="246">
        <v>20</v>
      </c>
      <c r="E37" s="246">
        <v>11</v>
      </c>
      <c r="F37" s="246">
        <v>8</v>
      </c>
      <c r="G37" s="246">
        <v>1</v>
      </c>
      <c r="H37" s="246">
        <v>9</v>
      </c>
      <c r="I37" s="246">
        <v>7</v>
      </c>
      <c r="J37" s="264">
        <v>0</v>
      </c>
      <c r="K37" s="264">
        <v>4400</v>
      </c>
    </row>
    <row r="38" spans="2:11">
      <c r="B38" s="21"/>
      <c r="C38" s="390" t="s">
        <v>22</v>
      </c>
      <c r="D38" s="60">
        <v>23</v>
      </c>
      <c r="E38" s="60">
        <v>9</v>
      </c>
      <c r="F38" s="60">
        <v>12</v>
      </c>
      <c r="G38" s="246">
        <v>0</v>
      </c>
      <c r="H38" s="246">
        <v>9</v>
      </c>
      <c r="I38" s="250">
        <v>3</v>
      </c>
      <c r="J38" s="264" t="s">
        <v>3373</v>
      </c>
      <c r="K38" s="264" t="s">
        <v>3374</v>
      </c>
    </row>
    <row r="39" spans="2:11">
      <c r="B39" s="21"/>
      <c r="C39" s="390" t="s">
        <v>3340</v>
      </c>
      <c r="D39" s="246">
        <v>15</v>
      </c>
      <c r="E39" s="246">
        <v>8</v>
      </c>
      <c r="F39" s="246">
        <v>10</v>
      </c>
      <c r="G39" s="246">
        <v>3</v>
      </c>
      <c r="H39" s="250">
        <v>14</v>
      </c>
      <c r="I39" s="246">
        <v>12</v>
      </c>
      <c r="J39" s="264">
        <v>76600</v>
      </c>
      <c r="K39" s="264">
        <v>47134</v>
      </c>
    </row>
    <row r="40" spans="2:11">
      <c r="B40" s="21"/>
      <c r="C40" s="390" t="s">
        <v>3359</v>
      </c>
      <c r="D40" s="246">
        <v>8</v>
      </c>
      <c r="E40" s="254">
        <v>13</v>
      </c>
      <c r="F40" s="254">
        <v>4</v>
      </c>
      <c r="G40" s="246">
        <v>1</v>
      </c>
      <c r="H40" s="246">
        <v>9</v>
      </c>
      <c r="I40" s="246">
        <v>4</v>
      </c>
      <c r="J40" s="391">
        <v>0</v>
      </c>
      <c r="K40" s="391">
        <v>0</v>
      </c>
    </row>
    <row r="41" spans="2:11">
      <c r="B41" s="21"/>
      <c r="C41" s="390" t="s">
        <v>3360</v>
      </c>
      <c r="D41" s="246">
        <v>8</v>
      </c>
      <c r="E41" s="246">
        <v>8</v>
      </c>
      <c r="F41" s="246">
        <v>5</v>
      </c>
      <c r="G41" s="246">
        <v>2</v>
      </c>
      <c r="H41" s="246">
        <v>9</v>
      </c>
      <c r="I41" s="246">
        <v>3</v>
      </c>
      <c r="J41" s="264" t="s">
        <v>3375</v>
      </c>
      <c r="K41" s="391">
        <v>0</v>
      </c>
    </row>
    <row r="42" spans="2:11">
      <c r="B42" s="21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14">
    <mergeCell ref="J25:J28"/>
    <mergeCell ref="K25:K28"/>
    <mergeCell ref="B2:E3"/>
    <mergeCell ref="B4:B7"/>
    <mergeCell ref="C4:C7"/>
    <mergeCell ref="D4:D7"/>
    <mergeCell ref="E4:E7"/>
    <mergeCell ref="C25:C28"/>
    <mergeCell ref="D25:D28"/>
    <mergeCell ref="E25:E28"/>
    <mergeCell ref="F25:F28"/>
    <mergeCell ref="G25:G28"/>
    <mergeCell ref="H25:H28"/>
    <mergeCell ref="I25:I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F20"/>
  <sheetViews>
    <sheetView workbookViewId="0"/>
  </sheetViews>
  <sheetFormatPr defaultColWidth="12.6640625" defaultRowHeight="15" customHeight="1"/>
  <cols>
    <col min="5" max="5" width="19.44140625" customWidth="1"/>
  </cols>
  <sheetData>
    <row r="2" spans="2:6">
      <c r="B2" s="401" t="s">
        <v>3348</v>
      </c>
      <c r="C2" s="393"/>
      <c r="D2" s="393"/>
      <c r="E2" s="393"/>
    </row>
    <row r="3" spans="2:6" ht="15" customHeight="1">
      <c r="B3" s="393"/>
      <c r="C3" s="393"/>
      <c r="D3" s="393"/>
      <c r="E3" s="393"/>
    </row>
    <row r="4" spans="2:6">
      <c r="B4" s="402" t="s">
        <v>3349</v>
      </c>
      <c r="C4" s="405" t="s">
        <v>3350</v>
      </c>
      <c r="D4" s="405" t="s">
        <v>3351</v>
      </c>
      <c r="E4" s="406" t="s">
        <v>31</v>
      </c>
    </row>
    <row r="5" spans="2:6">
      <c r="B5" s="403"/>
      <c r="C5" s="403"/>
      <c r="D5" s="403"/>
      <c r="E5" s="403"/>
    </row>
    <row r="6" spans="2:6">
      <c r="B6" s="403"/>
      <c r="C6" s="403"/>
      <c r="D6" s="403"/>
      <c r="E6" s="403"/>
    </row>
    <row r="7" spans="2:6">
      <c r="B7" s="404"/>
      <c r="C7" s="404"/>
      <c r="D7" s="404"/>
      <c r="E7" s="404"/>
    </row>
    <row r="8" spans="2:6">
      <c r="B8" s="389" t="s">
        <v>15</v>
      </c>
      <c r="C8" s="23">
        <v>4</v>
      </c>
      <c r="D8" s="23">
        <f t="shared" ref="D8:D16" si="0">(C8*20)</f>
        <v>80</v>
      </c>
      <c r="E8" s="27" t="s">
        <v>3352</v>
      </c>
    </row>
    <row r="9" spans="2:6">
      <c r="B9" s="389" t="s">
        <v>18</v>
      </c>
      <c r="C9" s="23">
        <v>2</v>
      </c>
      <c r="D9" s="23">
        <f t="shared" si="0"/>
        <v>40</v>
      </c>
      <c r="E9" s="27"/>
    </row>
    <row r="10" spans="2:6">
      <c r="B10" s="389" t="s">
        <v>16</v>
      </c>
      <c r="C10" s="23">
        <v>3</v>
      </c>
      <c r="D10" s="23">
        <f t="shared" si="0"/>
        <v>60</v>
      </c>
      <c r="E10" s="27" t="s">
        <v>3353</v>
      </c>
    </row>
    <row r="11" spans="2:6">
      <c r="B11" s="389" t="s">
        <v>17</v>
      </c>
      <c r="C11" s="23">
        <v>3</v>
      </c>
      <c r="D11" s="23">
        <f t="shared" si="0"/>
        <v>60</v>
      </c>
      <c r="E11" s="27" t="s">
        <v>3354</v>
      </c>
    </row>
    <row r="12" spans="2:6">
      <c r="B12" s="389" t="s">
        <v>162</v>
      </c>
      <c r="C12" s="23">
        <v>0.5</v>
      </c>
      <c r="D12" s="23">
        <f t="shared" si="0"/>
        <v>10</v>
      </c>
      <c r="E12" s="27"/>
    </row>
    <row r="13" spans="2:6">
      <c r="B13" s="389" t="s">
        <v>3355</v>
      </c>
      <c r="C13" s="23">
        <v>0.5</v>
      </c>
      <c r="D13" s="23">
        <f t="shared" si="0"/>
        <v>10</v>
      </c>
      <c r="E13" s="27"/>
    </row>
    <row r="14" spans="2:6">
      <c r="B14" s="389" t="s">
        <v>25</v>
      </c>
      <c r="C14" s="23">
        <v>2</v>
      </c>
      <c r="D14" s="23">
        <f t="shared" si="0"/>
        <v>40</v>
      </c>
      <c r="E14" s="27"/>
    </row>
    <row r="15" spans="2:6">
      <c r="B15" s="389" t="s">
        <v>24</v>
      </c>
      <c r="C15" s="23">
        <v>2</v>
      </c>
      <c r="D15" s="23">
        <f t="shared" si="0"/>
        <v>40</v>
      </c>
      <c r="E15" s="27" t="s">
        <v>3356</v>
      </c>
    </row>
    <row r="16" spans="2:6">
      <c r="B16" s="389" t="s">
        <v>21</v>
      </c>
      <c r="C16" s="23">
        <v>1</v>
      </c>
      <c r="D16" s="23">
        <f t="shared" si="0"/>
        <v>20</v>
      </c>
      <c r="E16" s="27"/>
      <c r="F16" s="57" t="s">
        <v>3357</v>
      </c>
    </row>
    <row r="17" spans="2:5">
      <c r="B17" s="389" t="s">
        <v>22</v>
      </c>
      <c r="C17" s="23">
        <v>1</v>
      </c>
      <c r="D17" s="23">
        <v>20</v>
      </c>
      <c r="E17" s="27"/>
    </row>
    <row r="18" spans="2:5">
      <c r="B18" s="389" t="s">
        <v>3340</v>
      </c>
      <c r="C18" s="62" t="s">
        <v>3358</v>
      </c>
      <c r="D18" s="23" t="s">
        <v>47</v>
      </c>
      <c r="E18" s="27"/>
    </row>
    <row r="19" spans="2:5">
      <c r="B19" s="389" t="s">
        <v>3359</v>
      </c>
      <c r="C19" s="62" t="s">
        <v>3358</v>
      </c>
      <c r="D19" s="23" t="s">
        <v>47</v>
      </c>
      <c r="E19" s="27"/>
    </row>
    <row r="20" spans="2:5">
      <c r="B20" s="389" t="s">
        <v>3360</v>
      </c>
      <c r="C20" s="62" t="s">
        <v>3358</v>
      </c>
      <c r="D20" s="23" t="s">
        <v>47</v>
      </c>
      <c r="E20" s="27"/>
    </row>
  </sheetData>
  <mergeCells count="5">
    <mergeCell ref="B2:E3"/>
    <mergeCell ref="B4:B7"/>
    <mergeCell ref="C4:C7"/>
    <mergeCell ref="D4:D7"/>
    <mergeCell ref="E4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targ vs ach</vt:lpstr>
      <vt:lpstr>Consolidated Sheet </vt:lpstr>
      <vt:lpstr>Journal_Paper_Conference</vt:lpstr>
      <vt:lpstr>Patent</vt:lpstr>
      <vt:lpstr>Consultancy</vt:lpstr>
      <vt:lpstr>Proposal</vt:lpstr>
      <vt:lpstr>Entrepreneurship</vt:lpstr>
      <vt:lpstr>Incentives</vt:lpstr>
      <vt:lpstr>Granted Patent</vt:lpstr>
      <vt:lpstr>Students 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Muddasir sanadi</cp:lastModifiedBy>
  <dcterms:modified xsi:type="dcterms:W3CDTF">2026-04-28T19:28:31Z</dcterms:modified>
</cp:coreProperties>
</file>