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011c6c732bb4f6b/Documents/PROJECTS/ResearchSphere/sheets/"/>
    </mc:Choice>
  </mc:AlternateContent>
  <xr:revisionPtr revIDLastSave="660" documentId="11_1620DE0AE005C08CDBD0F82D6A76D1393E27D02C" xr6:coauthVersionLast="47" xr6:coauthVersionMax="47" xr10:uidLastSave="{AB2C3C15-F6CF-49FA-B35D-E023CBFCB6C0}"/>
  <bookViews>
    <workbookView xWindow="-108" yWindow="-108" windowWidth="23256" windowHeight="12456" firstSheet="1" activeTab="4" xr2:uid="{00000000-000D-0000-FFFF-FFFF00000000}"/>
  </bookViews>
  <sheets>
    <sheet name="targ vs ach" sheetId="11" r:id="rId1"/>
    <sheet name="Consolidated Sheet " sheetId="2" r:id="rId2"/>
    <sheet name="Journal_Paper_Conference" sheetId="3" r:id="rId3"/>
    <sheet name="Patents" sheetId="12" r:id="rId4"/>
    <sheet name="Granted Patent" sheetId="10" r:id="rId5"/>
    <sheet name="Proposals" sheetId="13" r:id="rId6"/>
    <sheet name="Consultancy" sheetId="14" r:id="rId7"/>
    <sheet name="Entrepreneurships" sheetId="15" r:id="rId8"/>
    <sheet name="Incentives" sheetId="8" r:id="rId9"/>
    <sheet name="Students Publications" sheetId="9" r:id="rId10"/>
  </sheets>
  <definedNames>
    <definedName name="_xlnm._FilterDatabase" localSheetId="2" hidden="1">Journal_Paper_Conference!$B$1:$K$1</definedName>
    <definedName name="Z_722831EC_C62E_4917_B486_B5A8E8CA3DA9_.wvu.FilterData" localSheetId="2" hidden="1">Journal_Paper_Conference!$A$1:$J$258</definedName>
    <definedName name="Z_E2779A39_C475_40AD_A216_2FF2A28806FF_.wvu.FilterData" localSheetId="2" hidden="1">Journal_Paper_Conference!$A$1:$J$258</definedName>
  </definedNames>
  <calcPr calcId="191029"/>
  <customWorkbookViews>
    <customWorkbookView name="Filter 2" guid="{E2779A39-C475-40AD-A216-2FF2A28806FF}" maximized="1" windowWidth="0" windowHeight="0" activeSheetId="0"/>
    <customWorkbookView name="Filter 1" guid="{722831EC-C62E-4917-B486-B5A8E8CA3DA9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4" i="10" l="1"/>
  <c r="B12" i="2"/>
  <c r="G47" i="15"/>
  <c r="H77" i="14"/>
  <c r="H63" i="11"/>
  <c r="G63" i="11"/>
  <c r="F63" i="11"/>
  <c r="E63" i="11"/>
  <c r="D63" i="11"/>
  <c r="C63" i="11"/>
  <c r="B63" i="11"/>
  <c r="H62" i="11"/>
  <c r="G62" i="11"/>
  <c r="F62" i="11"/>
  <c r="E62" i="11"/>
  <c r="D62" i="11"/>
  <c r="C62" i="11"/>
  <c r="B62" i="11"/>
  <c r="H61" i="11"/>
  <c r="G61" i="11"/>
  <c r="F61" i="11"/>
  <c r="E61" i="11"/>
  <c r="D61" i="11"/>
  <c r="C61" i="11"/>
  <c r="B61" i="11"/>
  <c r="H60" i="11"/>
  <c r="G60" i="11"/>
  <c r="F60" i="11"/>
  <c r="E60" i="11"/>
  <c r="D60" i="11"/>
  <c r="C60" i="11"/>
  <c r="B60" i="11"/>
  <c r="H59" i="11"/>
  <c r="G59" i="11"/>
  <c r="F59" i="11"/>
  <c r="E59" i="11"/>
  <c r="D59" i="11"/>
  <c r="C59" i="11"/>
  <c r="B59" i="11"/>
  <c r="H58" i="11"/>
  <c r="G58" i="11"/>
  <c r="F58" i="11"/>
  <c r="E58" i="11"/>
  <c r="D58" i="11"/>
  <c r="C58" i="11"/>
  <c r="B58" i="11"/>
  <c r="H57" i="11"/>
  <c r="G57" i="11"/>
  <c r="F57" i="11"/>
  <c r="E57" i="11"/>
  <c r="D57" i="11"/>
  <c r="C57" i="11"/>
  <c r="B57" i="11"/>
  <c r="H56" i="11"/>
  <c r="G56" i="11"/>
  <c r="F56" i="11"/>
  <c r="E56" i="11"/>
  <c r="D56" i="11"/>
  <c r="C56" i="11"/>
  <c r="B56" i="11"/>
  <c r="H55" i="11"/>
  <c r="G55" i="11"/>
  <c r="F55" i="11"/>
  <c r="E55" i="11"/>
  <c r="D55" i="11"/>
  <c r="C55" i="11"/>
  <c r="B55" i="11"/>
  <c r="H54" i="11"/>
  <c r="G54" i="11"/>
  <c r="F54" i="11"/>
  <c r="E54" i="11"/>
  <c r="D54" i="11"/>
  <c r="C54" i="11"/>
  <c r="B54" i="11"/>
  <c r="H53" i="11"/>
  <c r="G53" i="11"/>
  <c r="F53" i="11"/>
  <c r="E53" i="11"/>
  <c r="D53" i="11"/>
  <c r="C53" i="11"/>
  <c r="B53" i="11"/>
  <c r="H52" i="11"/>
  <c r="G52" i="11"/>
  <c r="F52" i="11"/>
  <c r="E52" i="11"/>
  <c r="D52" i="11"/>
  <c r="C52" i="11"/>
  <c r="B52" i="11"/>
  <c r="H47" i="11"/>
  <c r="G47" i="11"/>
  <c r="F47" i="11"/>
  <c r="E47" i="11"/>
  <c r="D47" i="11"/>
  <c r="C47" i="11"/>
  <c r="B47" i="11"/>
  <c r="H46" i="11"/>
  <c r="G46" i="11"/>
  <c r="F46" i="11"/>
  <c r="E46" i="11"/>
  <c r="D46" i="11"/>
  <c r="C46" i="11"/>
  <c r="B46" i="11"/>
  <c r="H45" i="11"/>
  <c r="G45" i="11"/>
  <c r="F45" i="11"/>
  <c r="E45" i="11"/>
  <c r="D45" i="11"/>
  <c r="C45" i="11"/>
  <c r="B45" i="11"/>
  <c r="H44" i="11"/>
  <c r="G44" i="11"/>
  <c r="F44" i="11"/>
  <c r="E44" i="11"/>
  <c r="D44" i="11"/>
  <c r="C44" i="11"/>
  <c r="B44" i="11"/>
  <c r="H43" i="11"/>
  <c r="G43" i="11"/>
  <c r="F43" i="11"/>
  <c r="E43" i="11"/>
  <c r="D43" i="11"/>
  <c r="C43" i="11"/>
  <c r="B43" i="11"/>
  <c r="H42" i="11"/>
  <c r="G42" i="11"/>
  <c r="F42" i="11"/>
  <c r="E42" i="11"/>
  <c r="D42" i="11"/>
  <c r="C42" i="11"/>
  <c r="B42" i="11"/>
  <c r="H41" i="11"/>
  <c r="G41" i="11"/>
  <c r="F41" i="11"/>
  <c r="E41" i="11"/>
  <c r="D41" i="11"/>
  <c r="C41" i="11"/>
  <c r="B41" i="11"/>
  <c r="H40" i="11"/>
  <c r="G40" i="11"/>
  <c r="F40" i="11"/>
  <c r="E40" i="11"/>
  <c r="D40" i="11"/>
  <c r="C40" i="11"/>
  <c r="B40" i="11"/>
  <c r="H39" i="11"/>
  <c r="G39" i="11"/>
  <c r="F39" i="11"/>
  <c r="D39" i="11"/>
  <c r="C39" i="11"/>
  <c r="B39" i="11"/>
  <c r="H38" i="11"/>
  <c r="G38" i="11"/>
  <c r="F38" i="11"/>
  <c r="E38" i="11"/>
  <c r="D38" i="11"/>
  <c r="C38" i="11"/>
  <c r="B38" i="11"/>
  <c r="H37" i="11"/>
  <c r="G37" i="11"/>
  <c r="F37" i="11"/>
  <c r="E37" i="11"/>
  <c r="D37" i="11"/>
  <c r="C37" i="11"/>
  <c r="B37" i="11"/>
  <c r="H36" i="11"/>
  <c r="G36" i="11"/>
  <c r="F36" i="11"/>
  <c r="E36" i="11"/>
  <c r="D36" i="11"/>
  <c r="C36" i="11"/>
  <c r="B36" i="11"/>
  <c r="H32" i="11"/>
  <c r="G32" i="11"/>
  <c r="F32" i="11"/>
  <c r="E32" i="11"/>
  <c r="D32" i="11"/>
  <c r="C32" i="11"/>
  <c r="B32" i="11"/>
  <c r="H16" i="11"/>
  <c r="G16" i="11"/>
  <c r="F16" i="11"/>
  <c r="E16" i="11"/>
  <c r="D16" i="11"/>
  <c r="C16" i="11"/>
  <c r="B16" i="11"/>
  <c r="C11" i="9"/>
  <c r="C10" i="9"/>
  <c r="C9" i="9"/>
  <c r="C8" i="9"/>
  <c r="C7" i="9"/>
  <c r="C6" i="9"/>
  <c r="C5" i="9"/>
  <c r="C4" i="9"/>
  <c r="C3" i="9"/>
  <c r="F289" i="8"/>
  <c r="B64" i="11" l="1"/>
  <c r="C48" i="11"/>
  <c r="F64" i="11"/>
  <c r="E64" i="11"/>
  <c r="C64" i="11"/>
  <c r="D64" i="11"/>
  <c r="G64" i="11"/>
  <c r="H64" i="11"/>
  <c r="G48" i="11"/>
  <c r="D48" i="11"/>
  <c r="F48" i="11"/>
  <c r="H48" i="11"/>
  <c r="B48" i="11"/>
  <c r="E48" i="11"/>
</calcChain>
</file>

<file path=xl/sharedStrings.xml><?xml version="1.0" encoding="utf-8"?>
<sst xmlns="http://schemas.openxmlformats.org/spreadsheetml/2006/main" count="8257" uniqueCount="3054">
  <si>
    <t>RCPIE Verification Status for AY 24-25</t>
  </si>
  <si>
    <t>Total Target for AY 2024-25</t>
  </si>
  <si>
    <t xml:space="preserve">Target Achieved </t>
  </si>
  <si>
    <t xml:space="preserve"> Achieved in %</t>
  </si>
  <si>
    <t>Pending Details</t>
  </si>
  <si>
    <t>Dept.</t>
  </si>
  <si>
    <t>R</t>
  </si>
  <si>
    <t>C</t>
  </si>
  <si>
    <t>P</t>
  </si>
  <si>
    <t>I</t>
  </si>
  <si>
    <t>E</t>
  </si>
  <si>
    <t>M Paper</t>
  </si>
  <si>
    <t>M Patent</t>
  </si>
  <si>
    <t>M
 Paper</t>
  </si>
  <si>
    <t>ECE</t>
  </si>
  <si>
    <t>CSE</t>
  </si>
  <si>
    <t>ISE</t>
  </si>
  <si>
    <t>EEE</t>
  </si>
  <si>
    <t>CHE</t>
  </si>
  <si>
    <t>PHY</t>
  </si>
  <si>
    <t>AIML</t>
  </si>
  <si>
    <t>AIDS</t>
  </si>
  <si>
    <t>MAT</t>
  </si>
  <si>
    <t>MCA</t>
  </si>
  <si>
    <t>MBA</t>
  </si>
  <si>
    <t>ME</t>
  </si>
  <si>
    <t>Total</t>
  </si>
  <si>
    <t>Total Target</t>
  </si>
  <si>
    <r>
      <rPr>
        <sz val="10"/>
        <rFont val="Calibri"/>
      </rPr>
      <t xml:space="preserve">Calculation Sheet: </t>
    </r>
    <r>
      <rPr>
        <u/>
        <sz val="10"/>
        <color rgb="FF1155CC"/>
        <rFont val="Calibri"/>
      </rPr>
      <t>https://docs.google.com/spreadsheets/d/1c6ExYgEK3c3VThNvtkQd2_7YY7vXw0_w/edit?usp=sharing&amp;ouid=116627104976954055156&amp;rtpof=true&amp;sd=true</t>
    </r>
    <r>
      <rPr>
        <sz val="10"/>
        <rFont val="Calibri"/>
      </rPr>
      <t xml:space="preserve"> </t>
    </r>
  </si>
  <si>
    <t>Achieved</t>
  </si>
  <si>
    <t>162 Papers</t>
  </si>
  <si>
    <t>15.74L</t>
  </si>
  <si>
    <t>133 sub.</t>
  </si>
  <si>
    <t>37 Patents</t>
  </si>
  <si>
    <t>8.48L</t>
  </si>
  <si>
    <t>122 Papers</t>
  </si>
  <si>
    <t>Pending Status</t>
  </si>
  <si>
    <t>28 papers</t>
  </si>
  <si>
    <t>10.75L</t>
  </si>
  <si>
    <t>65 P submission/65L</t>
  </si>
  <si>
    <t>-</t>
  </si>
  <si>
    <t>7.59L</t>
  </si>
  <si>
    <t>60 papers</t>
  </si>
  <si>
    <t>31 patents</t>
  </si>
  <si>
    <t>Total Pending papers = 28+60+39(Non Published)=127</t>
  </si>
  <si>
    <t>Total Patents Pending = 31</t>
  </si>
  <si>
    <t>RCPIE Consolidated Details for AY 24-25</t>
  </si>
  <si>
    <t xml:space="preserve"> No Papers in Journal </t>
  </si>
  <si>
    <t>Proposals</t>
  </si>
  <si>
    <t xml:space="preserve"> No Papers in Conference</t>
  </si>
  <si>
    <t>Agency</t>
  </si>
  <si>
    <t>Funds</t>
  </si>
  <si>
    <t>Total Papers</t>
  </si>
  <si>
    <t>MSME</t>
  </si>
  <si>
    <t>60 L</t>
  </si>
  <si>
    <t>Q1</t>
  </si>
  <si>
    <t>Patents Filed/Published</t>
  </si>
  <si>
    <t>Kapila</t>
  </si>
  <si>
    <t>Q2</t>
  </si>
  <si>
    <t>Patents Granted</t>
  </si>
  <si>
    <t>Amount received io College</t>
  </si>
  <si>
    <t>11.5L</t>
  </si>
  <si>
    <t>Total Patents</t>
  </si>
  <si>
    <t>71.5 L</t>
  </si>
  <si>
    <t>Proposal Amount Sanctioned</t>
  </si>
  <si>
    <t>Consultancy Amount Received</t>
  </si>
  <si>
    <t>16.33 L</t>
  </si>
  <si>
    <t>E load amount Received</t>
  </si>
  <si>
    <t>8.74 L</t>
  </si>
  <si>
    <t>Faculty Involved</t>
  </si>
  <si>
    <t>Students Involved</t>
  </si>
  <si>
    <t>Department</t>
  </si>
  <si>
    <t>Q1/Q2 /Q3/Q4/SCI</t>
  </si>
  <si>
    <t>Title of the paper</t>
  </si>
  <si>
    <t>ISSN/ISBN Number</t>
  </si>
  <si>
    <t>Published proof link (DOI)</t>
  </si>
  <si>
    <t>3rd 2024 IEEE World Conference on Applied Intelligence and Computing (AIC  2024)</t>
  </si>
  <si>
    <t>Comprehensive Assessment of Deep Learning Models for Multi-Disease Detection in Brain MRI Images</t>
  </si>
  <si>
    <t>Presented in July 2024</t>
  </si>
  <si>
    <t>Accepted and Presented in July 2024</t>
  </si>
  <si>
    <t>979-8-3503-7809-2</t>
  </si>
  <si>
    <t>Ymer</t>
  </si>
  <si>
    <t>Q4</t>
  </si>
  <si>
    <t>NA</t>
  </si>
  <si>
    <t>Accepted in August 2024</t>
  </si>
  <si>
    <t xml:space="preserve"> 979-8-3503-6790-4</t>
  </si>
  <si>
    <t>Nil</t>
  </si>
  <si>
    <t>Scopus</t>
  </si>
  <si>
    <t>Automatic Detection of Vehicle Registration Number in Helmet Rule Violation by  Motorcyclists</t>
  </si>
  <si>
    <t>Presented on 14th Sep 2024</t>
  </si>
  <si>
    <t>Emotion Recognition in Indian Classical Dance Performances: An Object Detection based Approach</t>
  </si>
  <si>
    <t>Accepted in Sep 2024</t>
  </si>
  <si>
    <t>Machine Intellience</t>
  </si>
  <si>
    <t>Discrete Labeling in Graphs and Deomposition of graphs and Graph Based optimisation  framework for water resource allocation</t>
  </si>
  <si>
    <t>2731-538X</t>
  </si>
  <si>
    <t>https://machineintelligenceresearchs.com/index.php/MIR/article/view/134</t>
  </si>
  <si>
    <t>Balaji C</t>
  </si>
  <si>
    <t>Yes</t>
  </si>
  <si>
    <t>Impact of Modulated Magnetic Field on the Advent of Ferroconvection 
in a Permeable Medium</t>
  </si>
  <si>
    <t>Published in July 2024</t>
  </si>
  <si>
    <t>2146-1147</t>
  </si>
  <si>
    <t>Maxwell-Cattaneo law of heat conduction through porous ferroconvection with magnetic field dependent viscosity</t>
  </si>
  <si>
    <t>Published in October 2024</t>
  </si>
  <si>
    <t>Bulletin of Irkutsk State University, Series Mathematics</t>
  </si>
  <si>
    <t>Published in March 2025</t>
  </si>
  <si>
    <t xml:space="preserve">2541-8785 </t>
  </si>
  <si>
    <t>https://doi.org/10.26516/1997-7670.2025.51.34</t>
  </si>
  <si>
    <t xml:space="preserve">Dr. Venkatesh M &amp; Dr. Parthasarathy P </t>
  </si>
  <si>
    <t>Fabrication and characterization of modulation-doped β-(AlxGa1− x) 2O3/Ga2O3 tri-metal FET utilizing ultra-high vacuum deposition based on plasma-assisted molecular beam epitaxy</t>
  </si>
  <si>
    <t>Published in September 2024</t>
  </si>
  <si>
    <t>1573-482X</t>
  </si>
  <si>
    <t>https://link.springer.com/article/10.1007/s10854-024-13430-6#citeas</t>
  </si>
  <si>
    <t>Accepted in October 2024</t>
  </si>
  <si>
    <t>1543-186X</t>
  </si>
  <si>
    <t>ICETEMS 2024</t>
  </si>
  <si>
    <t>Electrocatalytic Performance of MWCNT on GCE for Highly Selective dopamine and Uric Acid Sensing</t>
  </si>
  <si>
    <t>Dr. Abinash Panda</t>
  </si>
  <si>
    <t>Heliyon</t>
  </si>
  <si>
    <t>2405-8440</t>
  </si>
  <si>
    <t>https://www.cell.com/action/showPdf?pii=S2405-8440%2824%2915153-5</t>
  </si>
  <si>
    <t>Dr. Geetanjali</t>
  </si>
  <si>
    <t>I-SMAC 2024</t>
  </si>
  <si>
    <t>Efficient AQI Prediction: A Comparative Study of Artificial Neural Networks, LSTM, Random Forest, and Gradient Boosting Techniques</t>
  </si>
  <si>
    <t>publishedin OCT-2024</t>
  </si>
  <si>
    <t xml:space="preserve"> 979-8-3503-7642-5</t>
  </si>
  <si>
    <t>https://ieeexplore.ieee.org/document/10714872</t>
  </si>
  <si>
    <t>MECH</t>
  </si>
  <si>
    <t>Energy Sources, Part A: Recovery, Utilization, and Environmental Effects</t>
  </si>
  <si>
    <t>Published in  09- Aug- 2024</t>
  </si>
  <si>
    <r>
      <rPr>
        <sz val="12"/>
        <color rgb="FF474747"/>
        <rFont val="Times New Roman"/>
      </rPr>
      <t xml:space="preserve">Volume 46, 2024 - </t>
    </r>
    <r>
      <rPr>
        <sz val="12"/>
        <color rgb="FF10147E"/>
        <rFont val="Times New Roman"/>
      </rPr>
      <t>Issue 1</t>
    </r>
  </si>
  <si>
    <t>https://www.tandfonline.com/doi/full/10.1080/15567036.2024.2386373</t>
  </si>
  <si>
    <t xml:space="preserve">Dr. RAJENDRA PRASAD REDDY </t>
  </si>
  <si>
    <t>The Minerals, Metals &amp; Materials Society</t>
  </si>
  <si>
    <t>presented in 10th - OCT-2024</t>
  </si>
  <si>
    <t>olume 76, pages 7279–7289, (2024)</t>
  </si>
  <si>
    <t>https://link.springer.com/article/10.1007/s11837-024-06897-5</t>
  </si>
  <si>
    <t>Detection of Cardiovascular Activities of Multiple Patients using MIMO mmWave Radar</t>
  </si>
  <si>
    <t>Spurthy Maria Pais, Sudarshan Zunja, Shrutilipi Bhattacharjee</t>
  </si>
  <si>
    <t>Vyshali Rao K P</t>
  </si>
  <si>
    <t>Design of Automatic Greener Healthy System for Data Center using Deep Learning</t>
  </si>
  <si>
    <t>https://ieeexplore.ieee.org/document/10724153</t>
  </si>
  <si>
    <t>Poornima Manjunath</t>
  </si>
  <si>
    <t>Productivity App for ADHD affected people</t>
  </si>
  <si>
    <t>Published (12 March 2025)</t>
  </si>
  <si>
    <t>2024-May-ISE-007</t>
  </si>
  <si>
    <t>Anaswara Venunadh</t>
  </si>
  <si>
    <t>Generative AI Under Scrutiny: Assessing the Risks and Challenges in Diverse Domains</t>
  </si>
  <si>
    <t>Published</t>
  </si>
  <si>
    <t>R LOAD</t>
  </si>
  <si>
    <t>Dr. Suruchi Sabherwal</t>
  </si>
  <si>
    <t xml:space="preserve">"Black Marketed Collusive Users Primary Dataset from Twitter/X Online Social Media"
</t>
  </si>
  <si>
    <t>Accepted October 10,</t>
  </si>
  <si>
    <t xml:space="preserve">ISSN-18695450,                             </t>
  </si>
  <si>
    <t>https://drive.google.com/file/d/1jIs_UZsyemYVkYOe2J5mhGuFK4hDykKx/view?usp=sharing</t>
  </si>
  <si>
    <t xml:space="preserve">AI&amp;DS </t>
  </si>
  <si>
    <t>ICICEC 2024</t>
  </si>
  <si>
    <t xml:space="preserve">Performance Evolution of Cardiovascular Disease Prediction using Supervised Machine Learning Algorithms </t>
  </si>
  <si>
    <t>Accepted in August 2024 and Presented in October 2024</t>
  </si>
  <si>
    <t>https://drive.google.com/file/d/1iR2_4_60TJVpEH-VTgmZIMNpzBkqOqS9/view?usp=drive_link</t>
  </si>
  <si>
    <t>crystals</t>
  </si>
  <si>
    <t>Hydroxyapatite Reinforced Magnesium Alloy Composites Using the Ultrasonic-Assisted Rheo-Squeeze Casting Technique: Microstructural and Mechanical Performance Evaluation for Bone Fixture Applications</t>
  </si>
  <si>
    <t>Published July 2024</t>
  </si>
  <si>
    <r>
      <rPr>
        <b/>
        <u/>
        <sz val="10"/>
        <color rgb="FF4F5671"/>
        <rFont val="Arial"/>
        <scheme val="minor"/>
      </rPr>
      <t>https://doi.org/10.3390/cryst14070667</t>
    </r>
  </si>
  <si>
    <t>Ranjitha R</t>
  </si>
  <si>
    <t>Bindu N,Kruthika Y,Dr.Sathish K R,Joel B Melwin,Rashmi M,</t>
  </si>
  <si>
    <t>ICSES 2024 Conference</t>
  </si>
  <si>
    <t>Presented</t>
  </si>
  <si>
    <t>Sanitha Michail C</t>
  </si>
  <si>
    <t>979-8-3503-7651-7/24</t>
  </si>
  <si>
    <t>10.1109/ICICEC62498.2024.10808319</t>
  </si>
  <si>
    <t>Dr.K.Chitra</t>
  </si>
  <si>
    <t>A Comprehensive Evaluaion of Solar Powered Electric Vehicle Charging Station Design using Internet of Things</t>
  </si>
  <si>
    <t xml:space="preserve"> 979-8-3503-6459-0/2</t>
  </si>
  <si>
    <t>10.1109/ICECSP61809.2024.10698561</t>
  </si>
  <si>
    <t xml:space="preserve">Dr. Vakula Rani </t>
  </si>
  <si>
    <t>Haifa Ali Saeed Ali (Research Scholar)</t>
  </si>
  <si>
    <t>Q3</t>
  </si>
  <si>
    <t>Machine Learning for Internet of Things (IoT) 
Security: A Comprehensive Survey</t>
  </si>
  <si>
    <t>Dr Rinisha Bagaria</t>
  </si>
  <si>
    <t>CIS 2024</t>
  </si>
  <si>
    <t>A Support Vector Machine-based Classification for Dis-tinct Medical Image Modalities</t>
  </si>
  <si>
    <t>978-981-96-2697-7</t>
  </si>
  <si>
    <t>https://doi.org/10.1007/978-981-96-2697-7_27</t>
  </si>
  <si>
    <t>ICDCC-2024</t>
  </si>
  <si>
    <t>Sagarika Behera</t>
  </si>
  <si>
    <t>NOVY JACOB</t>
  </si>
  <si>
    <t>Obesity Level Classification Using BAT Optimized Random Forest</t>
  </si>
  <si>
    <t>Priyanka S Talekar</t>
  </si>
  <si>
    <t>Masood Ahmad, Malik Shahzad Ahmad, Mohd Faizan, Mohd Warrish Khan, Mohammad Faisal, Raees Ahmad Khan</t>
  </si>
  <si>
    <t>Network Vulnerability Prediction by using the SVM Technique</t>
  </si>
  <si>
    <t>ANSHIKA SHUKLA</t>
  </si>
  <si>
    <t>Dharmveer Singh Rajpoot, Dr Rakesh Prakash, Shahad P, Dr. D. Usha Rani, Sadik Khan</t>
  </si>
  <si>
    <t>A Hybrid Machine Learning Based Data Fusion Strategy for Detection of Structural Damage</t>
  </si>
  <si>
    <t>Navya V K</t>
  </si>
  <si>
    <t>Time optimal control strategies for SIR epidemic models in cattle and neutrosophic fuzzy modeling</t>
  </si>
  <si>
    <t>2692-6148</t>
  </si>
  <si>
    <t>Dr. Susheelamma K H</t>
  </si>
  <si>
    <t>Published in 22 April 2025</t>
  </si>
  <si>
    <t>979-8-3315-3295-6/24/$31.00 ©2024 IEEE</t>
  </si>
  <si>
    <t xml:space="preserve"> 2024-Sep-ISE-007</t>
  </si>
  <si>
    <t>Ms Sugunadevi C</t>
  </si>
  <si>
    <t>Biotic Stress and Severity Classification of Pear Leaves Disease with Ensemble Learning</t>
  </si>
  <si>
    <t>https://doi.org/10.1109/IICCCS61609.2024.10763886</t>
  </si>
  <si>
    <t>Dr. Gomathi T</t>
  </si>
  <si>
    <t>Classification of Land Cover using Machine Learning Models in Landsat Satellite Data</t>
  </si>
  <si>
    <t>979-8-3503-7024-9</t>
  </si>
  <si>
    <t>https://drive.google.com/file/d/1KZSNwTEYeA70s3PBElX3N_LZizo2A_Vt/view?usp=sharing</t>
  </si>
  <si>
    <t>Ms.R.Dhivya</t>
  </si>
  <si>
    <t>Data Mining Techniques to Enhance Customer Segmentation and Targeted Marketing Strategies</t>
  </si>
  <si>
    <t>https://drive.google.com/file/d/1GUrj1zf4patQuZ61pFHO8p2xxBpl800X/view?usp=drive_link</t>
  </si>
  <si>
    <t>M Vijayasanthi</t>
  </si>
  <si>
    <t>Accepted in October,2024</t>
  </si>
  <si>
    <t>M_Paper(2024-July-ISE-003)</t>
  </si>
  <si>
    <t>Deep Learning Algorithms for Real Time Quaity Control in Automated Production</t>
  </si>
  <si>
    <t>2024-July-ISE-004</t>
  </si>
  <si>
    <t>Dr. M. Poorani</t>
  </si>
  <si>
    <t>“Next-Gen Semiconductor Devices and Smart Computing Applications” (ICNGSDSCA-24)</t>
  </si>
  <si>
    <t>Accepted in December 2024</t>
  </si>
  <si>
    <t>2024-Sep-ISE-004</t>
  </si>
  <si>
    <t>Dr. Parthasarathy P &amp; 
Dr. Venkatesh M</t>
  </si>
  <si>
    <t>Physica Scripta</t>
  </si>
  <si>
    <t>1402-4896</t>
  </si>
  <si>
    <t>https://iopscience.iop.org/article/10.1088/1402-4896/ad8c01/meta</t>
  </si>
  <si>
    <t>Materials Science in Semiconductor Processing</t>
  </si>
  <si>
    <t>1873-4081</t>
  </si>
  <si>
    <t>https://www.sciencedirect.com/science/article/pii/S1369800124009673</t>
  </si>
  <si>
    <t>Prof.Anju Das</t>
  </si>
  <si>
    <t>Advancements and Challenges in Green Energy and Computing 2024,AKGEC 2024</t>
  </si>
  <si>
    <t>Preethi A</t>
  </si>
  <si>
    <t>Book Chapter, Advanced Materials in Engineering Applications, CRC Press,Taylor and Francis</t>
  </si>
  <si>
    <t>Role of MoS2 in Zinc Nickel Flow Battery System: Review</t>
  </si>
  <si>
    <t xml:space="preserve">Published </t>
  </si>
  <si>
    <t>https://www.taylorfrancis.com/chapters/edit/10.1201/9781003545941-5/prospective-role-mos2-zinc-nickel-flow-battery-systemml-review-preethi-dawnee-victor-george?context=ubx&amp;refId=b2747446-ee90-4d29-bf39-12f2791d7722</t>
  </si>
  <si>
    <t>Rangeet Mitra</t>
  </si>
  <si>
    <t>NIL</t>
  </si>
  <si>
    <t>IEEE Transactions on Ciruits 
and Systems I: Regular papers</t>
  </si>
  <si>
    <r>
      <rPr>
        <u/>
        <sz val="10"/>
        <color rgb="FF1155CC"/>
        <rFont val="Arial"/>
      </rPr>
      <t>10.1109/TCSI.2024.3505419</t>
    </r>
  </si>
  <si>
    <t>Highly Sensitive Bimetallic Graphene-Based SPR Biosensor for Blood Plasma Detection</t>
  </si>
  <si>
    <t xml:space="preserve">2158-3242
</t>
  </si>
  <si>
    <t>https://ieeexplore.ieee.org/document/10723484</t>
  </si>
  <si>
    <t>Dr. Rangeet Mitra</t>
  </si>
  <si>
    <t>Hyperparameter Free Information Theoretic Learning Based Channel Estimation for mmWave MIMO</t>
  </si>
  <si>
    <t>Dr.Kavitha.D</t>
  </si>
  <si>
    <t>SMARTCOM2025 (SPRINGER)</t>
  </si>
  <si>
    <t>Acceptance received on 5th dec 2024</t>
  </si>
  <si>
    <t>2367-3389</t>
  </si>
  <si>
    <t>https://drive.google.com/drive/folders/1Rod-EI_QStLgieDL7FW60oGle3WvcC91?usp=sharing</t>
  </si>
  <si>
    <t>YES</t>
  </si>
  <si>
    <t>Acceptance received on 10th dec 2024</t>
  </si>
  <si>
    <t>Acceptance received on 11th dec 2024</t>
  </si>
  <si>
    <t>Vijayalakshmi, Rajeshwari</t>
  </si>
  <si>
    <t>Vijayalakshmi</t>
  </si>
  <si>
    <t>IEEE Conference on smart electronic and communicationsystem 2024</t>
  </si>
  <si>
    <t>Eco-friendly smart sensor adjustment using the Deep Reinforcement Learning approach</t>
  </si>
  <si>
    <t>Attar Mahay Sheetal</t>
  </si>
  <si>
    <t>Lynsha Helena Pratheeba HP</t>
  </si>
  <si>
    <t>Smart LPG Monitoring System: Enhanced Safety with Leakage Detection</t>
  </si>
  <si>
    <t>Rajni Tiwari</t>
  </si>
  <si>
    <t>Securing IoT: Emphasizing Requirements 
for Enhanced Device Security</t>
  </si>
  <si>
    <t>Sreedevi N</t>
  </si>
  <si>
    <t>27/7/2024</t>
  </si>
  <si>
    <t>6th IEEE PhdEdits 2024</t>
  </si>
  <si>
    <t>23/11/2024</t>
  </si>
  <si>
    <t>Dr.P.Kavitha</t>
  </si>
  <si>
    <t>Rubini PE (Research Scholar)</t>
  </si>
  <si>
    <t>E2E model from crop suggestion to harvesting time prediction in sugarcane plant using deep learning techniques</t>
  </si>
  <si>
    <t>Submitted in Jan.2024</t>
  </si>
  <si>
    <t>K KOMALA DEVI</t>
  </si>
  <si>
    <t>Sourav</t>
  </si>
  <si>
    <t>ICAECT</t>
  </si>
  <si>
    <t>Optimized method for prediction and recommendation of crops using Fusion Ensemle Learning Crop Recommendation Model</t>
  </si>
  <si>
    <t>Published_paper.pdf</t>
  </si>
  <si>
    <t>Dr. Saba Tahseen</t>
  </si>
  <si>
    <t>2367-3370</t>
  </si>
  <si>
    <t xml:space="preserve"> R (2024-Sep-ISE-005)</t>
  </si>
  <si>
    <t>Dr Senthil Velan S</t>
  </si>
  <si>
    <t>Deep Learning based User Authentication with Hybrid Encryption for Secured Blockchain-aided Data Storage and Optimal Task Offloading in Mobile Edge Computing</t>
  </si>
  <si>
    <t>Published Dec 2024</t>
  </si>
  <si>
    <t>10220038, 15728196</t>
  </si>
  <si>
    <t>https://doi.org/10.1007/s11276-024-03886-z</t>
  </si>
  <si>
    <t>Jayashree M</t>
  </si>
  <si>
    <t>M_Paper</t>
  </si>
  <si>
    <t>Condensed Matter Physics</t>
  </si>
  <si>
    <t>Q4
(Scopus)</t>
  </si>
  <si>
    <t>Effect of time-dependent sinusoidal electric field on the onset of electroconvection in a viscoelastic fluid layer</t>
  </si>
  <si>
    <t>Published 
Dec 2024</t>
  </si>
  <si>
    <t>1607-324X</t>
  </si>
  <si>
    <t>https://doi.org/10.5488/cmp.27.43702</t>
  </si>
  <si>
    <t>INCIP 2025</t>
  </si>
  <si>
    <t>Efficient and robust Deep Learning for real time plant disease detection using CNN</t>
  </si>
  <si>
    <t>published -9/06/2025</t>
  </si>
  <si>
    <t>ISBN:979-8-3315-2815-7</t>
  </si>
  <si>
    <r>
      <rPr>
        <sz val="10"/>
        <color theme="1"/>
        <rFont val="Arial"/>
      </rPr>
      <t xml:space="preserve"> </t>
    </r>
    <r>
      <rPr>
        <u/>
        <sz val="10"/>
        <color rgb="FF1155CC"/>
        <rFont val="Arial"/>
      </rPr>
      <t>https://doi.org/10.1109/INCIP64058.2025.11020087</t>
    </r>
  </si>
  <si>
    <t>Krishna Sowjanya K</t>
  </si>
  <si>
    <t>IEEE Silchar Subsection Conference</t>
  </si>
  <si>
    <t>A Time-based Secured Framework for Key-Exchange Between Trusted Parties: Quantum-Key Distribution Protocol</t>
  </si>
  <si>
    <t>Preethi Sheba Hepsiba</t>
  </si>
  <si>
    <t>Deep Reinforcement Learning (DRL) for resource allocation in
Cloud: Review and Prospects</t>
  </si>
  <si>
    <t>Published in feb 2025</t>
  </si>
  <si>
    <t>https://ieeexplore.ieee.org/document/10895370</t>
  </si>
  <si>
    <t>Next Generation Mechanisms for Data Encryption</t>
  </si>
  <si>
    <t>Quantum cryptography: An in-depth exploration of principles and techniques</t>
  </si>
  <si>
    <t>Published Jan 2025</t>
  </si>
  <si>
    <t>2024-July-CSE-004.pdf</t>
  </si>
  <si>
    <t>https://drive.google.com/drive/folders/1YRxA6_EAU9SKi3zTl4I7jGukX_n3CyYF?usp=drive_link</t>
  </si>
  <si>
    <t>Ann Mathews</t>
  </si>
  <si>
    <t>Accepted January 2025</t>
  </si>
  <si>
    <t>Dr.V.Ilango</t>
  </si>
  <si>
    <t xml:space="preserve">Smart Grid Solutions: IoT-Integrated Hedge
Systems for Reliable Solar Power Generation </t>
  </si>
  <si>
    <t>Publised 9th Oct 2024</t>
  </si>
  <si>
    <t xml:space="preserve">ISBN : 979-8-3315-4066-1
</t>
  </si>
  <si>
    <t>https://drive.google.com/drive/folders/1izQ8pHIiEh9-G8cjuExVCl1s37xBoMqI?usp=sharing</t>
  </si>
  <si>
    <t>Dr. Sanchari Saha</t>
  </si>
  <si>
    <t xml:space="preserve">Elesevier Book: Digital Transformation and Equitable Global Health: A Future-Ready Perspective
</t>
  </si>
  <si>
    <t>yes</t>
  </si>
  <si>
    <t>Book Chapter: Entrepreneurship for Strengthening Community Health Systems in India</t>
  </si>
  <si>
    <t>Accepted Jan 2025</t>
  </si>
  <si>
    <t>Dr. Sharmila K.P</t>
  </si>
  <si>
    <t>Prevention Of Misuse Of Prescribed Drugs Using RFID And Blockchain</t>
  </si>
  <si>
    <t>Accepted and Presented in Dec 2024</t>
  </si>
  <si>
    <t>Ms. Keka Mukhopadhyaya</t>
  </si>
  <si>
    <t>Anushree M, Bhargav M, Anusha E, Vikas MR</t>
  </si>
  <si>
    <t>Accepted and Presented in 4th - 5th October 2024.</t>
  </si>
  <si>
    <t xml:space="preserve">Biomedical Materials and Devices </t>
  </si>
  <si>
    <t>Published in December 2024</t>
  </si>
  <si>
    <t>2731-4820</t>
  </si>
  <si>
    <t>https://link.springer.com/article/10.1007/s44174-024-00257-2</t>
  </si>
  <si>
    <t xml:space="preserve">Sensing and Imaging </t>
  </si>
  <si>
    <t>1557-2072</t>
  </si>
  <si>
    <t>https://link.springer.com/article/10.1007/s11220-024-00527-9#citeas</t>
  </si>
  <si>
    <t>Dr Sandeep Kumar</t>
  </si>
  <si>
    <t>IEEE</t>
  </si>
  <si>
    <t>Improving Customer Experience in E-commerce with Chatbots: A Study on the Use of Reinforcement Learning and Neural Networks</t>
  </si>
  <si>
    <t xml:space="preserve">Presented in the conference October,2024 </t>
  </si>
  <si>
    <t>Sandeep_Research Paper -1.pdf</t>
  </si>
  <si>
    <t>Impact of Hybrid Work Model on Job Satisfaction of Techies during the COVID-19 Pandemic</t>
  </si>
  <si>
    <t>ISSN: 2752-6798 (Print) | ISSN 2752-6801 (Online</t>
  </si>
  <si>
    <t>https://ecohumanism.co.uk/joe/ecohumanism/article/view/3502</t>
  </si>
  <si>
    <t>Dr Mohan N</t>
  </si>
  <si>
    <t>IGI Global</t>
  </si>
  <si>
    <t>Leveraging Artificial Intelligence for Slum
Mapping and Upgrading Programs
Using Drones: The Case of Bangalore City,
India</t>
  </si>
  <si>
    <t>Published in Sep 2024</t>
  </si>
  <si>
    <t>ISBN13: 9798369332825</t>
  </si>
  <si>
    <t>https://www.igi-global.com/chapter/leveraging-artificial-intelligence-for-slum-mapping-and-upgrading-programs-using-drones/342451</t>
  </si>
  <si>
    <t>Dr Sanjeev Kumar</t>
  </si>
  <si>
    <t>ECOHUMANISM</t>
  </si>
  <si>
    <r>
      <rPr>
        <u/>
        <sz val="12"/>
        <color rgb="FF1155CC"/>
        <rFont val="Times New Roman"/>
      </rPr>
      <t>https://doi.org/10.62754/joe.v3i8.4918</t>
    </r>
  </si>
  <si>
    <r>
      <rPr>
        <u/>
        <sz val="11"/>
        <color rgb="FF1155CC"/>
        <rFont val="Calibri, sans-serif"/>
      </rPr>
      <t>https://ecohumanism.co.uk/joe/ecohumanism/article/view/4918</t>
    </r>
  </si>
  <si>
    <t>AI-Driven Energy Forecasting for Electric Vehicle Charging Stations Powered by Solar and Wind Energy</t>
  </si>
  <si>
    <r>
      <rPr>
        <u/>
        <sz val="12"/>
        <color rgb="FF1155CC"/>
        <rFont val="Times New Roman"/>
      </rPr>
      <t>DOI: 10.1109/icSmartGrid61824.2024.10578078</t>
    </r>
  </si>
  <si>
    <r>
      <rPr>
        <u/>
        <sz val="11"/>
        <color rgb="FF1155CC"/>
        <rFont val="&quot;Times New Roman&quot;, serif"/>
      </rPr>
      <t>https://ieeexplore.ieee.org/document/10578078</t>
    </r>
  </si>
  <si>
    <t>Chithra m</t>
  </si>
  <si>
    <t>Indiacom</t>
  </si>
  <si>
    <t>Maximizing Photovoltaic Solar Energy Output: An Advanced ANFIS-Based MPPT with ZETA Converter</t>
  </si>
  <si>
    <t>Presented on April 4th,2025</t>
  </si>
  <si>
    <t>Accepted in 07-01-2025, Presented 14-02-2025</t>
  </si>
  <si>
    <t>A survey on applications of One Class Classification</t>
  </si>
  <si>
    <t>Rapid Evaluation Of OMR Sheets</t>
  </si>
  <si>
    <t>Dr.Ciyamala Kushbu S</t>
  </si>
  <si>
    <t>SCopus</t>
  </si>
  <si>
    <t>Electronic ISBN:979-8-3503-5006-7
Print on Demand(PoD) ISBN:979-8-3503-5007-4</t>
  </si>
  <si>
    <r>
      <rPr>
        <u/>
        <sz val="10"/>
        <color rgb="FF1155CC"/>
        <rFont val="Arial"/>
      </rPr>
      <t>10.1109/IC3I61595.2024.10828932</t>
    </r>
  </si>
  <si>
    <t>An AI Driven Approach  for tailoring Java Programming Instructions</t>
  </si>
  <si>
    <t xml:space="preserve">Dr.K.Rajalakshmi	</t>
  </si>
  <si>
    <t>Enhancing the Compressed Video Quality through a Neural Network Approach</t>
  </si>
  <si>
    <r>
      <rPr>
        <u/>
        <sz val="10"/>
        <color rgb="FF1155CC"/>
        <rFont val="Arial"/>
      </rPr>
      <t>Enhancing the Compressed Video Quality through a Neural Network Approach | IEEE Conference Publication | IEEE Xplore</t>
    </r>
  </si>
  <si>
    <t>Dr. Gomathi T &amp; Pooja S</t>
  </si>
  <si>
    <t>978-94-6463-738-0_23</t>
  </si>
  <si>
    <t>https://drive.google.com/file/d/1HzcCQMMB1QkR9sIr2bubBpEnd9Mh8MLF/view?usp=drive_link</t>
  </si>
  <si>
    <t>Pooja S</t>
  </si>
  <si>
    <t>Real-Time Facial Expression-Based Multimedia Recommendation System Using Deep Learning</t>
  </si>
  <si>
    <t>Accepted &amp; Presented</t>
  </si>
  <si>
    <t>https://drive.google.com/file/d/1xmLGmQdkjuevKvNM35GpFP0k6V5OVJzG/view?usp=sharing</t>
  </si>
  <si>
    <t>DR. Vakula Rani J</t>
  </si>
  <si>
    <t>Botnet Attacks Detection in IoT Smart Homes: A Machine Learning Approach</t>
  </si>
  <si>
    <r>
      <rPr>
        <sz val="12"/>
        <color theme="1"/>
        <rFont val="Times New Roman"/>
      </rPr>
      <t xml:space="preserve">Accepted  </t>
    </r>
    <r>
      <rPr>
        <sz val="12"/>
        <color theme="1"/>
        <rFont val="Times New Roman"/>
      </rPr>
      <t xml:space="preserve">   </t>
    </r>
  </si>
  <si>
    <t>https://drive.google.com/file/d/1uFWWwPHGaLtuztVW3KJH7A8s9e46kTU_/view?usp=sharing</t>
  </si>
  <si>
    <t>979-8-3315-3853-8</t>
  </si>
  <si>
    <t>https://ieeexplore.ieee.org/abstract/document/10969941</t>
  </si>
  <si>
    <t>Multiclass Botnet Detection in IoT Smart Homes Using Deep and Ensemble Learning Techniques</t>
  </si>
  <si>
    <r>
      <rPr>
        <sz val="12"/>
        <color theme="1"/>
        <rFont val="Times New Roman"/>
      </rPr>
      <t xml:space="preserve">Accepted     </t>
    </r>
    <r>
      <rPr>
        <b/>
        <sz val="12"/>
        <color theme="1"/>
        <rFont val="Times New Roman"/>
      </rPr>
      <t xml:space="preserve"> </t>
    </r>
    <r>
      <rPr>
        <sz val="12"/>
        <color theme="1"/>
        <rFont val="Times New Roman"/>
      </rPr>
      <t xml:space="preserve">                                              </t>
    </r>
  </si>
  <si>
    <r>
      <rPr>
        <sz val="10"/>
        <rFont val="Arial"/>
      </rPr>
      <t xml:space="preserve">  </t>
    </r>
    <r>
      <rPr>
        <u/>
        <sz val="10"/>
        <color rgb="FF1155CC"/>
        <rFont val="Arial"/>
      </rPr>
      <t>https://drive.google.com/file/d/1NrWd7cZ2prIT8zOITIr0XE21KkN1tCTH/view?usp=sharing</t>
    </r>
  </si>
  <si>
    <t>Nidhi S V</t>
  </si>
  <si>
    <t>Physics of Fluids</t>
  </si>
  <si>
    <t>Published in Feb 2025</t>
  </si>
  <si>
    <t>https://doi.org/10.1063/5.0251278</t>
  </si>
  <si>
    <t>Published in February 2025</t>
  </si>
  <si>
    <t>10.1149/1945-7111/adb187</t>
  </si>
  <si>
    <t xml:space="preserve">Smitha N, Tanuja R </t>
  </si>
  <si>
    <t>Enhanced Sepsis Prediction Using Optimized
Neural Networks with KNN Imputation,IQR-Based Filtering, and ADASYS
Oversampling.</t>
  </si>
  <si>
    <t>Accepted on 27.1.2025</t>
  </si>
  <si>
    <t>Dr. P. Susheelkumar S. &amp;        Prof. Ashutosh S</t>
  </si>
  <si>
    <t>--</t>
  </si>
  <si>
    <t>Enhanced Multi-hop Routing with Multi-Sink in Spatial Correlation based Clustering</t>
  </si>
  <si>
    <t>Accepted on 29th January 2025</t>
  </si>
  <si>
    <t>Dr. Sushma T V</t>
  </si>
  <si>
    <t>Estimation of Respiratory Rate Using Thermography</t>
  </si>
  <si>
    <r>
      <rPr>
        <sz val="12"/>
        <color rgb="FF333333"/>
        <rFont val="Times New Roman"/>
      </rPr>
      <t xml:space="preserve">DOI: </t>
    </r>
    <r>
      <rPr>
        <u/>
        <sz val="12"/>
        <color rgb="FF1155CC"/>
        <rFont val="Times New Roman"/>
      </rPr>
      <t>10.1109/I4C62240.2024</t>
    </r>
    <r>
      <rPr>
        <sz val="12"/>
        <color rgb="FF333333"/>
        <rFont val="Times New Roman"/>
      </rPr>
      <t xml:space="preserve"> </t>
    </r>
  </si>
  <si>
    <t>https://ieeexplore.ieee.org/abstract/document/10748450</t>
  </si>
  <si>
    <t>Madhu G.C</t>
  </si>
  <si>
    <t>10.1109/IC3SE62002.2024.10593083</t>
  </si>
  <si>
    <t>https://ieeexplore.ieee.org/document/10593083</t>
  </si>
  <si>
    <t>Ashutosh Srivastava</t>
  </si>
  <si>
    <t>Accepted in January 2025</t>
  </si>
  <si>
    <t>Monika Singh</t>
  </si>
  <si>
    <t>Spoofing Attack Detection in 5G MIMO Systems Using Machine Learning</t>
  </si>
  <si>
    <t>ISBN:979-8-3315-4196-5</t>
  </si>
  <si>
    <t>https://ieeexplore.ieee.org/document/10838638</t>
  </si>
  <si>
    <t>Februaury 2025</t>
  </si>
  <si>
    <t>10.1201/9781003606208</t>
  </si>
  <si>
    <r>
      <rPr>
        <u/>
        <sz val="10"/>
        <color rgb="FF1155CC"/>
        <rFont val="Arial"/>
      </rPr>
      <t>https://doi.org/10.1201/9781003606208</t>
    </r>
  </si>
  <si>
    <t>Dr Pappa M, Dr Sridevi S</t>
  </si>
  <si>
    <t>2023 Passed Out students - Velugula Charan Pallav,Srijith C Shetty, Sabarish B, Samarth S,</t>
  </si>
  <si>
    <t>Real-time V2V Communication Device for Enhanced Road safety</t>
  </si>
  <si>
    <t>ISBN:979-8-3503-7989-1</t>
  </si>
  <si>
    <t>https://ieeexplore.ieee.org/document/10895733/authors#authors</t>
  </si>
  <si>
    <t>Dr Mohan &amp; Dr Rajshakar G</t>
  </si>
  <si>
    <t xml:space="preserve">A study on application of Cultural values, integrity for mental health well being in work place in and around Banglore city </t>
  </si>
  <si>
    <t>15th -Feb-2025</t>
  </si>
  <si>
    <t>https://drive.google.com/file/d/1lWMHWRMqcnbBsv-dgaaEbEb4ibO1DrC7/view?usp=drive_link</t>
  </si>
  <si>
    <t>Dr Mohan &amp; Dr Asokan D</t>
  </si>
  <si>
    <t>RGVK- state Research Center Shima</t>
  </si>
  <si>
    <t>March -2nd-2025</t>
  </si>
  <si>
    <t>https://drive.google.com/file/d/1bwLGFwqa07VtdeqUVYQgJlr0X_WjINl_/view?usp=drive_link</t>
  </si>
  <si>
    <t>Mech</t>
  </si>
  <si>
    <t>MDPI Crystals</t>
  </si>
  <si>
    <t>Published  July 2024</t>
  </si>
  <si>
    <t>Crystals 2024, 14(7), 66</t>
  </si>
  <si>
    <t>https://doi.org/10.3390/cryst14070667</t>
  </si>
  <si>
    <t>B N Shivakumar</t>
  </si>
  <si>
    <t>Random Selection for Cloud-Based Load-Distributing in Varied P2P Networks using Enhanced Throttled Algorithm</t>
  </si>
  <si>
    <t>Presented &amp; Published: Feb 2025</t>
  </si>
  <si>
    <t>https://ieeexplore.ieee.org/document/10895609</t>
  </si>
  <si>
    <t xml:space="preserve">Balaji C </t>
  </si>
  <si>
    <t>Computer Research and Modeling</t>
  </si>
  <si>
    <t>The onset of the Darcy-ferroconvection flow model in a couple stress fluid subjected to a time-periodic magnetic field</t>
  </si>
  <si>
    <t>Published in April 2025</t>
  </si>
  <si>
    <t>2077-6853</t>
  </si>
  <si>
    <t>Bone Fracture Detection in X-rays Using Advanced Deep Learning Modeling</t>
  </si>
  <si>
    <t>Presented on 13 April 2025</t>
  </si>
  <si>
    <t>Presented on 22nd may 2025</t>
  </si>
  <si>
    <t>Mandatory_paper_2025-Feb-ISE-004</t>
  </si>
  <si>
    <t>Detection of Landslide using Efficient Machine Learning Algorithms</t>
  </si>
  <si>
    <t>Presented in April 2025</t>
  </si>
  <si>
    <t>M_Paper (2025-Feb-ISE-006)</t>
  </si>
  <si>
    <t>Dr.Seetha</t>
  </si>
  <si>
    <t>MEDICAL IMAGE CAPTIONING USING DEEP LEARNING: A VISION-LANGUAGE APPROACH</t>
  </si>
  <si>
    <t>12-14, March 2025</t>
  </si>
  <si>
    <t>https://drive.google.com/drive/folders/12nxmJ8xNG74D8CoZM4hfVsPofqxe8HYS</t>
  </si>
  <si>
    <t>Dr.S.Seetha</t>
  </si>
  <si>
    <t>“Breast cancer detection using Domain-Adversarial Training (DANN) with IRM Hybrid Approach”</t>
  </si>
  <si>
    <t>11-13 February, 2025</t>
  </si>
  <si>
    <t>24-26, April 2025</t>
  </si>
  <si>
    <t xml:space="preserve"> 2025-Jan-ISE-009</t>
  </si>
  <si>
    <t>Artificial Intelligence Based Solar Energy Prediction Using Deep Learning Models</t>
  </si>
  <si>
    <t>Accepted</t>
  </si>
  <si>
    <t>2025-Jan-ISE-006</t>
  </si>
  <si>
    <t>Bridging CNNs and Transformers: A
Comparative Study of EfficientNet, ResNet,
and ViT for Plant Disease Detection</t>
  </si>
  <si>
    <t>2025-Apr-ISE-006</t>
  </si>
  <si>
    <t>Dr. Preethi Sheba Hepsiba</t>
  </si>
  <si>
    <t>Raghav Reddy R, Koppala Rakshith</t>
  </si>
  <si>
    <t>A vision-based behavioral measurement using facial expression for detecting student concentration in classrooms</t>
  </si>
  <si>
    <t>Published in June 2025</t>
  </si>
  <si>
    <t>https://ieeexplore.ieee.org/document/11009518</t>
  </si>
  <si>
    <t>9-11 July 2025</t>
  </si>
  <si>
    <t>Precision Multi-Band Terahertz Metamaterial Biosensor with Targeted Spectral Selectivity for Early Detection of MCF-7 Breast Cancer Cells</t>
  </si>
  <si>
    <t>1558-1748</t>
  </si>
  <si>
    <r>
      <rPr>
        <u/>
        <sz val="10"/>
        <color rgb="FF1155CC"/>
        <rFont val="Arial"/>
      </rPr>
      <t>https://ieeexplore.ieee.org/</t>
    </r>
    <r>
      <rPr>
        <u/>
        <sz val="10"/>
        <color rgb="FF1155CC"/>
        <rFont val="Arial"/>
      </rPr>
      <t>stamp/stamp.jsp?tp=&amp;arnumber=10909107</t>
    </r>
  </si>
  <si>
    <r>
      <rPr>
        <u/>
        <sz val="12"/>
        <color rgb="FF1155CC"/>
        <rFont val="Aptos, sans-serif"/>
      </rPr>
      <t>https://ieeexplore.ieee.org/</t>
    </r>
    <r>
      <rPr>
        <u/>
        <sz val="12"/>
        <color rgb="FF1155CC"/>
        <rFont val="Aptos"/>
      </rPr>
      <t>document/10919043</t>
    </r>
  </si>
  <si>
    <t xml:space="preserve">ISE </t>
  </si>
  <si>
    <t>IGI Global Scientific Publishing eEditorial Discovery</t>
  </si>
  <si>
    <t>Optimizing device performance with BCIs: A user-Centric Approach to brain data privacy</t>
  </si>
  <si>
    <t>2024-Aug-ISE-003</t>
  </si>
  <si>
    <t>Nidhi Joshi Parsai</t>
  </si>
  <si>
    <t>Optimized Object Detection Pipeline for Automotive and
Surveillance Applications applying Machine Learning</t>
  </si>
  <si>
    <t>Presented on 4-5 April 2025</t>
  </si>
  <si>
    <t>R_Load (2025-Feb-ISE-002)</t>
  </si>
  <si>
    <t>P. Kavitha</t>
  </si>
  <si>
    <t xml:space="preserve">A Multi-path Routing Protocol for IoT based Wireless Sensor Nwtworks </t>
  </si>
  <si>
    <t>Accepted in  6th April 2025</t>
  </si>
  <si>
    <t>Mandatory_Paper (2024-Aug-ISE-006)</t>
  </si>
  <si>
    <t>Sugunadevi C</t>
  </si>
  <si>
    <t>Groundnut Leaf Disease Classification using CNN Models: Enhancing Performance with Transfer Learning in ResNet50</t>
  </si>
  <si>
    <t>Published in IEEE Conference</t>
  </si>
  <si>
    <t>https://doi.org/10.1109/ICEARS64219.2025.10941314</t>
  </si>
  <si>
    <t>https://doi.org/10.1109/ICTMIM65579.2025.10987961</t>
  </si>
  <si>
    <t xml:space="preserve">Aaron Jacob, Gaurav Khater, Emmamddin </t>
  </si>
  <si>
    <t>Load Balancing in Cloud Computing Environment Using Memetic Algorithm</t>
  </si>
  <si>
    <t>Presented  March 2025</t>
  </si>
  <si>
    <t>1572-8862</t>
  </si>
  <si>
    <r>
      <rPr>
        <u/>
        <sz val="11"/>
        <color rgb="FF1155CC"/>
        <rFont val="Arial"/>
      </rPr>
      <t>https://link.springer.com/article/10.1007/s10876-025-02796-0#citeas</t>
    </r>
    <r>
      <rPr>
        <sz val="11"/>
        <color rgb="FF222222"/>
        <rFont val="Arial"/>
      </rPr>
      <t xml:space="preserve"> </t>
    </r>
  </si>
  <si>
    <t>Dr. Parthasarathy P</t>
  </si>
  <si>
    <t>2162-8777</t>
  </si>
  <si>
    <t xml:space="preserve">https://iopscience.iop.org/article/10.1149/2162-8777/adc2d2/meta </t>
  </si>
  <si>
    <t>Plasmonics</t>
  </si>
  <si>
    <t>1557-1963</t>
  </si>
  <si>
    <t>https://link.springer.com/article/10.1007/s11468-025-02888-7</t>
  </si>
  <si>
    <t>Dr. Viji K</t>
  </si>
  <si>
    <t>ICOACT 2025</t>
  </si>
  <si>
    <t>Robust Solar Powered DC Drive for 
Electric Vehicles</t>
  </si>
  <si>
    <t>Dr. Shanthi M. B</t>
  </si>
  <si>
    <t>Enhancing StyleGAN with Differential Privacy for Image Generation</t>
  </si>
  <si>
    <t xml:space="preserve">Accepted </t>
  </si>
  <si>
    <t>"Hybrid Link Prediction with Explaianble Ai for Online Social Networks"</t>
  </si>
  <si>
    <t>https://drive.google.com/file/d/143cXjyXBEZ0hVJVV3KoRom0xlc4WaaKs/view?usp=sharing</t>
  </si>
  <si>
    <t>Dr K Meenakshi</t>
  </si>
  <si>
    <t>Library Information Science</t>
  </si>
  <si>
    <t>ISSN 0970 1052</t>
  </si>
  <si>
    <t>P. Kavitha, Rajalakshmi(MCA)</t>
  </si>
  <si>
    <t>ICISC 2025</t>
  </si>
  <si>
    <t>Epilepsy Prevention using enhance Genetic Algorithm  tuned Multilayer Network</t>
  </si>
  <si>
    <t>R (2025-Feb-ISE-008)</t>
  </si>
  <si>
    <t>RAKSHITHA S
ROZANA I M
ROHIT BAHUBALI PATIL</t>
  </si>
  <si>
    <t>Efficient Handwritten Text Recognition Using Residual Networks and BiLSTM</t>
  </si>
  <si>
    <r>
      <rPr>
        <u/>
        <sz val="10"/>
        <color rgb="FF1155CC"/>
        <rFont val="Arial"/>
      </rPr>
      <t>https://drive.google.com/file/d/1Sieur8PpcgBB7nr65ZWVeI-Bth6H_9oB/view?usp=sharing</t>
    </r>
  </si>
  <si>
    <t>Dr.K.Rajalakshmi</t>
  </si>
  <si>
    <r>
      <rPr>
        <u/>
        <sz val="10"/>
        <color rgb="FF1155CC"/>
        <rFont val="Arial"/>
      </rPr>
      <t>https://drive.google.com/file/d/1tgMLWSdxjRM4u88jNeSEJ8YHxO0RTjFV/view?usp=sharing</t>
    </r>
  </si>
  <si>
    <t>Securing IoT Systems through Deep Learning-Powered Threat Detection</t>
  </si>
  <si>
    <t>M_Paper (2025-Jan-ISE-012)</t>
  </si>
  <si>
    <t>Paramita Mitra</t>
  </si>
  <si>
    <t>accepted 1.4.2025</t>
  </si>
  <si>
    <t>sreeraksha rao,  syed faizan  ,  Rhehol khatiwada , Yogesh bhatta</t>
  </si>
  <si>
    <t>Comprehensive Web Fuzzer with AI mitigation and custom payload</t>
  </si>
  <si>
    <t>accepted 1.5.2025</t>
  </si>
  <si>
    <t>Aditya, Affan</t>
  </si>
  <si>
    <t>ML-Driven VM Instance Selection for Cloud Workloads</t>
  </si>
  <si>
    <t>Accepted on 5.5.2025</t>
  </si>
  <si>
    <t xml:space="preserve">Ms. Priyanka S Talekar                                                       </t>
  </si>
  <si>
    <t>accepted in April 2025</t>
  </si>
  <si>
    <t>Abdul Kather S</t>
  </si>
  <si>
    <t>A Lightweight Blockchain Framework for Secure
and Efficient Small-Scale E-Voting</t>
  </si>
  <si>
    <t>https://drive.google.com/drive/folders/1Zn7LJ7X27e1GnSHek7vyzpQ27zY5_oEj?usp=drive_link</t>
  </si>
  <si>
    <t>Deepa H</t>
  </si>
  <si>
    <t>Gesture Art Board-Enhancing Digital Expression through Hand Gesture Recognition</t>
  </si>
  <si>
    <t>M_Paper (2025-Mar-ISE-001)</t>
  </si>
  <si>
    <t>SYMPLY- Medicine Recommendation System using Machine Learning</t>
  </si>
  <si>
    <t>M_Paper(2025-Feb-ISE-010)</t>
  </si>
  <si>
    <t>Presented in may 2025</t>
  </si>
  <si>
    <t>Hierarchical Meta-Reinforcement Learning for Uncertainty-Aware Resource Allocation in C-V2X Networks</t>
  </si>
  <si>
    <t>Presented March 2025 &amp; Accepted/ Published</t>
  </si>
  <si>
    <t>979-8-3315-0574-5</t>
  </si>
  <si>
    <t>M Paper  (2025-Mar-ISE-005)</t>
  </si>
  <si>
    <t>Dr.K.Venkateswaran</t>
  </si>
  <si>
    <t>ICECCC 2025</t>
  </si>
  <si>
    <t>Design and Development of End Effector for Weed Removal</t>
  </si>
  <si>
    <t>Silicon</t>
  </si>
  <si>
    <t>Design and Investigation of Gamma Ray Dosimetry with Doped Polymer‐Infused Porous Silicon Annular Photonic Crystal</t>
  </si>
  <si>
    <t>1876-9918</t>
  </si>
  <si>
    <r>
      <rPr>
        <u/>
        <sz val="10"/>
        <color rgb="FF1155CC"/>
        <rFont val="Arial"/>
      </rPr>
      <t>https://link.springer.com/</t>
    </r>
    <r>
      <rPr>
        <u/>
        <sz val="10"/>
        <color rgb="FF1155CC"/>
        <rFont val="Arial"/>
      </rPr>
      <t>article/10.1007/s12633-025-03319-2</t>
    </r>
  </si>
  <si>
    <t>1879-2545</t>
  </si>
  <si>
    <t>https://www.sciencedirect.com/science/article/abs/pii/S003039922500550X</t>
  </si>
  <si>
    <t>Microchimica Acta</t>
  </si>
  <si>
    <t>1436-5073</t>
  </si>
  <si>
    <t>https://link.springer.com/article/10.1007/s00604-025-07226-6</t>
  </si>
  <si>
    <t>Presented May 22nd 2025</t>
  </si>
  <si>
    <t>2025-Feb-ISE-005</t>
  </si>
  <si>
    <t>16th ICCCNT 2025</t>
  </si>
  <si>
    <t>From Clicks to Commands: iVoice - Evaluating the Impact of Voice-Assisted Desktops on User Productivity</t>
  </si>
  <si>
    <t xml:space="preserve">Accepted and registration done. </t>
  </si>
  <si>
    <t>2025-Jan-ISE-002</t>
  </si>
  <si>
    <t>Dr. Susheelamma K H and Dr.Poorani</t>
  </si>
  <si>
    <t>ICCAMS 2025 (July 11–12, 2025)</t>
  </si>
  <si>
    <t>2025-Mar-ISE-008 (Dr. Susheelamma - 0.06, Dr.Poorani - 0.44)</t>
  </si>
  <si>
    <t>Chithra M</t>
  </si>
  <si>
    <t>Presented on April 12th,2025</t>
  </si>
  <si>
    <t>Presented on June 14th,2025</t>
  </si>
  <si>
    <t>Dr Mohan.N</t>
  </si>
  <si>
    <t>BAIN CMRIT conference</t>
  </si>
  <si>
    <t>ISBN: 978-81-980647-7-6</t>
  </si>
  <si>
    <t>IGI Global Book Chapter</t>
  </si>
  <si>
    <t xml:space="preserve">March 10th-2025 </t>
  </si>
  <si>
    <t>DOI: 10.4018/979-8-3693-9684-1.ch008</t>
  </si>
  <si>
    <t>Dr. Asokan D</t>
  </si>
  <si>
    <t>ISBN: 978-81-980647-8-3</t>
  </si>
  <si>
    <t>Wiley Publication</t>
  </si>
  <si>
    <t>SCI</t>
  </si>
  <si>
    <t>Disinformation Security for Generative AI Applications</t>
  </si>
  <si>
    <t>Submitted for publication</t>
  </si>
  <si>
    <t>Dr.T.K.Murugesan</t>
  </si>
  <si>
    <t>Measuring Business Excellence</t>
  </si>
  <si>
    <t>Implementation of World Class Manufacturing System by Make in India Manufactures – An Empirical Approach towards Competitive Advantage</t>
  </si>
  <si>
    <t>Sent &amp; Under Review</t>
  </si>
  <si>
    <t>Manuscript ID is MBE-06-2025-0110</t>
  </si>
  <si>
    <t>Accepted for publication</t>
  </si>
  <si>
    <t>Paer ID: BAIN25-BFSI-07</t>
  </si>
  <si>
    <t>Strategic Leadership and Digital Disruption</t>
  </si>
  <si>
    <t>https://drive.google.com/drive/folders/11hu30w6fDTuabXz2LyBlE2mC6tLwRrHl</t>
  </si>
  <si>
    <t>Pooja Goud, Ranjini K</t>
  </si>
  <si>
    <t xml:space="preserve">Elsevier book series, Artificial Intelligence Applications for Brain–Computer Interfaces </t>
  </si>
  <si>
    <t>Closed-Loop Brain–Computer Interfaces for Musculoskeletal Impulse Prediction</t>
  </si>
  <si>
    <t>Published - 31.01.2025</t>
  </si>
  <si>
    <t>Smitha N,</t>
  </si>
  <si>
    <t xml:space="preserve"> Improving Sepsis Mortality Prediction with Hybrid Ensemble Models and Optimized Machine Learning
Techniques</t>
  </si>
  <si>
    <t>Accepted- 3.6.2025</t>
  </si>
  <si>
    <t>Rajeshwari R</t>
  </si>
  <si>
    <t>A Hierarchical Aggregation Network with Edge Guidance for Sturdy Medical Image Segmentation</t>
  </si>
  <si>
    <t>Published-13.3.2025</t>
  </si>
  <si>
    <t>Savitha N J</t>
  </si>
  <si>
    <t>Optimized Culprit Identification Using MobileNet and Attention Mechanisms</t>
  </si>
  <si>
    <t>Guild Based Online Coding Platform with Gamification Features</t>
  </si>
  <si>
    <t>Ch. Avaneesh</t>
  </si>
  <si>
    <t>Accepted April 28</t>
  </si>
  <si>
    <t>Ranjini K,Pooja Goud</t>
  </si>
  <si>
    <t>Accepted April 27</t>
  </si>
  <si>
    <t>JOURNAL OF INFORMATION SYSTEMS ENGINEERING AND MANAGEMENT</t>
  </si>
  <si>
    <t>Cognitive Framework to Identify Women Empowerment using Swarm Enhanced Neural Networks</t>
  </si>
  <si>
    <t>Senthil Velan S</t>
  </si>
  <si>
    <t>Accepted June 2025</t>
  </si>
  <si>
    <t>https://drive.google.com/drive/folders/1cBY8oi2D85mOMhsKu3oKuBolvagAOwas?usp=drive_link</t>
  </si>
  <si>
    <t>IEEE Conference- CISCON 2025</t>
  </si>
  <si>
    <t xml:space="preserve">Scopus </t>
  </si>
  <si>
    <t>Accepted on 22 May 2025</t>
  </si>
  <si>
    <t>ICANCS 2025</t>
  </si>
  <si>
    <t>Accepted on 27 June 2025</t>
  </si>
  <si>
    <t>2024-Oct-ISE-001</t>
  </si>
  <si>
    <t>Computers and electrical Engineering</t>
  </si>
  <si>
    <t xml:space="preserve">Conceptual Metaphor Quantum Correlation and Radial Basis Extreme Learning for Predicting Chronic Kidney Disease
</t>
  </si>
  <si>
    <t>Published on 2nd Dec 2024</t>
  </si>
  <si>
    <t>Published Paper.pdf</t>
  </si>
  <si>
    <t>LAYA.N</t>
  </si>
  <si>
    <t>6th INCET-2025</t>
  </si>
  <si>
    <t>Presented May 2025</t>
  </si>
  <si>
    <t>Revathi S</t>
  </si>
  <si>
    <t>Algorithmic Crypto Trading Using EMA Strategy</t>
  </si>
  <si>
    <t>Accepted 4/1/2025</t>
  </si>
  <si>
    <t xml:space="preserve">Ms. Priyanka S Talekar                                                  Ms.Anshika Shukla        </t>
  </si>
  <si>
    <t>Kotapati Vekata Dhanush, Vishnu M</t>
  </si>
  <si>
    <t>Published 13 May 2025</t>
  </si>
  <si>
    <t>Poojitha Reddy, Hemakumar Reddy, Bhoomika</t>
  </si>
  <si>
    <t>ETCC 2025</t>
  </si>
  <si>
    <t>Accepted 13th May 2025</t>
  </si>
  <si>
    <t>Ms. Spurthy Maria Pais</t>
  </si>
  <si>
    <t>SPACE 2025</t>
  </si>
  <si>
    <t>Predicting High-Resolution Soil Moisture Using MODIS Bands: a Fusion-Regression Approach</t>
  </si>
  <si>
    <t>Accepted May 2025</t>
  </si>
  <si>
    <t>Ms. Bala Priya C</t>
  </si>
  <si>
    <t>EARTHSENSE 2025</t>
  </si>
  <si>
    <t>Spectral-Spatial Attribution Methods for Interpreting Land Cover Classification from Sentinel-2 Imagery</t>
  </si>
  <si>
    <t>IEEE-Connect</t>
  </si>
  <si>
    <t>Anticipation of Oceanic XCO2 using Data Fusion and AI-Based Approaches</t>
  </si>
  <si>
    <t>Developments in Deep Learning for Low Light Object Detection: A Comprehensive Review of YOLO and YOLOv8</t>
  </si>
  <si>
    <t>Accepted &amp; Published</t>
  </si>
  <si>
    <t>Moumita Roy</t>
  </si>
  <si>
    <t>NANDISH M
NANDITHA SHINDHE</t>
  </si>
  <si>
    <t>https://drive.google.com/file/d/1_QpkKduFpmHhISNM6FXPfQZ3-hm8eS2W/view?usp=drive_link</t>
  </si>
  <si>
    <t>Evaluating Blockchain-as-a-Service (BaaS) Platforms: Comparative Insights into Capabilities and Constraints</t>
  </si>
  <si>
    <t>https://drive.google.com/drive/folders/1v5Doxz4WlUcuN9L8EjoqdMbM3_YgMVbp?usp=sharing</t>
  </si>
  <si>
    <t>Daya R Thummar</t>
  </si>
  <si>
    <t>Enhanced Tomato Leaf Disease Detection Using YOLOv11: A Deep Learning-Based Approach</t>
  </si>
  <si>
    <t>https://drive.google.com/file/d/1spNCBg9RsmVS1LUlkjsl9vFT47SPuysw/view?usp=drive_link</t>
  </si>
  <si>
    <t>HARI KRISHNA K R
KEERTHI A T
KEERTI SHIVAPPA ADARAGUNCHI
KRITHAN A N</t>
  </si>
  <si>
    <t>https://drive.google.com/file/d/14qFy_nMmHB8g444e8h5XDBgaZIxVGd11/view?usp=sharing</t>
  </si>
  <si>
    <t>AJITHKUMAR KAMALAKAR SHETTY
AMRUTHA VISHWANATH BHAT
AMULYA NAMANA D B</t>
  </si>
  <si>
    <t>https://drive.google.com/file/d/1GhJsbDBsC3JzqonfEhJSRrmk0xRjJGn3/view?usp=sharing</t>
  </si>
  <si>
    <t>TUMOUR CLASSIFICATION AND SEGMENTATION THROUGH MACHINE LEARNING METHODS</t>
  </si>
  <si>
    <t>SMART E-HEALTH SYSTEMS: IOT AND MACHINE LEARNING FOR CLINICAL OUTCOME
PREDICTION</t>
  </si>
  <si>
    <t>Prof.Kamaleswari P</t>
  </si>
  <si>
    <t>Using Machine Learning to Identify Outliers in Indian Agriculture Data for Crop Yield Prediction</t>
  </si>
  <si>
    <t>M paper (2025-June-ISE-006)</t>
  </si>
  <si>
    <t>Prof.Arvind R</t>
  </si>
  <si>
    <t>2025-Mar-ISE-011</t>
  </si>
  <si>
    <t>IEEE Conference ICANCS 2025</t>
  </si>
  <si>
    <t>M Paper_2025-Mar-ISE-006</t>
  </si>
  <si>
    <t>High-Precision Traffic Accident Detection Using YOLOv11 Model and Image Processing with Deep Learning Techniques</t>
  </si>
  <si>
    <t>Mandatory Paper(2025-May-ISE-003)</t>
  </si>
  <si>
    <t>Ms Shilpa Pande</t>
  </si>
  <si>
    <t>Dwell Sync Pro: AI Travel Planner</t>
  </si>
  <si>
    <t>Link</t>
  </si>
  <si>
    <t xml:space="preserve">Deep Learning Approach for Glaucoma Detection </t>
  </si>
  <si>
    <t>link</t>
  </si>
  <si>
    <t>Dr. P Ramesh</t>
  </si>
  <si>
    <t>DEVELOPMENT OF A MULTI-LEVEL INVERTER WITH FUZZY LOGIC CONTROL FOR GRID-CONNECTED PHOTOVOLTAIC SYSTEMS</t>
  </si>
  <si>
    <t>2024-Feb-EEE-001</t>
  </si>
  <si>
    <t>Prof.Apurva Chaudhari</t>
  </si>
  <si>
    <t>Towards Touch-Free Interaction Virtual Mouse using Hand Gesture</t>
  </si>
  <si>
    <t>M_Paper_(2025-Feb-ISE-007)</t>
  </si>
  <si>
    <t>Ms Roma Kudale</t>
  </si>
  <si>
    <t>Parth Sharma, Malavika Kammar</t>
  </si>
  <si>
    <t>Advances in Automated Question Generation: A Comprehensive Review and Future Directions</t>
  </si>
  <si>
    <t>Presented 30-31 May 2025</t>
  </si>
  <si>
    <t>Ms. Rencita Maria Colaco</t>
  </si>
  <si>
    <t>10th Edition ICT4SD</t>
  </si>
  <si>
    <t>https://drive.google.com/drive/folders/1oBvt1xE5lYAXQLtICRUeBsubhVYpJT6z?usp=sharing</t>
  </si>
  <si>
    <t>Mandatory Paper</t>
  </si>
  <si>
    <t>MS. Sevanthi P</t>
  </si>
  <si>
    <t>Presented on 6/6/2025</t>
  </si>
  <si>
    <t>R Load</t>
  </si>
  <si>
    <t>Prof. Vidhyavathi Kotha</t>
  </si>
  <si>
    <t>Enhanced Rainfall Prediction Using Conv1D and Temporal Fusion Transformers for Precision Forecasting</t>
  </si>
  <si>
    <t>Dr. Sam Gilvine</t>
  </si>
  <si>
    <t>Leveraging Multi-Layer Neural Networks for Spatial Inference in Wireless Detector Networks</t>
  </si>
  <si>
    <t>Received Acceptance on 28/6/25</t>
  </si>
  <si>
    <t>Intelligent Sensor Relocation in Wireless Networks: An Artificial Immune System Approach to Coverage Maximization</t>
  </si>
  <si>
    <t>Received Acceptance on 30/06/25</t>
  </si>
  <si>
    <t>Sagarika Behera, Rajni Tiwari</t>
  </si>
  <si>
    <t>Enhancing Data Security in Edge Computing Through Blockchain Storage Architecture</t>
  </si>
  <si>
    <t>Accepted in June 2025</t>
  </si>
  <si>
    <t>Breast Cancer Classification Using CNN and Maxpooling</t>
  </si>
  <si>
    <t>Accepted on 24.06.2025</t>
  </si>
  <si>
    <t>V N Manju</t>
  </si>
  <si>
    <t>Aniket Ritam, Supritha S, Harsha Jyothi</t>
  </si>
  <si>
    <t>accepted 26th June 2025</t>
  </si>
  <si>
    <t>Deepfake MRI Detection: A ViViT-Based Landmark Feature Extraction Approach for Brain Tumor Scans</t>
  </si>
  <si>
    <t>Published on 3rd June 2025</t>
  </si>
  <si>
    <t>Attention-Enhanced Vision Transformer Model for Precise Skin Cancer Detection</t>
  </si>
  <si>
    <t>Reshma</t>
  </si>
  <si>
    <t>accepted 4th June 2025</t>
  </si>
  <si>
    <t>Lini Oommen</t>
  </si>
  <si>
    <t>Aman Kumar, Harsha Vardhan Reddy G, Sovit Khatri, Sahid Aftab</t>
  </si>
  <si>
    <t>Sports Facility Booking System with Hybrid Recommendations</t>
  </si>
  <si>
    <t>accepted June 2025</t>
  </si>
  <si>
    <t>Amulya Biradar, Rishabh Patel, Shruti Jayaswal,Ritesh Kumar Singh</t>
  </si>
  <si>
    <t>Diabetes and Heart Disease Prediction Using Machine Learning</t>
  </si>
  <si>
    <t>Mayank Mudhal, Divyam Kumar</t>
  </si>
  <si>
    <t>Smart Detection of Deep Fake Images Using Vision Transformers</t>
  </si>
  <si>
    <t>Refining Brain Tumour Segmentation in MRI: A Synergistic Approach with Modified FCM and JAYA Algorithm</t>
  </si>
  <si>
    <t>accepted 1 Apr 2025</t>
  </si>
  <si>
    <t>Manjula Subramaniam</t>
  </si>
  <si>
    <t>Beyond the cloud:AI-Driven Strategies for Data Privacy Assurance</t>
  </si>
  <si>
    <t>accepted 26 Feb 2025</t>
  </si>
  <si>
    <t>accepted 27-06-2025</t>
  </si>
  <si>
    <t>Arpit Sharma, NIshant Parashar, Rakesh Kumar</t>
  </si>
  <si>
    <t>CSE/ AIML/ISE</t>
  </si>
  <si>
    <t>Emotion-Aware Image Captioning Using BLIP-2 and DeepFace Integration</t>
  </si>
  <si>
    <t>R (2025-Jan-CSE-006)</t>
  </si>
  <si>
    <t>ICCCNT 2025</t>
  </si>
  <si>
    <t>Nishant Parashar</t>
  </si>
  <si>
    <t>MDAHSS 2025</t>
  </si>
  <si>
    <t>Presented June 2025</t>
  </si>
  <si>
    <t>IJES</t>
  </si>
  <si>
    <t>Detection of Breast Cancer Using Machine Learning on Histopathological Images</t>
  </si>
  <si>
    <t>Ms. Anushree G</t>
  </si>
  <si>
    <t>Harshitha N, Diya Rose Melwin</t>
  </si>
  <si>
    <t>Cultivating the Future: The Role of AI in Transforming Agriculture</t>
  </si>
  <si>
    <t>Presented in March 2025</t>
  </si>
  <si>
    <t>Elakkiya.E , Revathy.s</t>
  </si>
  <si>
    <t>An Enhanced Framework for Identification of Ovarian Cancer Detection System</t>
  </si>
  <si>
    <t>Accepetd on 11th June 2025</t>
  </si>
  <si>
    <t>https://drive.google.com/drive/folders/1n8XqR_t9zQgVyC-GhrtkSJ5A4DZlMycC?usp=drive_link</t>
  </si>
  <si>
    <t>Ms. Vedashree LV</t>
  </si>
  <si>
    <t>Presented on 18-20 september 2024</t>
  </si>
  <si>
    <t>Ms. Anusha Johnson</t>
  </si>
  <si>
    <t>Accepted on 29/6/2025</t>
  </si>
  <si>
    <t xml:space="preserve">Dr. Nageswara Rao </t>
  </si>
  <si>
    <t>Scientific Reports</t>
  </si>
  <si>
    <t>High resistance fault detection in DC microgrid using Hilbert
Huang transform and vector- based ensemble optimized LSTM networks</t>
  </si>
  <si>
    <t>Published May 2025</t>
  </si>
  <si>
    <t>10.1038/s41598-025-00977-5</t>
  </si>
  <si>
    <t>https://pubmed.ncbi.nlm.nih.gov/40341428/</t>
  </si>
  <si>
    <t>DEEP LEARNING-ENHANCED STABILITY CONTROL FOR RENEWABLE ENERGY-BASED MICROGRIDS</t>
  </si>
  <si>
    <t>Dr.Senthil Velan S</t>
  </si>
  <si>
    <t>2024-Sep-ISE-003</t>
  </si>
  <si>
    <t>Dr. Narendra N</t>
  </si>
  <si>
    <t>ICSMT 2025!</t>
  </si>
  <si>
    <t>Q2/Q3</t>
  </si>
  <si>
    <t>na</t>
  </si>
  <si>
    <t>Optimization of single strap butt joint with dissimilar alloys bonded using modified epoxy resin</t>
  </si>
  <si>
    <t xml:space="preserve">Paper Accepted </t>
  </si>
  <si>
    <t>Published Jun 2025</t>
  </si>
  <si>
    <t>https://link.springer.com/article/10.1007/s00170-025-15927-8</t>
  </si>
  <si>
    <t>Emergent Materials</t>
  </si>
  <si>
    <t>Influence of infill patterns on the mechanical and antibacterial
properties of 3D-printed polylactic acid reinforced with
hydroxyapatite/magnesium oxide bone repair scaffolds</t>
  </si>
  <si>
    <t xml:space="preserve">A Hybrid ASR Model Integrating with T5 for
Enhancement of Audio Text </t>
  </si>
  <si>
    <t>Hybrid Approach for Real-Time Emotion Recognition on Twitter Data</t>
  </si>
  <si>
    <t>Dr. Vakula Rani J</t>
  </si>
  <si>
    <t>Early Identification of Hepatic Disorders Using
Machine Learning</t>
  </si>
  <si>
    <t>https://drive.google.com/file/d/1vMXQQxg77o2YenTBDpyjJi2kKsqjssFL/view?usp=sharing</t>
  </si>
  <si>
    <t>Haifa Ali Saeed Ali</t>
  </si>
  <si>
    <t>Deep Learning Approach for Protecting IoT Smart Home Devices Against Multiclass Botnet Attacks</t>
  </si>
  <si>
    <t>Published  June 2025</t>
  </si>
  <si>
    <t>https://drive.google.com/file/d/1uU26xdztPL7QHBWD6_vaegws3XNI7aPr/view?usp=sharing</t>
  </si>
  <si>
    <t>https://drive.google.com/file/d/1rBRENXoAIaMi5Kx99FnwynSuxbSTeHMV/view?usp=drive_link</t>
  </si>
  <si>
    <t>Detection of Malware in Internet of Things in Smart Homes Using Deep Federated Learning - After reviews published as "Federated Learning for the Detection of Malware in IoT Devices"</t>
  </si>
  <si>
    <t>https://drive.google.com/file/d/1UTTZY_w2NWFbvNY1MO1Y2k7J0Jz07wkU/view?usp=sharing</t>
  </si>
  <si>
    <t>https://drive.google.com/file/d/1Px7KsEulDFJg490dMlZSEj8jWjyF9DXI/view?usp=sharing</t>
  </si>
  <si>
    <t>SN Computer Science</t>
  </si>
  <si>
    <t>10.1007/s42979-024-03619-1</t>
  </si>
  <si>
    <t>https://link.springer.com/article/10.1007/s42979-024-03619-1</t>
  </si>
  <si>
    <t>Dr.V.Ilango &amp; Dr.K.Rajalakshmi</t>
  </si>
  <si>
    <t>https://drive.google.com/file/d/1lG82nCIpWCLurdXGnpx_JIlriI58iQbF/view?usp=sharing</t>
  </si>
  <si>
    <r>
      <rPr>
        <sz val="12"/>
        <color rgb="FF222222"/>
        <rFont val="Times New Roman"/>
      </rPr>
      <t>ML Framework for Rain and Temperature Forecasting Based on
Meteorological and Air Quality Dat</t>
    </r>
    <r>
      <rPr>
        <sz val="12"/>
        <color rgb="FF222222"/>
        <rFont val="Times New Roman"/>
      </rPr>
      <t>a</t>
    </r>
  </si>
  <si>
    <t>https://drive.google.com/file/d/1lgRkw0pUztKo-GFXhr_h81a2v3n9Jktp/view?usp=drive_link</t>
  </si>
  <si>
    <t>Varsha P</t>
  </si>
  <si>
    <t xml:space="preserve"> A Hybrid Sequential Model for Evidence Extraction from
 Social Media Interactions using Topic Modeling and
 Sequential Pattern Mining</t>
  </si>
  <si>
    <t>https://drive.google.com/file/d/18cTlc7rwjrvPPygGGvr4onXLn80g-8r5/view?usp=drive_link</t>
  </si>
  <si>
    <t>https://drive.google.com/drive/folders/1Y_wJRXsEi8ucy3DWKCgn5QYHpO3tKZG9?usp=drive_link</t>
  </si>
  <si>
    <t xml:space="preserve">Dr.V.Ilango </t>
  </si>
  <si>
    <t xml:space="preserve">Real Time Flood Alert System In Parking Lot Using Iot And Machine Learning </t>
  </si>
  <si>
    <t>https://drive.google.com/drive/folders/1VzvnbbGrQ3d52cKdbZgpLFAv3QOt1mc9?usp=drive_link</t>
  </si>
  <si>
    <t xml:space="preserve">Efficient Multi-Class Classification of NSCLC Subtypes with Transfer Learning-Enhanced
CNNs on Augmented CT Data </t>
  </si>
  <si>
    <t>2162-8769</t>
  </si>
  <si>
    <t>https://iopscience.iop.org/article/10.1149/2162-8777/add49b/meta</t>
  </si>
  <si>
    <t>IEEE Access</t>
  </si>
  <si>
    <t>Label-Free Biomolecule Detection with InP/AIGaAs Charge Plasma Dielectric-Modulated Vertical TFET Using TaN as Metal Gate</t>
  </si>
  <si>
    <t>2169-3536</t>
  </si>
  <si>
    <t>https://ieeexplore.ieee.org/abstract/document/11005483</t>
  </si>
  <si>
    <t>Minimizing power loss by lowering the decline rate of refractive index in optical fiber communication</t>
  </si>
  <si>
    <t xml:space="preserve">Dr. Sharmila K.P </t>
  </si>
  <si>
    <t xml:space="preserve">ICETICT-2024 </t>
  </si>
  <si>
    <t>Prof. Sachin Aralikatti</t>
  </si>
  <si>
    <t xml:space="preserve">ICETA-2025 - IEEE </t>
  </si>
  <si>
    <t>Dr.Ananth Kumar M.S.</t>
  </si>
  <si>
    <t>Yes, Scopus Indexed</t>
  </si>
  <si>
    <t>Published in May 2025</t>
  </si>
  <si>
    <t>INDISCON 2025 - IEEE</t>
  </si>
  <si>
    <t>Dr Pappa M, Dr Mahesh Kumar Jha, Dr K P Sharmila</t>
  </si>
  <si>
    <t>Energy Harvesting Microcontrollers for IoT</t>
  </si>
  <si>
    <t>Presented in June 2025</t>
  </si>
  <si>
    <t>Dr Sutapa Sarkar, Prof.Monika Singh, Dr Mahesh Kumar Jha, Dr Pappa M, Dr K P Sharmila</t>
  </si>
  <si>
    <t>IoT Driven activities in Mining and Subterranean Operations</t>
  </si>
  <si>
    <t>Dr Sridevi S, Dr Pappa M</t>
  </si>
  <si>
    <t>Dr Meenakshi R Patil</t>
  </si>
  <si>
    <t>AI Nursing Assistant</t>
  </si>
  <si>
    <t>Presented in May 2025</t>
  </si>
  <si>
    <t>344_ICECCC_2025_P_CERTIFICATE_2025-Feb-ECE-014.pdf</t>
  </si>
  <si>
    <t>727_ICECCC_2025_P_2025-Feb-ECE-022.pdf</t>
  </si>
  <si>
    <t>Prof Kavitha N Pillai</t>
  </si>
  <si>
    <t>Susmitha Alamuru</t>
  </si>
  <si>
    <t>An Effective Video Event Classification by Optimizing the Hyper-Parameters Using Improved Pelican Optimization and Bi-LSTM Classifier</t>
  </si>
  <si>
    <t>K.Venkateswaran</t>
  </si>
  <si>
    <t>Yes
SCOPUS Indexed</t>
  </si>
  <si>
    <t>IEEE Radar Conference</t>
  </si>
  <si>
    <t>Hyperparameter Free MEEF Based Adaptive Estimator for MIMO Radar</t>
  </si>
  <si>
    <t>https://drive.google.com/file/d/14-55AlC74SKsuSGiGvVHcjuAJdWcT3KM/view?usp=sharing</t>
  </si>
  <si>
    <t>5G Advanced: A Step Towards 6G</t>
  </si>
  <si>
    <t>September</t>
  </si>
  <si>
    <t>Electronic ISBN:979-8-3503-9075-9                                                                                                         Print on Demand(PoD) ISBN:979-8-3503-9076-6</t>
  </si>
  <si>
    <t>https://ieeexplore.ieee.org/document/10763764</t>
  </si>
  <si>
    <t>Sushma b</t>
  </si>
  <si>
    <t>Wispnet</t>
  </si>
  <si>
    <t>Electronic ISBN:979-8-3315-2422-7</t>
  </si>
  <si>
    <t>Sushma B</t>
  </si>
  <si>
    <t>UNet and Dense Extreme Inception Networks: A Unified Approach to Archaeological Artifact Drawing Generation</t>
  </si>
  <si>
    <t>https://ieeexplore.ieee.org/abstract/document/11005337</t>
  </si>
  <si>
    <t>https://ieeexplore.ieee.org/abstract/document/10969917</t>
  </si>
  <si>
    <t>ICCMC-2025</t>
  </si>
  <si>
    <t>Accepted    7/1/2025</t>
  </si>
  <si>
    <t>“WCE-BLEED-NET: A CONVOLUTIONAL NEURAL NETWORK
WITH ADAPTIVE ATTENTION MODULE FOR BLEEDING FRAME AND REGION DETECTION IN
WIRELESS CAPSULE ENDOSCOPY VIDEO”</t>
  </si>
  <si>
    <t>Presented-May-2025</t>
  </si>
  <si>
    <t>AI Driven Crop Classification and Yield Prediction Using Deep Learning</t>
  </si>
  <si>
    <t>Sutapa Sarkar</t>
  </si>
  <si>
    <t>ICESC 2025</t>
  </si>
  <si>
    <t>Sophiya Susan S</t>
  </si>
  <si>
    <t>ICSCSA- 2025</t>
  </si>
  <si>
    <t>ICSCSA- 2026</t>
  </si>
  <si>
    <t>IoT BASED SMART SHOPPING CART USING RFID</t>
  </si>
  <si>
    <t>Nandini Rao G</t>
  </si>
  <si>
    <t>Suryansh</t>
  </si>
  <si>
    <t>NMITCON</t>
  </si>
  <si>
    <t>Dr. Naveen Kumar G N</t>
  </si>
  <si>
    <t>16th ICCCNT 2025"</t>
  </si>
  <si>
    <t>GC4T-2025</t>
  </si>
  <si>
    <t>AI and ML-based Framework for Malware Detection in Cyber-Physical Contexts</t>
  </si>
  <si>
    <t>ICECCC, 2025</t>
  </si>
  <si>
    <t>SOFTWARE BASED PERFORMANCE EVALUATION OF DATA ENCRYPTION ALGORITHMS”</t>
  </si>
  <si>
    <t>Dr. Eisha Akanksha</t>
  </si>
  <si>
    <t xml:space="preserve">Taylor &amp; Francis </t>
  </si>
  <si>
    <t>Publiched in 2024</t>
  </si>
  <si>
    <t>https://drive.google.com/file/d/1PVj7WIGXk_FdHKOxr7HG9ni12X65fe1x/view?usp=sharing</t>
  </si>
  <si>
    <t>A DATA-DRIVEN APPROACH TO BANKRUPTCY PREDICTION USING MACHINE LEARNING</t>
  </si>
  <si>
    <t>Prof. Sachin, Dr. Susheel Kumar</t>
  </si>
  <si>
    <t>IEEE- ICANCS 2025</t>
  </si>
  <si>
    <t>IEEE -ICANCS 2025</t>
  </si>
  <si>
    <t>Deep Reinforcement Learning Driven Control and Optimization for Cyber-Physical System in Smart Manufacturing</t>
  </si>
  <si>
    <t>Anju Das</t>
  </si>
  <si>
    <t>CCPIS 2025</t>
  </si>
  <si>
    <t>Sutapa Sarkar, Monika Singh, K P Sharmila, M. Pappa,
Mahesh K. Jha</t>
  </si>
  <si>
    <t>ICICV 2025</t>
  </si>
  <si>
    <t>IoT-Based Cattle Monitoring</t>
  </si>
  <si>
    <t>Sridhar N</t>
  </si>
  <si>
    <t xml:space="preserve">ICECCC-2025 </t>
  </si>
  <si>
    <t>979-8-3315-2162-2.</t>
  </si>
  <si>
    <t>Design and Development of Quadruped Robot for Carrying and Operating Agro Tools in Agricultural Fields</t>
  </si>
  <si>
    <t>AUTOMATED HYDROPONIC VERTICAL FARMING USING IOT</t>
  </si>
  <si>
    <t>979-8-3315-3701-2</t>
  </si>
  <si>
    <t>https://doi.org/10.1109/ICKECS65700.2025.11035782</t>
  </si>
  <si>
    <t>Dr. Niranjan L</t>
  </si>
  <si>
    <t>Farm to Folk Using Machine Learning</t>
  </si>
  <si>
    <t>ISBN Number 979-8-3315-2162-2.</t>
  </si>
  <si>
    <t>ICCEECS-2025</t>
  </si>
  <si>
    <t>Optimizing Network Longevity: A Comprehensive Digital Cluster Approach for Enhanced Lifetime Efficiency in
Wireless Sensor Networks</t>
  </si>
  <si>
    <t>Dr Ramesh P</t>
  </si>
  <si>
    <t>MRIE 2025</t>
  </si>
  <si>
    <t>Optimizing Arrangement Hitches in Cloud Computing Using a Multi-Objective Improved Genetic Algorithm</t>
  </si>
  <si>
    <t>Accepted in May</t>
  </si>
  <si>
    <t>A Framework for Overloaded Host Detection and Scheduling Optimization in Cloud Environments</t>
  </si>
  <si>
    <t>Accepted in June</t>
  </si>
  <si>
    <t>An Enhanced Contextual and Sentiment-Aware Semantic Search in Social Media Text</t>
  </si>
  <si>
    <t>https://drive.google.com/file/d/1pirK0ekI1kWFmgA0EzA_eSy2gB0tjRyM/view?usp=sharing</t>
  </si>
  <si>
    <t>A Framework for Real-Time, Adaptive Mobile Agents for Data Aggregation in Edge Computing Environment.</t>
  </si>
  <si>
    <t>Accepted 25 May 2025</t>
  </si>
  <si>
    <t>Mr. Abdul Jabbar</t>
  </si>
  <si>
    <t>AI&amp;DS</t>
  </si>
  <si>
    <t>Research on Database Query Optimization using
Deep Q Networks based Decision Tree</t>
  </si>
  <si>
    <t>https://drive.google.com/drive/folders/1EiInRKfN3mq-Ig6ON6O6Q0iumAmofoeW</t>
  </si>
  <si>
    <t>CHEM</t>
  </si>
  <si>
    <t>In press, 10 July, 2024</t>
  </si>
  <si>
    <t>1875-6727</t>
  </si>
  <si>
    <t>10.2174/0115734110287874240629095513</t>
  </si>
  <si>
    <r>
      <rPr>
        <u/>
        <sz val="12"/>
        <color rgb="FF1155CC"/>
        <rFont val="Times New Roman"/>
      </rPr>
      <t>Volume 107</t>
    </r>
    <r>
      <rPr>
        <u/>
        <sz val="12"/>
        <color rgb="FF1F1F1F"/>
        <rFont val="Times New Roman"/>
      </rPr>
      <t>, 2024, Pages 183-230</t>
    </r>
  </si>
  <si>
    <t>0166-526X</t>
  </si>
  <si>
    <r>
      <rPr>
        <u/>
        <sz val="10"/>
        <color rgb="FF1155CC"/>
        <rFont val="Arial"/>
      </rPr>
      <t>https://doi.org/10.1016/bs.coac.2024.08.015</t>
    </r>
  </si>
  <si>
    <t>Dr. Priti Gupta</t>
  </si>
  <si>
    <t>Corrosion Inhibition Studies on Mild
Steel by Tetramethyl Ammonium
Bromide in Hydrochloric Acid Medium</t>
  </si>
  <si>
    <t>978-981-97-3958-5</t>
  </si>
  <si>
    <t>https://doi.org/10.1007/978-981-97-3958-5_13</t>
  </si>
  <si>
    <t>Dr. Varsha Brahmkhatri</t>
  </si>
  <si>
    <t>2731-9229</t>
  </si>
  <si>
    <t>https://link.springer.com/article/10.1186/s11671-024-04152-z</t>
  </si>
  <si>
    <t>ACS Chemical Neuroscience</t>
  </si>
  <si>
    <t>Published 18 December 2024</t>
  </si>
  <si>
    <t>1948-7193</t>
  </si>
  <si>
    <r>
      <rPr>
        <u/>
        <sz val="10"/>
        <color rgb="FF1155CC"/>
        <rFont val="Arial"/>
      </rPr>
      <t>https://pubs.acs.org/doi/10.1021/acschemneuro.4c00458</t>
    </r>
  </si>
  <si>
    <r>
      <rPr>
        <u/>
        <sz val="12"/>
        <color rgb="FF1155CC"/>
        <rFont val="Times New Roman"/>
      </rPr>
      <t>Volume 17</t>
    </r>
    <r>
      <rPr>
        <sz val="12"/>
        <color rgb="FF1F1F1F"/>
        <rFont val="Times New Roman"/>
      </rPr>
      <t>, February 2025, 100553</t>
    </r>
  </si>
  <si>
    <t>2772-4166</t>
  </si>
  <si>
    <r>
      <rPr>
        <u/>
        <sz val="10"/>
        <color rgb="FF1155CC"/>
        <rFont val="Arial"/>
      </rPr>
      <t>https://doi.org/10.1016/j.hazadv.2024.100553</t>
    </r>
  </si>
  <si>
    <r>
      <rPr>
        <u/>
        <sz val="12"/>
        <color rgb="FF1155CC"/>
        <rFont val="Times New Roman"/>
      </rPr>
      <t>Volume 140</t>
    </r>
    <r>
      <rPr>
        <sz val="12"/>
        <color rgb="FF1F1F1F"/>
        <rFont val="Times New Roman"/>
      </rPr>
      <t>, April 2025, 107161</t>
    </r>
  </si>
  <si>
    <t>1096-0481</t>
  </si>
  <si>
    <r>
      <rPr>
        <u/>
        <sz val="10"/>
        <color rgb="FF1155CC"/>
        <rFont val="Arial"/>
      </rPr>
      <t>https://doi.org/10.1016/j.jfca.2024.107161</t>
    </r>
  </si>
  <si>
    <t>Dr. I. Pakrudheen</t>
  </si>
  <si>
    <t>Published 6 February 2025.</t>
  </si>
  <si>
    <t>1873-3956</t>
  </si>
  <si>
    <r>
      <rPr>
        <u/>
        <sz val="10"/>
        <color rgb="FF1155CC"/>
        <rFont val="Arial"/>
      </rPr>
      <t>https://doi.org/10.1016/j.ceramint.2024.12.107</t>
    </r>
  </si>
  <si>
    <t xml:space="preserve">2772-4166
</t>
  </si>
  <si>
    <r>
      <rPr>
        <u/>
        <sz val="10"/>
        <color rgb="FF1155CC"/>
        <rFont val="Arial"/>
      </rPr>
      <t>https://doi.org/10.1016/j.hazadv.2025.100736</t>
    </r>
  </si>
  <si>
    <t xml:space="preserve">Dr Prabhat Gautum </t>
  </si>
  <si>
    <t>Q3/Scopus</t>
  </si>
  <si>
    <t>0019-5596</t>
  </si>
  <si>
    <t>https://doi.org/10.56042/ijpap.v63i5.18117</t>
  </si>
  <si>
    <r>
      <rPr>
        <u/>
        <sz val="10"/>
        <color rgb="FF1155CC"/>
        <rFont val="Arial"/>
      </rPr>
      <t>https://doi.org/10.1002/9781394287697.ch3</t>
    </r>
  </si>
  <si>
    <t xml:space="preserve">Dr Suvitha A </t>
  </si>
  <si>
    <t>Published 24 September 2024</t>
  </si>
  <si>
    <t>https://link.springer.com/article/10.1007/s10854-024-13512-5</t>
  </si>
  <si>
    <t xml:space="preserve">Dr S S Hegde </t>
  </si>
  <si>
    <t>Published 9 October 2024</t>
  </si>
  <si>
    <t>1879-0259</t>
  </si>
  <si>
    <t>https://www.sciencedirect.com/science/article/abs/pii/S1387700324012656</t>
  </si>
  <si>
    <t>Dr. S S Hegde</t>
  </si>
  <si>
    <t>Remarkable NH3 gas sensing performance of spray deposited Tb doped WO3
thin films at room temperature</t>
  </si>
  <si>
    <t>Published 19 October 2024</t>
  </si>
  <si>
    <t>1873-2666</t>
  </si>
  <si>
    <t>https://doi.org/10.1016/j.jphotochem.2024.116087</t>
  </si>
  <si>
    <t>Dr. M. Antony Lilly Grace</t>
  </si>
  <si>
    <t>Bulletin of Materials Science</t>
  </si>
  <si>
    <t>Fabrication of Ag injection in Bi2S3 (AgBiS2) thin films for photoelectrochemical cell applications</t>
  </si>
  <si>
    <t>Published 23 August 2024</t>
  </si>
  <si>
    <t>0973-7669</t>
  </si>
  <si>
    <t>https://doi.org/10.1007/s12034-024-03290-5</t>
  </si>
  <si>
    <t>Dr.A.Suvitha</t>
  </si>
  <si>
    <t>1867-4941</t>
  </si>
  <si>
    <t>https://link.springer.com/chapter/10.1007/978-3-031-69970-2_13</t>
  </si>
  <si>
    <t>https://link.springer.com/chapter/10.1007/978-3-031-69970-2_8</t>
  </si>
  <si>
    <t>1742-6596</t>
  </si>
  <si>
    <t>https://iopscience.iop.org/article/10.1088/1742-6596/2886/1/012010</t>
  </si>
  <si>
    <t>https://iopscience.iop.org/article/10.1088/1742-6596/2886/1/012009</t>
  </si>
  <si>
    <t xml:space="preserve">Dr.Suvitha A </t>
  </si>
  <si>
    <t>1735-2428</t>
  </si>
  <si>
    <r>
      <rPr>
        <u/>
        <sz val="10"/>
        <color rgb="FF1155CC"/>
        <rFont val="Arial"/>
      </rPr>
      <t>https://doi.org/10.1007/s13738-024-03145-0</t>
    </r>
  </si>
  <si>
    <t>Appl. Phys. A</t>
  </si>
  <si>
    <t>Remarkable fast-response visible light photodetectors based on SnS thin films on silicon substrates</t>
  </si>
  <si>
    <t>1432-0630</t>
  </si>
  <si>
    <r>
      <rPr>
        <u/>
        <sz val="10"/>
        <color rgb="FF1155CC"/>
        <rFont val="Arial"/>
      </rPr>
      <t>https://doi.org/10.1007/s00339-024-08189-w</t>
    </r>
  </si>
  <si>
    <t>Optical Materials</t>
  </si>
  <si>
    <t>1873-1252</t>
  </si>
  <si>
    <t>https://www.sciencedirect.com/science/article/abs/pii/S0925346725002630</t>
  </si>
  <si>
    <t>Frontiers in Toxicology</t>
  </si>
  <si>
    <t>2673-3080</t>
  </si>
  <si>
    <t>Heterocyclic Letters</t>
  </si>
  <si>
    <t>Dihydo isoxazole scaffolds: Design, Synthesis and Biological evolution</t>
  </si>
  <si>
    <t>2231–3087</t>
  </si>
  <si>
    <t>https://drive.google.com/file/d/1A1VrBOvOYjbaSnDm5wQzkk6JTl3r4FGi/view?usp=drive_link</t>
  </si>
  <si>
    <t>Sudarshana R</t>
  </si>
  <si>
    <t>Yes
B Divyashree( 6th sem ECE)</t>
  </si>
  <si>
    <t xml:space="preserve"> 1061-3862</t>
  </si>
  <si>
    <t>https://drive.google.com/drive/folders/15PXlCNveHApEzOX1RuvDuKKgxcYdZfVl?usp=drive_link</t>
  </si>
  <si>
    <t>Materials Chemistry and Physics</t>
  </si>
  <si>
    <t>Enhanced oxygen ion conductivity in La2Zr2-xTixO7 based pyrochlore electrolyte for intermediate temperature solid oxide fuel cell fabrication</t>
  </si>
  <si>
    <r>
      <rPr>
        <u/>
        <sz val="10"/>
        <color rgb="FF1155CC"/>
        <rFont val="Arial"/>
      </rPr>
      <t>https://doi.org/10.1016/j.matchemphys.2025.131188</t>
    </r>
  </si>
  <si>
    <t>Dr. Prabhat Gautam</t>
  </si>
  <si>
    <t>Rasayan J. Chem.</t>
  </si>
  <si>
    <t>Tuning the properties of push-pull molecuar systems via  fluorine (F), trifluoromethyl (CF3) and
pentafluorosulfanyl (SF5) group substitution</t>
  </si>
  <si>
    <t>June 2025 (Accepted)</t>
  </si>
  <si>
    <t>ISSN: 0974-1496(Print)
ISSN: 0976-0083(Online)</t>
  </si>
  <si>
    <r>
      <rPr>
        <sz val="10"/>
        <rFont val="Arial"/>
      </rPr>
      <t xml:space="preserve">Accepted: 
</t>
    </r>
    <r>
      <rPr>
        <u/>
        <sz val="10"/>
        <color rgb="FF000000"/>
        <rFont val="Arial"/>
      </rPr>
      <t xml:space="preserve">
https://drive.google.com/drive/folders/1sqomThjYS-oJMFahuq9_9Z0hQ9TLCzXg?usp=sharing</t>
    </r>
  </si>
  <si>
    <t>https://iopscience.iop.org/article/10.1088/1402-4896/ad8c01</t>
  </si>
  <si>
    <t>Sushma T V</t>
  </si>
  <si>
    <t>ICBMESH2025</t>
  </si>
  <si>
    <t>Cardiothoracic ratio for Congenital Heart Disease Detection using Deep learning</t>
  </si>
  <si>
    <t>Accepted March 2025</t>
  </si>
  <si>
    <t>https://drive.google.com/file/d/1pRAC7YffXF1tmbPxit2tXC8FVjkUpIE3/view?usp=drive_link</t>
  </si>
  <si>
    <t>https://drive.google.com/drive/u/0/folders/1iZj2sTu2uQaGZvJFDMImshR5c7lDG7d1</t>
  </si>
  <si>
    <r>
      <rPr>
        <b/>
        <u/>
        <sz val="11"/>
        <color rgb="FF1155CC"/>
        <rFont val="Calibri"/>
      </rPr>
      <t>S.No</t>
    </r>
    <r>
      <rPr>
        <b/>
        <sz val="11"/>
        <color theme="1"/>
        <rFont val="Calibri"/>
      </rPr>
      <t>.</t>
    </r>
  </si>
  <si>
    <t>Patent Application No.</t>
  </si>
  <si>
    <t>Status of Patent (Published / Granted)</t>
  </si>
  <si>
    <t>Title of the Patent</t>
  </si>
  <si>
    <t xml:space="preserve">   Published proof link</t>
  </si>
  <si>
    <t>422112-001</t>
  </si>
  <si>
    <t>Design grant</t>
  </si>
  <si>
    <t>Hanumantha Ravi, K.Meenakshi</t>
  </si>
  <si>
    <t>Mat</t>
  </si>
  <si>
    <t>Educational Toy</t>
  </si>
  <si>
    <t>Hanumantha Ravi, K.Meenakshi, CMRIT</t>
  </si>
  <si>
    <t>https://drive.google.com/file/d/1_acHJucvUnNODfV7RmoN_vCDEEQ2-ByU/view?usp=sharing</t>
  </si>
  <si>
    <t>Two-in-one Mechanical Pencil</t>
  </si>
  <si>
    <t>Balaji C, CMRIT</t>
  </si>
  <si>
    <t>23/09//2024</t>
  </si>
  <si>
    <t>https://drive.google.com/file/d/1owEMsOp4u_tHNjWVaHNDJYz_xMo23hUY/view?usp=drive_link</t>
  </si>
  <si>
    <t>Filed</t>
  </si>
  <si>
    <t>Dr. Parthasarathy P &amp; Dr. Venkatesh M</t>
  </si>
  <si>
    <t>Hydrazine-Assisted Synthesis of High Performance MXene/rGO Nanocomposites</t>
  </si>
  <si>
    <t>Dr. Parthasarathy P, Dr. Venkatesh M, CMRIT</t>
  </si>
  <si>
    <t>20/09/2024</t>
  </si>
  <si>
    <t>Dr. Venkatesh M &amp; Dr. Parthasarathy P</t>
  </si>
  <si>
    <t>Graphene Nanogrid FET Biosensors for Ultra
Low Viral Protein Detection</t>
  </si>
  <si>
    <t>Dr. Venkatesh M, Dr. Parthasarathy P, CMRIT</t>
  </si>
  <si>
    <t>KASHIF AHMED</t>
  </si>
  <si>
    <t>SUN TRACKING SOLAR TREE</t>
  </si>
  <si>
    <t>28-06-2024</t>
  </si>
  <si>
    <t>published</t>
  </si>
  <si>
    <t>Mrs. KANIKA AGRAWAL</t>
  </si>
  <si>
    <t>AI-ASSISTED LOW CARBON FOOTPRINT CONCRETE MIXTURES FOR SUSTAINABLE CONSTRUCTION</t>
  </si>
  <si>
    <t>29/08/2024</t>
  </si>
  <si>
    <t>https://drive.google.com/file/d/1Wdt3kVOAWrNxxvh8mYOUhXsK8WThjnMf/view?usp=sharing</t>
  </si>
  <si>
    <t xml:space="preserve">Filed </t>
  </si>
  <si>
    <t>Prof. Vyshali Rao K P, Mr. Chethan B, Mr. Navneethram V K</t>
  </si>
  <si>
    <t>Pneumatically Cleanable Railbin</t>
  </si>
  <si>
    <t>Prof. Vyshali Rao K P, Mr. Chethan B, Mr. Navneethram V K, CMRIT</t>
  </si>
  <si>
    <t>27/09/2024</t>
  </si>
  <si>
    <t>EcoFynd Biodegradable Twine</t>
  </si>
  <si>
    <t>Organic Care Body Brush</t>
  </si>
  <si>
    <t>M_Patent</t>
  </si>
  <si>
    <t>Predictive Maintenance and Defect Analysis System for Electronic Gadgets using Explainable AI(XAI)</t>
  </si>
  <si>
    <t>M Patent_ 2024-Aug-ISE-T002</t>
  </si>
  <si>
    <t>DR. M. Poorani</t>
  </si>
  <si>
    <t>Portable Step stool - An Enhanced Footrest</t>
  </si>
  <si>
    <t>https://drive.google.com/drive/folders/1GNPti1g5ixRy9ml7w0QAqCPKxBDHHV76?usp=sharing</t>
  </si>
  <si>
    <t>Smart Mobility Support for Senior Citizens</t>
  </si>
  <si>
    <t>https://drive.google.com/drive/folders/1vxdfjV6yoRSo8RxpdWkTogccxP5d655p?usp=sharing</t>
  </si>
  <si>
    <t xml:space="preserve">Dr. Geetanjali </t>
  </si>
  <si>
    <t>PROCESSOR ARCHITECTURE FOR
DIFFERENTIABLE AUTONOMOUS
DRIVING</t>
  </si>
  <si>
    <t>12.9.2024</t>
  </si>
  <si>
    <t>https://drive.google.com/drive/folders/1JZ5j_zX4rRXCiTimjyJEqlWf-md_3Nz-</t>
  </si>
  <si>
    <t>Shilpa Mangesh Pande</t>
  </si>
  <si>
    <t>IntelliPack- A Smart School Bag</t>
  </si>
  <si>
    <t>13/12/2024</t>
  </si>
  <si>
    <t>2024-Dec-ISE-T004</t>
  </si>
  <si>
    <t>Dhivya.R,CMRI</t>
  </si>
  <si>
    <t>IoT-Based Emergency Vehicle Sound Detection and Traffic Signal Preemption Using Artificial Intelligence for Prioritization</t>
  </si>
  <si>
    <t>https://drive.google.com/drive/folders/11dJ55EgEPYYtjEPYMLFVLy5aeznDWCAV?usp=drive_link</t>
  </si>
  <si>
    <t>Method to detect the presence of a device with wireless
communication capability</t>
  </si>
  <si>
    <t>Preethi A, CMRIT</t>
  </si>
  <si>
    <t>22/11/2024</t>
  </si>
  <si>
    <t>Dr Meenakshi R Patil,Dr Richa Tengshe, Dr Sridevi S</t>
  </si>
  <si>
    <t>Wearable sensor based Foetus Health Monitoring Device</t>
  </si>
  <si>
    <t>Dr Meenakshi Patil</t>
  </si>
  <si>
    <t>Dr. Srividya R</t>
  </si>
  <si>
    <t xml:space="preserve">AN INNOVATIVE AUTOMATED WASTE SEGREGATOR POWERED USING RENEWABLE RESOURCE </t>
  </si>
  <si>
    <t>17/12/24</t>
  </si>
  <si>
    <t>M-PATENT(2024-Dec-ISE-T001)</t>
  </si>
  <si>
    <t>filed</t>
  </si>
  <si>
    <t>Dr. Venkatesh Naik</t>
  </si>
  <si>
    <t xml:space="preserve">Telescope pole chainsaw for easy cocunut plucking </t>
  </si>
  <si>
    <t>https://drive.google.com/drive/u/1/folders/1AWvfhGWIQQcdRhZCfld41Cdv6Ko4pjHF</t>
  </si>
  <si>
    <t xml:space="preserve">Nidhi Joshi Parsai </t>
  </si>
  <si>
    <t>Iot driven Tamper evident sealing and monitoring syetem for secure pckage delivery system</t>
  </si>
  <si>
    <t>27/12/2024</t>
  </si>
  <si>
    <t>30/01/2025</t>
  </si>
  <si>
    <t>M_Patent (2024-Dec-ISE-T007)</t>
  </si>
  <si>
    <t>Dr S.Vijayalakshmi</t>
  </si>
  <si>
    <t>Next-Generation Smart Water Bottle: AI-Driven Hydration bottle</t>
  </si>
  <si>
    <t>17.12.2024</t>
  </si>
  <si>
    <t>Anshika Shukla, Priyanka.S.Talekar</t>
  </si>
  <si>
    <t>DUAL-MODEL DRIVER DROWSINESS DETECTION SYSTEM USING VOICE AND EYE TRACKING</t>
  </si>
  <si>
    <t>18.10.2024</t>
  </si>
  <si>
    <t>Priyanka.S.Talekar, Anshika Shukla</t>
  </si>
  <si>
    <t>REAL TIME POTHOLE DEPTH-WIDTH DETECTION USING SONAR(SOUND NAVIGATION AND RANGING) TECHNOLOGY ON WATER</t>
  </si>
  <si>
    <t>7.11.2024</t>
  </si>
  <si>
    <t>IOT BASED VOICE ASSISTANT EDUCATING DEVICE FOR VISUALLY IMPAIRED STUDENTS</t>
  </si>
  <si>
    <t>2.12.2024</t>
  </si>
  <si>
    <t xml:space="preserve"> Dr. Viji K, Dr. Chitra K</t>
  </si>
  <si>
    <t xml:space="preserve">	A DC-Microgrid connected fast electric vehicle charging system</t>
  </si>
  <si>
    <t>28/12/2024</t>
  </si>
  <si>
    <t>Prof. Ashutosh Srivastava
Dr. P Susheelkumar P</t>
  </si>
  <si>
    <t>Low-Power Versatile Capacitive Sensor with RFID for Reliable Performance in Variable Conditions</t>
  </si>
  <si>
    <t>Prof. Ashutosh Srivastava
Dr. P Susheelkumar P
CMRIT</t>
  </si>
  <si>
    <t>17/12/2024</t>
  </si>
  <si>
    <t xml:space="preserve">
Dr. P Susheelkumar P , Prof. Ashutosh Srivastava</t>
  </si>
  <si>
    <t>High Gain andMore ResponsiveError-FreeInductive Sensor inVariableEnvironmentalConditions</t>
  </si>
  <si>
    <t>17/01/2025</t>
  </si>
  <si>
    <t>Gomathi T, Dhivya R, CMRIT</t>
  </si>
  <si>
    <t>CellThermaSync</t>
  </si>
  <si>
    <t>23/12/2024</t>
  </si>
  <si>
    <t>Daya Rameshbhai Thummar</t>
  </si>
  <si>
    <t>Solar-Powered Drip Irrigation System with Dual Modes for Indoor and Outdoor Plants</t>
  </si>
  <si>
    <t>Daya Rameshbhai Thummar,CMRIT</t>
  </si>
  <si>
    <t>Smart Animal Deterrent system for farmland</t>
  </si>
  <si>
    <t>K.Rajalakshmi,CMRIT</t>
  </si>
  <si>
    <t>30/12/2024</t>
  </si>
  <si>
    <t>Prof. Anaswara Venunath</t>
  </si>
  <si>
    <t>Smart Pen for scanning handwritten text with Real time meaning and translation</t>
  </si>
  <si>
    <t>https://drive.google.com/drive/folders/1natnJWJqYpkprUJzLKDk1VYXMbSHBeBB?usp=drive_link</t>
  </si>
  <si>
    <t>Prof. Apurva Chaudhari</t>
  </si>
  <si>
    <t>Wearable Hand Band with Long Flexible Bending Wire and Universal Phone Holder</t>
  </si>
  <si>
    <t>13/02/2025</t>
  </si>
  <si>
    <t>Mandatory Patent</t>
  </si>
  <si>
    <t>ANN MATHEWS</t>
  </si>
  <si>
    <t>Intelligent Vision Suport for Visually Impaired</t>
  </si>
  <si>
    <t>26/12/2024</t>
  </si>
  <si>
    <t>PERSONALIZED AUTOMATIC ELEVATOR EXPERIENCE SYSTEM USING BIOMETRIC/SMARTCARDS</t>
  </si>
  <si>
    <t>NOVY JACOB, NAVYA V.K</t>
  </si>
  <si>
    <t>Adaptive AI-Driven Smart Charging Network for Electric Vehicles with Dynamic Energy Redistribution</t>
  </si>
  <si>
    <t>21/01/2025</t>
  </si>
  <si>
    <t>Filled</t>
  </si>
  <si>
    <t xml:space="preserve">AI-Powered IOT devices for predictive maintenance in smart cities </t>
  </si>
  <si>
    <t>Additional Patent (2025-Feb-ISE-T002)</t>
  </si>
  <si>
    <t>Dr.KAVITHA.D, Dr.Meenakshi Patil</t>
  </si>
  <si>
    <t>Voice controlled home automation system using NLP</t>
  </si>
  <si>
    <t>25/1/2025</t>
  </si>
  <si>
    <t>Wearable blood leak detector during haemodialysis</t>
  </si>
  <si>
    <t>Nandini Rao G , Prof. Ashutosg Srivastava</t>
  </si>
  <si>
    <t>Dr.Ananth Kumar M.S. &amp; Dr. Niranjan L</t>
  </si>
  <si>
    <t>Smart Helmet
with Wind-SpeedActivated Visor
Mechanism.</t>
  </si>
  <si>
    <t>18-01-2025</t>
  </si>
  <si>
    <t>A naked eye cancer cells detection system and implementation method with a defect-based 2D photonic crystal structure</t>
  </si>
  <si>
    <t>09.01.2025</t>
  </si>
  <si>
    <t>Pooja Goud,Ranjini K</t>
  </si>
  <si>
    <t>“Smart tag enabled Blanket system for theft detection in Indian Railway AC Coaches”</t>
  </si>
  <si>
    <t>Smart Attendance System using Multi-Face Recognition for Cohort Attendance Automation</t>
  </si>
  <si>
    <t>14/02/2025</t>
  </si>
  <si>
    <t>202441071247 A</t>
  </si>
  <si>
    <t>INTELLIGENT HYDROPONIC FARMING WITH IOT-DRIVEN SENSOR DATA ANALYSIS</t>
  </si>
  <si>
    <t>Madhu G.C, CMRIT</t>
  </si>
  <si>
    <t>Dr. saba tahseen</t>
  </si>
  <si>
    <t>Smart Agricultural Drone System for Precision Farming</t>
  </si>
  <si>
    <t>Dr. saba Tahsee, CMRIT</t>
  </si>
  <si>
    <t>`31/12/2024</t>
  </si>
  <si>
    <t>Anaswara Venunadh, Vijayasanthi,Suruchi</t>
  </si>
  <si>
    <t>Automatic Table Cleaner using UV Light Sterilization</t>
  </si>
  <si>
    <t>14/03/25</t>
  </si>
  <si>
    <t>28/03/2025</t>
  </si>
  <si>
    <t>2025-Jan-ISE-I002</t>
  </si>
  <si>
    <t>IoT-Enabled, AI-Driven Integrated System for Real-Time Blood Management, Ambulance Navigation, and Dynamic Traffic Control in Emergency Medical Services</t>
  </si>
  <si>
    <t>451462-001</t>
  </si>
  <si>
    <t xml:space="preserve">V.Ilango,K.Venkateswaran,SRIDHAR N,Panchikattil
Susheelkumar
Sreedharan
</t>
  </si>
  <si>
    <t>Spraying Machine</t>
  </si>
  <si>
    <t>SRIDHAR N</t>
  </si>
  <si>
    <t>Keka Mukhopadhyaya</t>
  </si>
  <si>
    <t>IOT BASED DEVICE FOR RAIN AND SUN SHADE</t>
  </si>
  <si>
    <t>Keka Mukhopadhyaya,CMRIT</t>
  </si>
  <si>
    <t>REAL-TIME FETALAND MATERNAL HEALTH
MONITORING WITH INTEGRATED WEARABLE
DEVICE</t>
  </si>
  <si>
    <t>Dr. Naveen Kumar G N, CMRIT</t>
  </si>
  <si>
    <t>Smart bed monitoring the sleep cycles and various health metrics display</t>
  </si>
  <si>
    <t>2024-Aug-ISE-T007</t>
  </si>
  <si>
    <t>K ABHIJITH SARALAYA</t>
  </si>
  <si>
    <t>AI-OPTIMIZED METHOD FOR PRODUCING CARBON NANOTUBES
FROM PLASTIC WASTE USING THERMAL DECOMPOSITION</t>
  </si>
  <si>
    <t>16-08-2024</t>
  </si>
  <si>
    <t>14-03-2025</t>
  </si>
  <si>
    <t>LINK PROOF</t>
  </si>
  <si>
    <t>Kanika Agrawal</t>
  </si>
  <si>
    <t>Blockchain-Enabled Solution for Safeguarding
 Health Records.</t>
  </si>
  <si>
    <t>https://drive.google.com/drive/folders/1iVseuRNRbdfo_6p0-MC42sY9EXbfMwL8?usp=sharing</t>
  </si>
  <si>
    <t>Eco friendly yoga mats with water hyacinth</t>
  </si>
  <si>
    <t>Patent</t>
  </si>
  <si>
    <t>SMART ADAPTIVE DETACHABLE AUTOMATED SPIKES SOLE FOR HIKING AND TREKKING SHOES</t>
  </si>
  <si>
    <t>14/03/2025</t>
  </si>
  <si>
    <t>MAndatory_Patent_2024-25</t>
  </si>
  <si>
    <t>“ NECKBAND WITHOUT EARPIECES
 THAT SHOOTS DIRECTED SOUND ”</t>
  </si>
  <si>
    <t>Smart IoT Spike Buster</t>
  </si>
  <si>
    <t>17/03/2025</t>
  </si>
  <si>
    <t>acknowledgement.pdf</t>
  </si>
  <si>
    <t xml:space="preserve">Ms Rencita Maria Colaco </t>
  </si>
  <si>
    <t>RightWrite Slate: Intelligent Handwriting Assistant</t>
  </si>
  <si>
    <t xml:space="preserve">Rencita Maria Colaco </t>
  </si>
  <si>
    <t>28/3/2025</t>
  </si>
  <si>
    <t>https://drive.google.com/drive/u/0/folders/1aSYBDYtFpQwp-Hqw2xEcBnPH8o7arzU2</t>
  </si>
  <si>
    <t>Dr Sam Gilvine</t>
  </si>
  <si>
    <t>Dynamic AI-Powered Smart Pricing System with Raspberry Pi or Retail Optimization</t>
  </si>
  <si>
    <t>https://drive.google.com/drive/u/0/folders/1R500f51SPPxcZfza8-MDdYtT_ksGF2wz</t>
  </si>
  <si>
    <t>Dr Sam Gilvine                         (Extra for 2025-2026)</t>
  </si>
  <si>
    <t>GrowBot: Smart AI for Effortless Indoor Gardening</t>
  </si>
  <si>
    <t>16/03/2025</t>
  </si>
  <si>
    <t>https://drive.google.com/drive/u/0/folders/1WGmCEeC_cPweGTsnMP6JeJk5krBgPQIh</t>
  </si>
  <si>
    <t>SmartPuff: AI Pillow for Posture, Snore, and Sleep Quality Detection</t>
  </si>
  <si>
    <t>Dr. Rinisha Bagaria</t>
  </si>
  <si>
    <t>26/06/2025</t>
  </si>
  <si>
    <t>https://drive.google.com/drive/u/0/folders/1dVsUk8rDOFsrhxfY9fz5dqM3pNWlZkOG</t>
  </si>
  <si>
    <t>Vijay Anand P</t>
  </si>
  <si>
    <t>Intelligent IoT-Enabled Heel Rehabilitation System with AI-Based Predictive Recovery Analysis</t>
  </si>
  <si>
    <t>17.6.25</t>
  </si>
  <si>
    <t>https://drive.google.com/drive/folders/1kT6Ym5Bd5M0MDGxOKqGAhKGsl35fj3EE?usp=drive_link</t>
  </si>
  <si>
    <t>Vedashree L V</t>
  </si>
  <si>
    <t>Sliding Window with Integrated Dust-Removal Fiber Spring</t>
  </si>
  <si>
    <t>https://drive.google.com/drive/folders/1ygwWb8WQWx0lPM9580xbg3CUzzDroMJZ?usp=drive_link</t>
  </si>
  <si>
    <t>Ms Pratimarani</t>
  </si>
  <si>
    <t>Smart Neckband for Real Time Posture Correction</t>
  </si>
  <si>
    <t>https://drive.google.com/drive/u/0/folders/1mIi_dpGn1vUNhrTekZ_o-K2wrM7yFht1</t>
  </si>
  <si>
    <t>202441050598A</t>
  </si>
  <si>
    <t>Ms. Jareena Begum (no RCID)</t>
  </si>
  <si>
    <t>Smart Locker System using dactylogram</t>
  </si>
  <si>
    <t>Ms. Jareena Begum</t>
  </si>
  <si>
    <t>https://drive.google.com/drive/u/0/folders/1V4sDRE6s35q4euhUDK-oK932i-hiKlqJ</t>
  </si>
  <si>
    <t>Ms. Vidhyavathi Kotha (no RCID)</t>
  </si>
  <si>
    <t>AI based organic Waste Composer</t>
  </si>
  <si>
    <t>Ms. Vidhyavathi Kotha</t>
  </si>
  <si>
    <t>https://drive.google.com/drive/folders/1X5eaOHdWGmIpir-7btwPsO8iwiYudDl0?usp=drive_link</t>
  </si>
  <si>
    <t>448996-001</t>
  </si>
  <si>
    <t>K.Meenakshi</t>
  </si>
  <si>
    <t>Stress detection device</t>
  </si>
  <si>
    <t>Meenakshi, Hnaumantha Ravi, Akshit Srijan</t>
  </si>
  <si>
    <t>22.02.2025</t>
  </si>
  <si>
    <t>https://drive.google.com/file/d/1VgyLPrjylvRSCvSvrMQUPMhE2GmfTAKx/view?usp=drive_link</t>
  </si>
  <si>
    <t>457879-001</t>
  </si>
  <si>
    <t>Dr.K Meenakshi and Karthikaa Sathesh</t>
  </si>
  <si>
    <t>Social Phone</t>
  </si>
  <si>
    <t>2024-Nov-BS-T001.pdf</t>
  </si>
  <si>
    <t>SELF HEATING BOTTLE USING BATTERY FOR LIQUIDS</t>
  </si>
  <si>
    <t>P.Kavitha</t>
  </si>
  <si>
    <t>15/04/2025</t>
  </si>
  <si>
    <t>Mandatory_Patent (2025-Feb-ISE-T003)</t>
  </si>
  <si>
    <t>Dr.Gnaneswari. G, CMRIT</t>
  </si>
  <si>
    <t>Eye Gestures based interaction with smart watch UI using smart glasses</t>
  </si>
  <si>
    <r>
      <rPr>
        <u/>
        <sz val="10"/>
        <color rgb="FF1155CC"/>
        <rFont val="Arial"/>
      </rPr>
      <t>https://drive.google.com/file/d/1O74nawh67xpn-wItq2KCfwVaUbXL1Fyn/view?usp=sharing</t>
    </r>
  </si>
  <si>
    <t>I Load</t>
  </si>
  <si>
    <t>Emotion-Aware VR Systems for Integrating Adaptive Virtual Environments with Hardware-Aligned Surroundings</t>
  </si>
  <si>
    <r>
      <rPr>
        <u/>
        <sz val="10"/>
        <color rgb="FF1155CC"/>
        <rFont val="Arial"/>
      </rPr>
      <t>https://drive.google.com/file/d/1vbqt_-tTyQQ38vN2ZgvY11ryAOGrNN0Z/view?usp=sharing</t>
    </r>
  </si>
  <si>
    <t>M Load</t>
  </si>
  <si>
    <t>Pooja S, CMRIT</t>
  </si>
  <si>
    <t>AI-integrated Personalized Monitoring for Migraine Management</t>
  </si>
  <si>
    <r>
      <rPr>
        <u/>
        <sz val="10"/>
        <color rgb="FF1155CC"/>
        <rFont val="Arial"/>
      </rPr>
      <t>https://drive.google.com/file/d/1VsXZR2mU_ODkwR7LWFyN0yFEtPCMf8IO/view?usp=sharing</t>
    </r>
  </si>
  <si>
    <t>IoT-Driven Adaptive Summarization for Diverse Cognitive Needs</t>
  </si>
  <si>
    <t>13/5/2025</t>
  </si>
  <si>
    <r>
      <rPr>
        <u/>
        <sz val="10"/>
        <color rgb="FF1155CC"/>
        <rFont val="Arial"/>
      </rPr>
      <t>https://drive.google.com/file/d/1-ds4bqycDFOG2oEP8hu01ut4ENUSIW19/view?usp=sharing</t>
    </r>
  </si>
  <si>
    <t>Portable Digital Board Game Tabletop Projector</t>
  </si>
  <si>
    <t>17/04/2025</t>
  </si>
  <si>
    <t>1.  Dr. Sanchari Saha, 
2.	Aakarsh Divyam, 
3.	Anant Kumar Gupta 
4.	Ananya A Sai</t>
  </si>
  <si>
    <t>A Sensor-Driven Hydration System with Real-Time Feedback for Optimal Water Intake</t>
  </si>
  <si>
    <t>22.4.2025</t>
  </si>
  <si>
    <t>Context-Aware Mood Sensing Smart Home System with Multi-Device Control and Voice Integration Based on Full-Face Recognition</t>
  </si>
  <si>
    <t>28/4/2025</t>
  </si>
  <si>
    <t>1.Dr Chandrika,
2.Dr. Rajesh
3.Amrutha A
4.Nischitha
5.Neha A</t>
  </si>
  <si>
    <t>Energize your Mind Stay sharp in the Class</t>
  </si>
  <si>
    <t>Chandrika -CMRIT</t>
  </si>
  <si>
    <t>24/03/2025</t>
  </si>
  <si>
    <t>https://drive.google.com/drive/u/1/folders/1hIVa7l8CnhptIXFP__T1ulNStelOq77o</t>
  </si>
  <si>
    <t>Varsha Jituri</t>
  </si>
  <si>
    <t>Automated Self-Cleaning Mechanism for Solar Panels Using Passive and Active Hybrid Systems</t>
  </si>
  <si>
    <t>19/05/2025</t>
  </si>
  <si>
    <t>M_patent(2025-May-ISE-T001)</t>
  </si>
  <si>
    <t>OnePulse: Single handed gamingcontroller device</t>
  </si>
  <si>
    <t>Anaswara Venunadh,Sajal Kumar,Utkarsh Sharma,Vijay Shankar,Sameer Khan,Sushant Dhakal,Tanmay Raj</t>
  </si>
  <si>
    <t>2025-May-ISE-I001</t>
  </si>
  <si>
    <t>PORTABLE SOLAR PANEL TARP FOR TREKKING AND AGRICULTURAL
APPLICATIONS</t>
  </si>
  <si>
    <t>28/05/2025</t>
  </si>
  <si>
    <t>M_Patent(2024-Dec-ISE-T002)</t>
  </si>
  <si>
    <t>Dr.Ciyamala kushbu S</t>
  </si>
  <si>
    <t>INJECTP</t>
  </si>
  <si>
    <t>M_Patent (2024-Dec-ISE-T005)</t>
  </si>
  <si>
    <t>202541009055</t>
  </si>
  <si>
    <t>K Komala Devi</t>
  </si>
  <si>
    <t>AI Powered Multi-Crop Intercropping Recommendations for small scale farmers</t>
  </si>
  <si>
    <t>Komala Devi</t>
  </si>
  <si>
    <t>2025-Jan-ISE-T003</t>
  </si>
  <si>
    <t>Ranjini K, Pooja Goud</t>
  </si>
  <si>
    <t>Equipment for Separating Jowar Stems and Panicles During Harvest</t>
  </si>
  <si>
    <t>24/02/2025</t>
  </si>
  <si>
    <t>System and Method for Predicting Tree Uprooting Timeline for Roadside Safety Management</t>
  </si>
  <si>
    <t>13/06/2025</t>
  </si>
  <si>
    <t>Sensor Driven Solar Panel Cleaning</t>
  </si>
  <si>
    <t>S Hiten,Saket Kumar,Rohit Kumar,Rohit N Naik,Rohan Kumar Jha</t>
  </si>
  <si>
    <t>20/02/2025</t>
  </si>
  <si>
    <t>2024-Dec-ISE-T012</t>
  </si>
  <si>
    <t>Adaptive Wearable Device for Personalized Health Monitoring and Therapy</t>
  </si>
  <si>
    <t>14/6/2025</t>
  </si>
  <si>
    <t>Multipurpose Lightweight Hybrid UAV with AI Enhanced UAV network</t>
  </si>
  <si>
    <t>16/06/25</t>
  </si>
  <si>
    <t>Ch.Manasa</t>
  </si>
  <si>
    <t>Interactive Learning Pen</t>
  </si>
  <si>
    <t>17/6/2025</t>
  </si>
  <si>
    <t>M_Patent(2024-Dec-ISE-T010)</t>
  </si>
  <si>
    <t>M load</t>
  </si>
  <si>
    <t>Prof.Vijayasanthi</t>
  </si>
  <si>
    <t>AI-ENHANCED IOT FRAMEWORK FOR REAL-TIME STRAWBERRY DISEASE DIAGNOSIS AND PREVENTION</t>
  </si>
  <si>
    <t>22/10/2024</t>
  </si>
  <si>
    <t>25/10/2024</t>
  </si>
  <si>
    <t>M_Patent(2024-Oct-ISE-T001)</t>
  </si>
  <si>
    <t>Dr.Suruchi</t>
  </si>
  <si>
    <t>Machine Learning-Based Automated Sorting and Grading Systemfor Post-Harvest Processing</t>
  </si>
  <si>
    <t>2025-Mar-ISE-T003</t>
  </si>
  <si>
    <t>The adjustable SmartScan Bookmark</t>
  </si>
  <si>
    <t>M_patent(2025-Jan-ISE-I001)</t>
  </si>
  <si>
    <t>Prof.Jayashree</t>
  </si>
  <si>
    <t>An AI-Powered System for Automatic Night Blindness Detection and Evaluation</t>
  </si>
  <si>
    <t>28/04/2025</t>
  </si>
  <si>
    <t>2024-Nov-ISE-I001</t>
  </si>
  <si>
    <t>Automatic Engine Cut-off System for Two-Wheelers
Upon Left Handlebar Disengagement to Prevent
Unsafe</t>
  </si>
  <si>
    <t>30/06/2025</t>
  </si>
  <si>
    <t>https://drive.google.com/drive/folders/1cARSmCQhCy6CXSXJFBTFhXFDNHIEvVIW?usp=drive_link</t>
  </si>
  <si>
    <t>Dr.Jagadishwari</t>
  </si>
  <si>
    <t>AUTOMATED PET DISPENSER</t>
  </si>
  <si>
    <t>27/06/2025</t>
  </si>
  <si>
    <t>Multi-modal Thought Board System</t>
  </si>
  <si>
    <t>24/06/2025</t>
  </si>
  <si>
    <t>Multiclass Segregation of E-waste in Chute system</t>
  </si>
  <si>
    <t>23/06/2025</t>
  </si>
  <si>
    <t>Smart Kettle with Real-Time Water Composition Filtering and Flavor Profiling</t>
  </si>
  <si>
    <t>20/06/2025</t>
  </si>
  <si>
    <t xml:space="preserve">Novel Multi-Use Shipping Materials with Smart Biodegradable Packaging with Functional Enhancements.
</t>
  </si>
  <si>
    <t>MEDICATION REMINDER BAND WITH CARETAKER CONNECTIVITY</t>
  </si>
  <si>
    <t>Self Powered Traffic Signal System using Piezoelectric Noise Energy and Environmental Sensors</t>
  </si>
  <si>
    <t>24/6/2025</t>
  </si>
  <si>
    <t>Dr.Senthil velan  S</t>
  </si>
  <si>
    <t>Overhead Tank Water Flow based Power Generator Assisted with Dual Spring Assisted Balanced Wheel</t>
  </si>
  <si>
    <t>27.06.20205</t>
  </si>
  <si>
    <t xml:space="preserve">Prof.Harikrishnan </t>
  </si>
  <si>
    <t>Smart Water Bottle for Dehydration Detection by using Real-Time Biomarkers Sensing Technology</t>
  </si>
  <si>
    <t>M_Patent_2025-Feb-ISE-T003</t>
  </si>
  <si>
    <t>Prof.Akansha</t>
  </si>
  <si>
    <t>AI-BASED TRAINER MIRROR FOR PERSONAL FITNESS</t>
  </si>
  <si>
    <t>24/01/2025</t>
  </si>
  <si>
    <t>https://drive.google.com/drive/folders/11CAjg81Rd7N9M1ipAlLKmz3WE37L7ic6?usp=drive_link</t>
  </si>
  <si>
    <t>Prof.Neera Chaudhary</t>
  </si>
  <si>
    <t>VERSATILE DATA PREPROCESSING SYSTEM FOR DEEP LEARNING</t>
  </si>
  <si>
    <t>https://drive.google.com/drive/folders/1Yep8WhlwbjcvghjVsEQcPQWY7cK5h0Qf?usp=drive_link</t>
  </si>
  <si>
    <t>Dr. Sgara M Baligidad</t>
  </si>
  <si>
    <t>Moisture-Resistant Tubular Inline Dry Box for 3D PrintingFilament with Built-In Heating Mechanism</t>
  </si>
  <si>
    <t>https://drive.google.com/file/d/158sdTkcCf4bguSCtaia1LsRa3tKY21sC/view?usp=sharing</t>
  </si>
  <si>
    <t>Dr Harisha P</t>
  </si>
  <si>
    <t>TechShuttle: Innovative Corporate Commuting Solution</t>
  </si>
  <si>
    <t>https://drive.google.com/drive/folders/1Tuxp1QTl3RPNLoK2W_HbjtRiFBCgpg61</t>
  </si>
  <si>
    <t>Sleeping Support for Passengers inSeater bus</t>
  </si>
  <si>
    <t>https://drive.google.com/drive/folders/1mNTAalKXQCs-PSNal6Zq1hp05b1UusYc</t>
  </si>
  <si>
    <t>Dr. Puneeth Kumar N</t>
  </si>
  <si>
    <t>Wooden Replaceable Rubber Plate Stamp</t>
  </si>
  <si>
    <t>28-06-2025</t>
  </si>
  <si>
    <t>M Patent_2025-June-Mech-T001</t>
  </si>
  <si>
    <t>Natures Guardian Eco Friendly Lake Restoration and Waste Collector</t>
  </si>
  <si>
    <t>I Load Patent_2025-June-Mech-T002</t>
  </si>
  <si>
    <t>Mandatory Patent_2024-July-Mech-T001</t>
  </si>
  <si>
    <t>Design and building of a mobile biogas plant equipped with sensors for measuring pressure and temperature</t>
  </si>
  <si>
    <t>https://drive.google.com/drive/folders/1vSUhp-kk63TLsVyRN-7rxwWqd4EBJBDh?usp=sharing</t>
  </si>
  <si>
    <t>Dr S Seetha</t>
  </si>
  <si>
    <t>Ergonomic Glove for wrist support while using Mouse</t>
  </si>
  <si>
    <t>25-06-25</t>
  </si>
  <si>
    <t>https://drive.google.com/drive/folders/14SO_qjAunfZgUDyD2fzebxpq67AaJkbv?usp=drive_link</t>
  </si>
  <si>
    <t>Wireless selfie stick controlled with hand</t>
  </si>
  <si>
    <t>26th June 2025</t>
  </si>
  <si>
    <t>https://drive.google.com/drive/folders/1BYuHszlV_bebexKEmF_eqz-DEVhklE4t?usp=drive_link</t>
  </si>
  <si>
    <t>Moumita Roy, CMRIT, Mounika A, Nandan Kumar R</t>
  </si>
  <si>
    <t>A Predictive Fire Spread Model for Early Forest Fire Detection and Prevention System Utilizing AI-Powered Drones and IoT Sensors</t>
  </si>
  <si>
    <t>Moumita Roy, CMRIT</t>
  </si>
  <si>
    <t>https://drive.google.com/file/d/1V3k7OmdjbNQC4jqF-nilTmllZQ0L_inL/view?usp=sharing</t>
  </si>
  <si>
    <t>Moumita Roy, CMRIT, A N Suhas, Shashank C G</t>
  </si>
  <si>
    <t>AI-Based Empathy Measurement and Mentoring Platform for Enhanced Teacher-Student Interaction</t>
  </si>
  <si>
    <t>Moumita Roy, CMRIT, Daya R Thummar</t>
  </si>
  <si>
    <t>https://drive.google.com/drive/folders/1NuZQr-U78w0QBlQG5LKFbYEb1obNhWKm?usp=drive_link</t>
  </si>
  <si>
    <t>AI-Powered Adaptive Wound Healing Patch for Veterinary Use</t>
  </si>
  <si>
    <t>13/6/2025</t>
  </si>
  <si>
    <t>https://drive.google.com/drive/folders/1yJGdd3mXQtm8L-fuTD5anakKef-oqbyD?usp=drive_link</t>
  </si>
  <si>
    <t>AI-Powered System for Identification and Ordering of GI-Tagged Handloom Fabrics Using Computer Vision.</t>
  </si>
  <si>
    <t>21/6/2025</t>
  </si>
  <si>
    <t>https://drive.google.com/file/d/1PYLhjE34ZWITP51c-bVK-3Qf1Bbzf-Kf/view?usp=drive_link</t>
  </si>
  <si>
    <t>Dhivya R</t>
  </si>
  <si>
    <t>SleepSafe:IOT-Based Fall Prevention System For INfants/Toodlers</t>
  </si>
  <si>
    <t>Dhivya R,CMRIT,Dr.Rohini V</t>
  </si>
  <si>
    <t>14/06/2025</t>
  </si>
  <si>
    <t>https://drive.google.com/drive/folders/1YTGmwIxuBnX3aMmm5G8dLLZsK9aXHHnZ?usp=drive_link</t>
  </si>
  <si>
    <t>" FabricInsight AI -Fabric Identification and</t>
  </si>
  <si>
    <t>Varsha Pawar,CMRIT,Dhivya R, Nuha, Rakshith</t>
  </si>
  <si>
    <t>https://drive.google.com/drive/folders/1yvrTzzyT6kyxaXa92jGPjLkCkzmqD23E?usp=drive_link</t>
  </si>
  <si>
    <t>System and Method for Generating Explainable Ai powered personalized Lifestyle Recommendations from Wearable Device Data</t>
  </si>
  <si>
    <t>Varsha Pawar,CMRIT,Ashwini Patil, Rahul B,Rajesh C</t>
  </si>
  <si>
    <t>https://drive.google.com/drive/folders/14OjhQzANeQ-nhAibW06PrGw2f27eKssx?usp=drive_link</t>
  </si>
  <si>
    <t>AI/ML-Powered System for Disease Diagnosis and Personalized Homeopathic Medicine Formulation with Counterfactual Explanations"</t>
  </si>
  <si>
    <t>Varsha Pawar,CMRIT</t>
  </si>
  <si>
    <t>27/6/2025</t>
  </si>
  <si>
    <t>2025-Mar-MCA-I004</t>
  </si>
  <si>
    <t>Ashwini Patil P</t>
  </si>
  <si>
    <t>Solar-Powered AI Beekeeping System</t>
  </si>
  <si>
    <t>Ashwini Patil P,CMRIT</t>
  </si>
  <si>
    <t>25/6/2025</t>
  </si>
  <si>
    <t>https://drive.google.com/drive/folders/1hwi6Z5yEzeLkBs6dKlZ1ijiVKiXZJrp1?usp=drive_link</t>
  </si>
  <si>
    <t>HydroShield: Advanced Water Body
Surveillance</t>
  </si>
  <si>
    <t>https://drive.google.com/drive/folders/1eIDLJRgEB5v0MYjVaWKHpiO6zYZMC1H3?usp=drive_link</t>
  </si>
  <si>
    <t>Dr.Vakula Rani J</t>
  </si>
  <si>
    <t>“SYSTEM AND METHOD FOR REAL-TIME VERIFICATION AND ADVISORY OF COSMETIC PRODUCTS USING ADVANCED COMP</t>
  </si>
  <si>
    <t>Vakula Rani J,CMRIT</t>
  </si>
  <si>
    <t>https://drive.google.com/drive/u/1/folders/1pUEqqn1oKh5yTXDnpChpX4ZnAUcyFHlV</t>
  </si>
  <si>
    <t>SMART BRICK DRYING SYSTEM WITH EDGE-BASED LIGHTWEIGHT DEEP LEARNING AND SOLAR-POWERED IOT INTEGRATION</t>
  </si>
  <si>
    <t>Vakula Rani J,CMRIT,
Vinutha Y N,
Sudeep S,
Charithya MJ
Aishwarya Jakka</t>
  </si>
  <si>
    <t>https://drive.google.com/file/d/1ynKyLTbAylevaN7go3lY-QGCWwCo6NkY/view?usp=sharing</t>
  </si>
  <si>
    <t>MULTI-SENSOR AND AI-BASED PORTABLE ANALYZER DEVICE FOR HONEY ADULTERATION DETECTION</t>
  </si>
  <si>
    <t>Vakula Rani J,CMRIT,
Aishwarya Jakka</t>
  </si>
  <si>
    <t>https://drive.google.com/file/d/1y3nVR5tEDSQdQkHZuyQmw-H607szXwl1/view?usp=sharing</t>
  </si>
  <si>
    <t>LIGHTWEIGHT ML-INTEGRATED PREGNANCY MONITORING WEARABLE FOR MATERNALAND POSTPARTUM HEALTH</t>
  </si>
  <si>
    <t>Vakula Rani J,CMRIT,
Gunasheela J
Charan R
Daniel Gladson B
Aishwarya Jakka</t>
  </si>
  <si>
    <t>https://drive.google.com/drive/u/1/folders/1c_ia1zMrJhzZ2TOSnKIPt8gZA1cIIK-W</t>
  </si>
  <si>
    <t>SYSTEM AND METHOD FOR A CENTRALIZED KNOW YOUR CUSTOMER (KYC) PLATFORM WITH GEOLOCATION INTEGRATION</t>
  </si>
  <si>
    <t>V,Ilango,CMRIT</t>
  </si>
  <si>
    <t>https://drive.google.com/drive/u/1/folders/1TkhcaS8SSkbPkiAhZKM36EVNRDamrzZI</t>
  </si>
  <si>
    <t xml:space="preserve">System and Methods for Predicting Cognitive Behavioural Patterns among Social Media
Users Engaged in Digital Learning
</t>
  </si>
  <si>
    <t>https://drive.google.com/drive/folders/1vDzAruVRWZJSuXtV7XnWDU-EhPAozPHP?usp=sharing</t>
  </si>
  <si>
    <t>Ms Kavya shri, CMRIT</t>
  </si>
  <si>
    <t>AI-Enabled Smart Pepper Spray Device with Preemptive Threat Detection and
Secure Evidence Cloud Backup.</t>
  </si>
  <si>
    <t>1.7.2025</t>
  </si>
  <si>
    <t>Navaneetha M</t>
  </si>
  <si>
    <t>Smart-Lock:Call Blocking System for Two wheeler</t>
  </si>
  <si>
    <t>Predicting the Lifespan of a road using IoT and AI</t>
  </si>
  <si>
    <t>An Online UPS based on Transformer less Switched Inductor Z-Source Inverter</t>
  </si>
  <si>
    <t>16.6.2025</t>
  </si>
  <si>
    <t>https://drive.google.com/drive/folders/16nlmR-qqEglO9husp5CfJPnHYk-B0Z5J?usp=drive_link</t>
  </si>
  <si>
    <t>Smitha N</t>
  </si>
  <si>
    <t>AI-POWERED SMART SHOES FOR THE VISUALL Y
IMPAIRED</t>
  </si>
  <si>
    <t>Raveesh Hegde</t>
  </si>
  <si>
    <t>AI Based Voice Morphing Device for Content Creators</t>
  </si>
  <si>
    <t>Raveesh Hegde, CMR Institute of Technology, Bengaluru</t>
  </si>
  <si>
    <t>23.05.2025</t>
  </si>
  <si>
    <t>Mahesh Kumar Jha</t>
  </si>
  <si>
    <t>Multi Microphone Beamforming with Deep Learning</t>
  </si>
  <si>
    <t>Mahesh Kumar Jha, CMR Institute of Technology, Bengaluru</t>
  </si>
  <si>
    <t>Personalized Noise Reduction Device for Hearing Impaired Users</t>
  </si>
  <si>
    <t>Monika Singh, CMR Institute of Technology, Bengaluru</t>
  </si>
  <si>
    <t>IoT BASED SMART SHOPPING CART USING
RFID WITH SHOP MAP LAYOUT</t>
  </si>
  <si>
    <t>25.02.2025</t>
  </si>
  <si>
    <t>Sharmila K.P</t>
  </si>
  <si>
    <t>Magnetic charger adapter with phone holder and cable organizer</t>
  </si>
  <si>
    <t>MULTI MICROPHONE Beamforming with Deep Learning</t>
  </si>
  <si>
    <t>Mahesh Kumar Jha,
CMR Institute of Technology, Bengaluru</t>
  </si>
  <si>
    <t>23/05/2025</t>
  </si>
  <si>
    <t>ADVANCED LEAK DETECTION AND WATER CONSERVATION DEVICE</t>
  </si>
  <si>
    <t>23/05/2026</t>
  </si>
  <si>
    <t>Method and System for child safety on  Two wheelers</t>
  </si>
  <si>
    <t>18-6-2025</t>
  </si>
  <si>
    <t>Dr.K.Vekateswaran</t>
  </si>
  <si>
    <t>AI Assisted Plant Medicinal Spray System</t>
  </si>
  <si>
    <t>18/06/2025</t>
  </si>
  <si>
    <t>Forensic Aid: A System to Track Object Movements
in Crime Scenes Across different Time</t>
  </si>
  <si>
    <t>Abhishek javali</t>
  </si>
  <si>
    <t>18-06-2025</t>
  </si>
  <si>
    <t>Abinash Panda</t>
  </si>
  <si>
    <t>Sensor-Embedded Smart Garments for Health Monitoring</t>
  </si>
  <si>
    <t>Abinash Panda,Dr.Meenakshi Patil, CMR Institute of Technology, Bengaluru</t>
  </si>
  <si>
    <t>Kavitha N Pillai</t>
  </si>
  <si>
    <t>AI-Enabled Hair Straightener</t>
  </si>
  <si>
    <t>Dr Sridevi S</t>
  </si>
  <si>
    <t>25-06-2025</t>
  </si>
  <si>
    <t>Varroa Mite Detection in Bee Colonies using a
Hyperparameter-Free RFF-based CNN and Real-
Time Notification</t>
  </si>
  <si>
    <t>Dr. Rangeet Mitra, 
Prof. Ashutosh, 
Prof. Venkateswaran</t>
  </si>
  <si>
    <t>Green Energy-Powered Water Dispenser</t>
  </si>
  <si>
    <t>Dr. Sutapa Sarkar</t>
  </si>
  <si>
    <t>29-06-2025</t>
  </si>
  <si>
    <t>Abhishek Javali</t>
  </si>
  <si>
    <t>Lower limb airbag system for motorcycles</t>
  </si>
  <si>
    <t>20-05-2025</t>
  </si>
  <si>
    <t>Robotic Automated Ambulance for Emergency services in smart cities</t>
  </si>
  <si>
    <t>Dr Meenakshi R Patil,Dr Meenakshi R Patil,Dr Sridevi S, Sachin Aralikatti, Akarsh P, Varun N, Mahesh P, Manohar K Reddy, Shreyas M, Ganesh S and Nandan K.</t>
  </si>
  <si>
    <t>Dual Power Bank</t>
  </si>
  <si>
    <t>Meenakshi R Patil</t>
  </si>
  <si>
    <t>29/06/2025</t>
  </si>
  <si>
    <t>uploaded_files</t>
  </si>
  <si>
    <t>Dr Meenakshi R Patil, Dr Niranjan L, Dr Sridevi S, Kavya. S, Hema. R Karthik.R, Sujith and CMR Institute of Technology , Bengaluru</t>
  </si>
  <si>
    <t xml:space="preserve">Tablet Dispenser with Sensor and Speaker System and the method thereof
</t>
  </si>
  <si>
    <t>uploaded_pdf</t>
  </si>
  <si>
    <t>106/3346/2025/CHE 202541016394</t>
  </si>
  <si>
    <t xml:space="preserve">AMISHA CHANDRA,ANAGHA SRINIVAS,HARSHA DIWAKAR,PRATHAM SINHA
</t>
  </si>
  <si>
    <t xml:space="preserve">Sophiya Susan S </t>
  </si>
  <si>
    <t>25/2/2025</t>
  </si>
  <si>
    <t xml:space="preserve"> Krishna Teja Yadav CH T, Sridevi S, Pramod R, Sanath,Karthik,Manoj H S, Manoj S
</t>
  </si>
  <si>
    <t>FPGA-Based Real-Time Age Estimation System Using Retinal Imaging and Generational Data</t>
  </si>
  <si>
    <t>Krishna Teja</t>
  </si>
  <si>
    <t>25/6/25</t>
  </si>
  <si>
    <t xml:space="preserve">Eisha Akanksha, Shivani, Shruthi, Mamtha, Monika A, </t>
  </si>
  <si>
    <t>Livestock Data Management System.</t>
  </si>
  <si>
    <t>Eisha Akanksha</t>
  </si>
  <si>
    <t>Anju Das,Dr.Viji,Dr.Chitra K</t>
  </si>
  <si>
    <t>A SYSTEM FOR PREVENTING ACCIDENTS IN HAIR PIN BENDS OF HILLY AREA ROADS &amp; A METHOD THEREOF</t>
  </si>
  <si>
    <t>23/6/25</t>
  </si>
  <si>
    <t>Dr. Niranjan, Dr. Suhas, Dr. Sridhar N, Shilpa A N &amp; Praveen D Jadhav</t>
  </si>
  <si>
    <t>Smart AI-Enabled Thermal Management for PetrolStations in HighTemperature Regions</t>
  </si>
  <si>
    <t xml:space="preserve">Dr. Niranjan, Shilpa A N, Dr. Sridhar N, Praveen D Jadhav &amp; Dr. Suhas </t>
  </si>
  <si>
    <t>Dynamic Path Clearance Strategies for
Emergency Vehicles in Smart Traffic Systems</t>
  </si>
  <si>
    <t>25.06.2025</t>
  </si>
  <si>
    <t>Dr.Parthasarathy P &amp; Dr.Venkatesh M</t>
  </si>
  <si>
    <t>Ultra-Scaled Double-Gate Graphene Nanoribbon GaN/InSb TFETs for Low-Power High-Performance
Biomolecule Detection</t>
  </si>
  <si>
    <t>Dr.Parthasarathy P</t>
  </si>
  <si>
    <t xml:space="preserve">Shijili PT                          Divya kumari                  Spurthy Maria Pais   </t>
  </si>
  <si>
    <t>AI-Based Smart Hair Profiling and Dynamic Product Recommendation System with Temporal and Environment</t>
  </si>
  <si>
    <t>20/6/2025</t>
  </si>
  <si>
    <t>Chandana K S</t>
  </si>
  <si>
    <t>Self-Destructing AI-Powered Emails</t>
  </si>
  <si>
    <t>27-06-2025</t>
  </si>
  <si>
    <t>Divya Kumari</t>
  </si>
  <si>
    <t xml:space="preserve">    AI-Based Smart Irrigation System for Precision Farming</t>
  </si>
  <si>
    <t>20-06-2025</t>
  </si>
  <si>
    <t>Gold nanoparticle encapsulated hybrid MOF, ZIF-8@ZIF-67: Synthesis, characterization, and drug delivery applications.</t>
  </si>
  <si>
    <t>24/08/2024</t>
  </si>
  <si>
    <t>https://drive.google.com/file/d/1M6pVzPrqcjgXbBQRNe6NS7Z6p-c9NWrE/view?usp=sharing</t>
  </si>
  <si>
    <t>Polymeric Nano discs for Efficient Drug Deliver</t>
  </si>
  <si>
    <t>https://drive.google.com/file/d/1ABBgJRwUgrc6Uye1cnlqvB01k2x2QXpA/view?usp=sharing</t>
  </si>
  <si>
    <t xml:space="preserve">Dr. Ayyappa Bathinapatla </t>
  </si>
  <si>
    <t xml:space="preserve">CHEM </t>
  </si>
  <si>
    <t>Efficient electrocatalytic water splitting enabled by RGO/Bi2Se3 NPS synergistic interface</t>
  </si>
  <si>
    <t>https://drive.google.com/file/d/1DQwY1Io126uYSDmFlfzEusFfBJRten1Y/view?usp=drive_link</t>
  </si>
  <si>
    <t>SMART POWER CONSUMPTION METER WITH AC-DC CONVERSION.</t>
  </si>
  <si>
    <t>https://drive.google.com/drive/u/0/folders/1VLOVVPF3T_ISiKDlh_SBiZfCvJSempZd</t>
  </si>
  <si>
    <t>Dr Raveesha K H</t>
  </si>
  <si>
    <t>SCIENCE TOY-SOLENOID MAGNETIC FIELD</t>
  </si>
  <si>
    <t>https://iprsearch.ipindia.gov.in/RQStatus/CBR_Viewer.aspx?DocketNo=NDYyNDg=&amp;Date=MDcvMDUvMjAyNQ==&amp;Ipo=SVBPMg==</t>
  </si>
  <si>
    <t>Apparatus and Method to Degrade Methyl Blue Dye</t>
  </si>
  <si>
    <t>Sudarshana Raman</t>
  </si>
  <si>
    <t>17/06/2025</t>
  </si>
  <si>
    <t>https://drive.google.com/drive/folders/1VC9dsnU22Z3KBqG_dgZaXccgS_UuodP-?usp=drive_link</t>
  </si>
  <si>
    <t>Dr.I.Pakrudheen</t>
  </si>
  <si>
    <t>Method for Upcycling Plastic Waste into Carbon-Based Adsorbents for Efficient Removal of Antihypertensive Drugs from Contaminated Water Sources</t>
  </si>
  <si>
    <t>24/06/25</t>
  </si>
  <si>
    <t>PATENT eFiling.pdf</t>
  </si>
  <si>
    <t>Dr.Vighneshwar Seetaram Bhat</t>
  </si>
  <si>
    <t>ELECTROMAGNETIC WAVE KIT FOR CLASSROOM-</t>
  </si>
  <si>
    <t>Dr. Vighneshwar Seetaram Bhat</t>
  </si>
  <si>
    <t>20/05/2025</t>
  </si>
  <si>
    <t>https://drive.google.com/drive/folders/19exb9JZ7Znb6OhKREs585k4bsooMmAOG?usp=drive_link</t>
  </si>
  <si>
    <t>A LOW COST OFFLINE SYSTEM FOR SECURE AND TRACEABLE DOCUMENT SHARING USING ENCRYPTED QR ACCESS AND WATERMARKING</t>
  </si>
  <si>
    <t>https://drive.google.com/drive/folders/1HQ6xmK1RiILu3tALsWgrw2ceyD1NoDFU?usp=drive_link</t>
  </si>
  <si>
    <t>Dr. Dhananjay Dey</t>
  </si>
  <si>
    <t>Fabrication of novel halogen-bond assisted 2D inorganic-organic hybrid halide perovskite (IPA)2(FA)Pb2I7</t>
  </si>
  <si>
    <t>25/06/25</t>
  </si>
  <si>
    <t>https://drive.google.com/drive/folders/1F4y_riLy_yoRMYleutJA4GPEjf9aXjIL?usp=drive_link</t>
  </si>
  <si>
    <t>Carbon Dioxide Capture Device</t>
  </si>
  <si>
    <t>https://drive.google.com/drive/folders/1SMzbWA4AhyDuEkbGiUHvo5mBzBGbPuhL?usp=drive_link</t>
  </si>
  <si>
    <t>Dr. Fazlur Rahaman</t>
  </si>
  <si>
    <t>INDOLE-2-CARBOHYDRAZIDE AND ITS COMPLEXESFOR ANTIMICROBIAL ACTIVITIES</t>
  </si>
  <si>
    <t>https://drive.google.com/drive/folders/14xrbbWcrmn-kgcTplt9eC_1DztaF030w?usp=drive_link</t>
  </si>
  <si>
    <t>PORTABLE WATER RECYCLING SYSTEM</t>
  </si>
  <si>
    <t>https://drive.google.com/file/d/1pJgTkyO6eaDUjX6suSaE6xfiG9DJNPBz/view?usp=sharing</t>
  </si>
  <si>
    <t>Dr. Satyabrata Das</t>
  </si>
  <si>
    <t>A Robotic Device for Capturing Cockroaches Alive</t>
  </si>
  <si>
    <t>receipt.pdf</t>
  </si>
  <si>
    <t>A Robotic Device for Detecting and Capturing Small Lizards in Indoor Environments</t>
  </si>
  <si>
    <t>Receipt.pdf</t>
  </si>
  <si>
    <t>Ramdas Balan</t>
  </si>
  <si>
    <t>Fe-Layered hydrochar from garden waste</t>
  </si>
  <si>
    <t>https://drive.google.com/file/d/1suGG7WvrStAjgiVw8je9saIGrTPAciS-/view?usp=drive_link</t>
  </si>
  <si>
    <t xml:space="preserve">Dr Rajesh Gopal </t>
  </si>
  <si>
    <t>Wearbale health motering and ealier warning system</t>
  </si>
  <si>
    <t>https://drive.google.com/file/d/1okzEzkDHpFqSAVKg7IHFuZGlsCdzkC51/view?usp=drive_link</t>
  </si>
  <si>
    <t>Smart waste management using AI and Ml</t>
  </si>
  <si>
    <t>https://drive.google.com/file/d/19TFk8II9Lh930gs3wqkyS0FvzBdq5b9K/view?usp=drive_link</t>
  </si>
  <si>
    <t>4-PHENYLTHIAZOLE-2-SEMICARBAZIDE AND ITSCOMPLEXES FOR ANTIMICROBIAL ACTIVITIES</t>
  </si>
  <si>
    <t>https://drive.google.com/drive/folders/1EsKp8TY5vx4nUq-yYPf6nsAbAuIm4fWM?usp=sharing</t>
  </si>
  <si>
    <t>Finger strapped small size portable Pulse Oximeter</t>
  </si>
  <si>
    <t>https://drive.google.com/file/d/1hLwarIyx57mftX0I03QL1I_9_rCgqt-m/view?usp=sharing</t>
  </si>
  <si>
    <t>Shymansundar Hegde</t>
  </si>
  <si>
    <t>AI POWERED CHILD PROTECTION SYSTEM FOR HAZARDOUS AREAS IN
HOUSING SOCIETIES</t>
  </si>
  <si>
    <t>Dr. Sushma T V, Prof.  Abhishek J</t>
  </si>
  <si>
    <t>Adaptive noise cancellation using DeepLearning</t>
  </si>
  <si>
    <t>. 202341026997</t>
  </si>
  <si>
    <t>Granted</t>
  </si>
  <si>
    <t>Dr Shreekanth M Prabhu, Prof. Smitha N  202341026997</t>
  </si>
  <si>
    <t>Novel Print System with Intelligent Intermediation</t>
  </si>
  <si>
    <t>Dr Shreekanth M Prabhu, Prof. Smitha N</t>
  </si>
  <si>
    <t>https://drive.google.com/file/d/1K22S9APLmzGDrXMm-7z0czTJo-N5-JBn/view?usp=sharing</t>
  </si>
  <si>
    <t>S.No.</t>
  </si>
  <si>
    <t xml:space="preserve">Dept. </t>
  </si>
  <si>
    <t>Application ID</t>
  </si>
  <si>
    <t>Agency Name</t>
  </si>
  <si>
    <t>Agency Type</t>
  </si>
  <si>
    <t>Current status</t>
  </si>
  <si>
    <t>Sanctioned Amount</t>
  </si>
  <si>
    <t>Amount Received</t>
  </si>
  <si>
    <t>Remarks</t>
  </si>
  <si>
    <t>Sanctioned letter</t>
  </si>
  <si>
    <t>VENKATESWARAN K, Sridhar N, Niranajan L</t>
  </si>
  <si>
    <t>Remote Sensing and GIS Tools for Ecology Biodiversity         and 
Conservation</t>
  </si>
  <si>
    <t>1,00,000/-</t>
  </si>
  <si>
    <t>Ref. 282024002059, SQUID-1983-VK-9024</t>
  </si>
  <si>
    <t>SERB</t>
  </si>
  <si>
    <t>Financial Assistance For Seminar/Symposia</t>
  </si>
  <si>
    <t>Rejected</t>
  </si>
  <si>
    <t>Development of High performance nanocomposite materials for enhanced CO2 capture and reduction towards environmental Mitigation based on Cu functionalized ZnO Quantum Dot decorated with 2D-Fe-Mxene</t>
  </si>
  <si>
    <t>33,91,000/-</t>
  </si>
  <si>
    <t>TPN / 112364</t>
  </si>
  <si>
    <t>DST</t>
  </si>
  <si>
    <t>DST-Funded Project</t>
  </si>
  <si>
    <t>Submitted</t>
  </si>
  <si>
    <t xml:space="preserve"> Large-Scale Fabrication of Carbon/Graphene-Based Quantum-Dot
 Devices for Universal and Sustainable Quantum Technologies      </t>
  </si>
  <si>
    <t>22,65,000/-</t>
  </si>
  <si>
    <t>TTDF24QSTL005</t>
  </si>
  <si>
    <t>DST - Quantum</t>
  </si>
  <si>
    <t>One-week seminar series on AI-driven semiconductor Revolution in Intelligent &amp; Industrial Systems
 Shaping India's Technological Growth</t>
  </si>
  <si>
    <t>SSY/2024/001025</t>
  </si>
  <si>
    <t>Development of an encapsulated multienzyme doped Quantum Dots based POCT Device for detection of multiple
 neurotransmitters</t>
  </si>
  <si>
    <t>32,84,000/-</t>
  </si>
  <si>
    <t xml:space="preserve"> TPN / 115958</t>
  </si>
  <si>
    <t xml:space="preserve"> Bio-Enabler: Next-Gen Microbial BioGenics for Sustainable Metal Ion Extraction
 and Advanced Bio-Chemical Production</t>
  </si>
  <si>
    <t>36,88,000/-</t>
  </si>
  <si>
    <t>BT/TEMP24220/BMH-01/24</t>
  </si>
  <si>
    <t>DBT</t>
  </si>
  <si>
    <t>Dr.Viji K &amp; Dr. Susheelkumar</t>
  </si>
  <si>
    <t>Industrial Internet of Things (IIoT) - Enabled technologies, challenges, and future directions</t>
  </si>
  <si>
    <t>ATAL</t>
  </si>
  <si>
    <t>AICTE</t>
  </si>
  <si>
    <t>Dr. Venkateswaran K &amp; Dr. Abinash Panda</t>
  </si>
  <si>
    <t>Green Photonics: A smart way towards Sustainable Future</t>
  </si>
  <si>
    <t>ATAL FDP</t>
  </si>
  <si>
    <t>Building Resilient and Sustainable Healthcare Systems: AI, Telemedicine, and Green Innovations for India's Future</t>
  </si>
  <si>
    <t xml:space="preserve">Silicon Quantum Qubits: The Future of Semiconductor-Based Quantum Computing </t>
  </si>
  <si>
    <t>Eco-Friendly Bio-Digesters for Rural Sanitation and Clean Energy</t>
  </si>
  <si>
    <t>UBA</t>
  </si>
  <si>
    <t>Smart Rural Empowerment for Sustainable Growth</t>
  </si>
  <si>
    <t>Prof.Anju Das and Dr.Viji</t>
  </si>
  <si>
    <t>Sparking Curiosity in Robotics with Fun Experiments for School  Kids</t>
  </si>
  <si>
    <t xml:space="preserve">Community Learning Hub with Solar-Powered Micro Server and Collaborative Teaching Model  </t>
  </si>
  <si>
    <t>1,00,000</t>
  </si>
  <si>
    <t>C-1406/KA/CHB/PISE/1LAKH/5</t>
  </si>
  <si>
    <t>Dr. Kesavamoorthy R.</t>
  </si>
  <si>
    <t>Establishing a Rural Entrepreneurship Cell and Local Innovation Hub for Sustainable Rural Development: A Student-Led Initiative</t>
  </si>
  <si>
    <t>C-1406/KA/CHB/EITIS/1LAKH/1</t>
  </si>
  <si>
    <t>Approved. yet to get sanction order.</t>
  </si>
  <si>
    <t>Navaneetha N</t>
  </si>
  <si>
    <t xml:space="preserve">Montessori Coaching Application for Anganavadi teachers and students </t>
  </si>
  <si>
    <t>C-1406/KA/CHB/CREI/1LAKH/9</t>
  </si>
  <si>
    <t>Ms.Anshika Shukla, Ms. Priyanka S Talekar</t>
  </si>
  <si>
    <t>SpokenText: An Application to Support Early Literacy Development</t>
  </si>
  <si>
    <t>GOI</t>
  </si>
  <si>
    <t xml:space="preserve">Prof.Arvind R and Prof.Sugunadevi C </t>
  </si>
  <si>
    <t>Designing and distributing low-cost kits for improved soil health management: An affordable approach to soil testing kits</t>
  </si>
  <si>
    <t>Dr. Suruchi  &amp; Dr. Adwitiya Sinha</t>
  </si>
  <si>
    <t>Portable Solar Harvesting Device for Generating Sustainable Energy for Daily Needs in Rural Villages</t>
  </si>
  <si>
    <t>Dr, M. Poorani &amp; Dr. S. Seetha</t>
  </si>
  <si>
    <t>The AI Creator: Generating Text, Images, and Video with Generative Intelligence</t>
  </si>
  <si>
    <t>ATAL FDP - Online</t>
  </si>
  <si>
    <t>Dr.Sam Gilvine Samuvel and Mr. Vijay Anand</t>
  </si>
  <si>
    <t xml:space="preserve">Program for Developing All Inclusive Agricultural Sectors </t>
  </si>
  <si>
    <t>C-1406/KA/CHB/RCAD/1LAKH/2</t>
  </si>
  <si>
    <t>Dr.Viji &amp; Prof.Anju Das</t>
  </si>
  <si>
    <t>Installation of Board Plotter (BoardBot) for Village School</t>
  </si>
  <si>
    <t>Dr. Kesavamurthy, Dr Preethi Jacob</t>
  </si>
  <si>
    <t>Building Bridges, Creating Opportunities: Rural Tourism for Livelihood and Entrepreneurship Development</t>
  </si>
  <si>
    <t>1, 00000</t>
  </si>
  <si>
    <t>C-1406/KA/BUR/RLED/1LAKH/5</t>
  </si>
  <si>
    <t>Received Grant on 25.7.2024</t>
  </si>
  <si>
    <t>Dr.Venkateshwaran,Dr.Niranjan L,Dr.Sridhar N</t>
  </si>
  <si>
    <t xml:space="preserve">Development and Installation of Effective Insect Trapping System in cropfields of channasandra village </t>
  </si>
  <si>
    <t>Dr.Niranjan L</t>
  </si>
  <si>
    <t>EcoHarvest Dehydrator: Design and Development of IoT-based Solar-Powered Drying for Vegetables, Fruits &amp; Herbs</t>
  </si>
  <si>
    <t>Dr Sharmila K P</t>
  </si>
  <si>
    <t xml:space="preserve">Year-Round Farming for Sustainable Livelihoods and Rural Agripreneurship
</t>
  </si>
  <si>
    <t>Dr Pappa M</t>
  </si>
  <si>
    <t>Popularizing Electronics among School Kids through Basic Attractive Experiments</t>
  </si>
  <si>
    <t>C-1406/KA/BUR/RLED/1LAKH/7</t>
  </si>
  <si>
    <t>Ongoing</t>
  </si>
  <si>
    <t>Setting Up Science Laboratory</t>
  </si>
  <si>
    <t>C-1406/KA/BUR/RLED/1LAKH/8</t>
  </si>
  <si>
    <t xml:space="preserve">Dr, Vakula Rani J </t>
  </si>
  <si>
    <t>FarmVet Assist: Online Livestock healthcare App</t>
  </si>
  <si>
    <t>C-1406/KA/CHB/RIFE/1LAKH/4</t>
  </si>
  <si>
    <t>Not Santioned</t>
  </si>
  <si>
    <t>Dr. Geetanjali , Dr. Ramesh</t>
  </si>
  <si>
    <t>Solar Panel Lifecycle Management</t>
  </si>
  <si>
    <t>ICSSR-RMM-2024-2989</t>
  </si>
  <si>
    <t>ICSSR</t>
  </si>
  <si>
    <t>Solar Cooling Systems for Water Pumps under KUSUM: A Sustainable Solution for Hot Climates</t>
  </si>
  <si>
    <t>Sep_2024</t>
  </si>
  <si>
    <t>Rencita Maria Colaco</t>
  </si>
  <si>
    <t>Village Gateway: Your Gateway to Available Facilities</t>
  </si>
  <si>
    <t>C-1406/KA/CHB/RIFE/50K/3</t>
  </si>
  <si>
    <t>Dr.V.ILANGO</t>
  </si>
  <si>
    <t xml:space="preserve">AI-Powered Personalized Learning Ecosystem that integrates  Emotional Intelligence
</t>
  </si>
  <si>
    <t>2284000/-</t>
  </si>
  <si>
    <t>ICSSR-RMM-2024-3939</t>
  </si>
  <si>
    <t xml:space="preserve">Result Pending </t>
  </si>
  <si>
    <t>Dynamic Portfolio Optimization Using Quantum-Inspired Tensor Networks</t>
  </si>
  <si>
    <t>1400000/-</t>
  </si>
  <si>
    <t>IISc-Q-Pragathi Cohort   II</t>
  </si>
  <si>
    <t>IISc</t>
  </si>
  <si>
    <t>Ms.Anshika Shukla,                                                   Ms. Priyanka S Talekar</t>
  </si>
  <si>
    <t>AI for Student Success: A Research Project on Personalized Learning and Adaptive Assessment in Indian Education</t>
  </si>
  <si>
    <t>ICSSR-SES-2024-639</t>
  </si>
  <si>
    <t>Indian Council Of Social Science Research</t>
  </si>
  <si>
    <t>Submitted. Yet to receive acceptance/rejection notification</t>
  </si>
  <si>
    <t>Research on Quantum Computing Techniques for Advanced Financial Analytics</t>
  </si>
  <si>
    <t>NA , filled google form,</t>
  </si>
  <si>
    <t>IISc-Q_Pragathi</t>
  </si>
  <si>
    <t>Prof. Jayashree &amp; Dr. Suruchi</t>
  </si>
  <si>
    <t>Engaging Young Minds: Web App Basics for Primary Students.</t>
  </si>
  <si>
    <t>27/09/2025</t>
  </si>
  <si>
    <t>Dr. Srividya R and Prof. Nidhi Joshi</t>
  </si>
  <si>
    <t>“ANTARJALA: An Innovative Water Saving Strategy using RenewableResources for Rural Areas”</t>
  </si>
  <si>
    <t>C-1406/KA/CHB/WRMT/1LAKH/2</t>
  </si>
  <si>
    <t>Dr Mohan N &amp; Prof.Sachin Aralikatti</t>
  </si>
  <si>
    <t>Sustainable Solutions in Healthcare: A Business Approach to Smart Medical Waste Disposal BIN (SMWDB), Using Autoclave sterilization technology.</t>
  </si>
  <si>
    <t>15000/-</t>
  </si>
  <si>
    <t>48S_MBA_0058</t>
  </si>
  <si>
    <t>KSCST</t>
  </si>
  <si>
    <t>GOK</t>
  </si>
  <si>
    <t>5000/-</t>
  </si>
  <si>
    <t>https://www.kscst.org.in/spp/48_series/08_48S_SPP_sanctioned_projects_26March2025.pdf</t>
  </si>
  <si>
    <t>AI-Enhanced Video Steganography for Secure Weather Data Transmission and Disaster Prediction</t>
  </si>
  <si>
    <t>5811640/-</t>
  </si>
  <si>
    <t>23-11-2024</t>
  </si>
  <si>
    <t>ANRF/ECRG/2024/006315/ENS/ver-1</t>
  </si>
  <si>
    <t>ANRF</t>
  </si>
  <si>
    <t>Not Sanctioned</t>
  </si>
  <si>
    <t>Dr. Suruchi</t>
  </si>
  <si>
    <t>Knowldege graphs and Analysis for research communities</t>
  </si>
  <si>
    <t>3684420/-</t>
  </si>
  <si>
    <t>19-11-2024</t>
  </si>
  <si>
    <t>ANRF/ECRG/2024/005530</t>
  </si>
  <si>
    <t>A Quantum Computing-Based Hybrid Information Retrieval and Answer System for Solving Mathematical Problems</t>
  </si>
  <si>
    <t>13,90,000/-</t>
  </si>
  <si>
    <t>Q-Pragathi Cohort- II scheme of QuRP</t>
  </si>
  <si>
    <t>Quantum Research Park, IISc Bengaluru</t>
  </si>
  <si>
    <t>Submiitted</t>
  </si>
  <si>
    <t xml:space="preserve">Development of Multifunctional hybrid Nanocomposite 
based on Boron Nitride-Graphene-TMD for Enhanced Thermal Management in 
Hypersonic Missile Systems </t>
  </si>
  <si>
    <t>34,61,000/-</t>
  </si>
  <si>
    <t>DRDO</t>
  </si>
  <si>
    <t>Design and Fabrication of TiO2/Graphene-CNT Composite 2D Semiconductor Materials for Advanced TFET Quantum Device Applications</t>
  </si>
  <si>
    <t xml:space="preserve">30,04,000/- </t>
  </si>
  <si>
    <t>DST-PM-ECRG</t>
  </si>
  <si>
    <t>Design and Development of Poly-enzyme Scaffold-Based POC Devices for Simultaneous Detection of Serotonin and Epinephrine in Physiological and Synthetic Body Fluids</t>
  </si>
  <si>
    <t>23,28,000/-</t>
  </si>
  <si>
    <t>Development of Polyelectrolyte-gold Coated Coreless Optical Fiber Sensor for Non-invasive Detection of Diabetes Through VOCs Biomarkers</t>
  </si>
  <si>
    <t>32,84,210/-</t>
  </si>
  <si>
    <t>17-11-2024</t>
  </si>
  <si>
    <t>ANRF/ECRG/2024/001098/ENS</t>
  </si>
  <si>
    <t>PM-ECRG</t>
  </si>
  <si>
    <t>Dr Sushma T V, Dr Sridhar N</t>
  </si>
  <si>
    <t>AICTE Approved online ATAL FDP on "Artificial Intelligence in Satellite Image Processing &amp; Applications"</t>
  </si>
  <si>
    <t xml:space="preserve">AICTE </t>
  </si>
  <si>
    <t>Government</t>
  </si>
  <si>
    <t>Sanctioned</t>
  </si>
  <si>
    <t>UC,SC yet to submit</t>
  </si>
  <si>
    <t>Dr. Sagar Baligidad, Dr. Niranjan L</t>
  </si>
  <si>
    <t>AICTE Approved online ATAL FDP on "Unlocking value in Modern Manufacturing using Artificial INtelligence""</t>
  </si>
  <si>
    <t>3,50,000/-</t>
  </si>
  <si>
    <t>Received Grant on 30.11.2024</t>
  </si>
  <si>
    <t>AI-Enhanced Hybrid Feature Selection for Improved Diagnostic Accuracy in Gynaecological Cancer Detection</t>
  </si>
  <si>
    <t>20-11-2024</t>
  </si>
  <si>
    <t>CAR-2024-01-000686</t>
  </si>
  <si>
    <t>ICMR</t>
  </si>
  <si>
    <t xml:space="preserve"> AI-Driven Multimodal Research System for Early Detection and Personalized Intervention in Global Mental Health</t>
  </si>
  <si>
    <t>TPN / 123451</t>
  </si>
  <si>
    <t>DST-NSTMIS</t>
  </si>
  <si>
    <t>Research and Development of an AI-Based Science, Technology, and Innovation (STI) Observatory for Enhanced Policy Decision-Making</t>
  </si>
  <si>
    <t>20.Jan.2025</t>
  </si>
  <si>
    <t>TPN / 123604</t>
  </si>
  <si>
    <t xml:space="preserve">ROOTERY-Automated Hydroponics urban farming </t>
  </si>
  <si>
    <t>10, 00,000/-</t>
  </si>
  <si>
    <t xml:space="preserve">NIDHI PRAYAS grant </t>
  </si>
  <si>
    <t>NIDHI PRAYAS start up grant</t>
  </si>
  <si>
    <t>Dr. Chitra K, Dr. Viji K</t>
  </si>
  <si>
    <t>Advancing 6G Networks with Network Data Analytics Functions: Machine Learning for Security, Privacy, and Resource Efficiency</t>
  </si>
  <si>
    <t>43,00,000</t>
  </si>
  <si>
    <t>19-12-24</t>
  </si>
  <si>
    <t>Ministry of Electronics and Information Technology</t>
  </si>
  <si>
    <r>
      <rPr>
        <sz val="10"/>
        <color theme="1"/>
        <rFont val="Arial"/>
      </rPr>
      <t xml:space="preserve"> Dr. Viji K, </t>
    </r>
    <r>
      <rPr>
        <sz val="10"/>
        <color theme="1"/>
        <rFont val="Arial"/>
      </rPr>
      <t>Dr. Chitra K</t>
    </r>
  </si>
  <si>
    <t>Efficient AI Controlled Power Management System for DC-Microgrid 
with Bi-directional GaN Converter</t>
  </si>
  <si>
    <t>32,00,000</t>
  </si>
  <si>
    <t>13-01-25</t>
  </si>
  <si>
    <t>TPN / 123505</t>
  </si>
  <si>
    <t>NSTMIS</t>
  </si>
  <si>
    <t>Point-of-Care Electrochemical Sensor with Multi-Enzyme Nanocomposite Scaffold for Early Detection of Multiple Neurotransmitters in Psychiatric Diagnostics</t>
  </si>
  <si>
    <t>21,06,000</t>
  </si>
  <si>
    <t>21-11-2024</t>
  </si>
  <si>
    <t>CAR-2024-01-000298</t>
  </si>
  <si>
    <t>Quantum Dot-Driven POCT for Neurotransmitter Detection
 Innovation and SampT Potential</t>
  </si>
  <si>
    <t>28,86,000</t>
  </si>
  <si>
    <t>TPN / 122321</t>
  </si>
  <si>
    <t>DSR-NSTMIS</t>
  </si>
  <si>
    <t>Dr. P. Susheelkumar S &amp; Dr. Meenakshi R. Patil</t>
  </si>
  <si>
    <t>AI based Border Surveillance and Security Alert System for Armed forces using Energy Efficient Sensor Networks</t>
  </si>
  <si>
    <t>48,86,200</t>
  </si>
  <si>
    <t>13-01-2025</t>
  </si>
  <si>
    <t>TPN / 123414</t>
  </si>
  <si>
    <t>Dr. P. Susheelkumar S &amp; Dr. Viji K</t>
  </si>
  <si>
    <t>IoT and Cloud Computing with AWA</t>
  </si>
  <si>
    <t>26-09-2024</t>
  </si>
  <si>
    <t>Dr. Meenakshi Patil &amp; Dr. P. Susheelkumar S.</t>
  </si>
  <si>
    <t>AI &amp; Analytics Innovation Program</t>
  </si>
  <si>
    <t xml:space="preserve">Enhanced Neural Network for classification of Hyperspectral Imagery using ensembled models
</t>
  </si>
  <si>
    <t>10,00,000</t>
  </si>
  <si>
    <t>17-01-2025</t>
  </si>
  <si>
    <t>RES-NRSC-2024-005</t>
  </si>
  <si>
    <t>ISRO</t>
  </si>
  <si>
    <t xml:space="preserve">Dr Vedavathi </t>
  </si>
  <si>
    <t>Investigations of UV Continuum Variability and Velocity resolved
Structure of Broad Line Regions (BLR) in Low Redshift Active Galaxies</t>
  </si>
  <si>
    <t>ANRF/IRG/2024/001068/EAS</t>
  </si>
  <si>
    <t>Anusandhan National Research Foundation</t>
  </si>
  <si>
    <t>MATHS</t>
  </si>
  <si>
    <t>Optimization Framework for Water Resource Allocation</t>
  </si>
  <si>
    <t>WISER</t>
  </si>
  <si>
    <t>IGSTC</t>
  </si>
  <si>
    <t>Dr K Meenakshi, Dr Hanumantha Ravi PVN</t>
  </si>
  <si>
    <t>OPTIMAL STRATEGIES FOR SIR EPIDEMIC MODELS IN CATTLE AND NEUTROSOPHIC FUZZY MODELLING</t>
  </si>
  <si>
    <t>Research proposal</t>
  </si>
  <si>
    <t>NBHM</t>
  </si>
  <si>
    <t>IoT driven microgrid system</t>
  </si>
  <si>
    <t>DST/NSTMIS/2025/803</t>
  </si>
  <si>
    <t>Dr. Nageswara Rao Atyam</t>
  </si>
  <si>
    <t>A Comprehensive Machine Learning-Based STI Dashboard for Viksit Bharat 2047, enabling real-time forecasting, sector-wise resource optimization, and SDG-oriented impact evaluation within a unified framework.</t>
  </si>
  <si>
    <t>49,80,000</t>
  </si>
  <si>
    <t>DST/NSTMIS/2025/297</t>
  </si>
  <si>
    <t>Dr Chanadrika N</t>
  </si>
  <si>
    <t>A study on Technology Adoption in Startup's &amp; SME's With Refrence to selected Sector's In karnataka A Frame work for ATMA Nirbhar Bharath through technological Innovations.</t>
  </si>
  <si>
    <t>DST/NSTMIS/2025/412</t>
  </si>
  <si>
    <t>Hybrid Neural Network Model for Accounting Digital Transactions</t>
  </si>
  <si>
    <t>ICAI Research Project Scheme 2024- Project Proposal</t>
  </si>
  <si>
    <t xml:space="preserve">Presented in 1st Shortlisting Committee Meeting </t>
  </si>
  <si>
    <t xml:space="preserve"> Predicting Cardiovascular
Events through skin blood flow analysis</t>
  </si>
  <si>
    <t>₹6538000</t>
  </si>
  <si>
    <t>RES-HSFC-2024-005</t>
  </si>
  <si>
    <t>Dr.Sanchari Saha (PI), Prof. Smitha N (co-PI)</t>
  </si>
  <si>
    <t>Leveraging Satellite Imagery for the Identification and Assessment of Optimal Land Cover for Sustainable Land Management.</t>
  </si>
  <si>
    <t xml:space="preserve">18,60,400
</t>
  </si>
  <si>
    <t>TPN / 124122</t>
  </si>
  <si>
    <t>Dr. Kesavamoorthy R &amp; Navaneetha M</t>
  </si>
  <si>
    <t>Revolutionizing E-Waste Management with Deep Learning Innovations</t>
  </si>
  <si>
    <t>31,35,000</t>
  </si>
  <si>
    <t>TPN / 124641</t>
  </si>
  <si>
    <t>Dr. Preethi Sheba Hepsiba &amp; Smitha N</t>
  </si>
  <si>
    <t>AI-powered multi-sensor system for real-time, non-invasive detection and quantification of pesticide and chemical residues on fresh produce to ensure food safety.</t>
  </si>
  <si>
    <t>47,10,000</t>
  </si>
  <si>
    <t>TPN / 124445</t>
  </si>
  <si>
    <t>Prof. Krishna Sowjanya K (PI) &amp; Dr. V N Manju (CO-PI)</t>
  </si>
  <si>
    <t>Advanced Persistent Threats, Breach and Botnet Detection system using network traffic analysis Area of Research Network Security</t>
  </si>
  <si>
    <t>58,76,400</t>
  </si>
  <si>
    <r>
      <rPr>
        <u/>
        <sz val="10"/>
        <color rgb="FF1155CC"/>
        <rFont val="Arial"/>
      </rPr>
      <t>RES-SAC-2024-020</t>
    </r>
  </si>
  <si>
    <t>AI-Driven Research and Development of Real-Time Health Monitoring and Predictive Analytics for Astronauts in Long-Duration Space Missions</t>
  </si>
  <si>
    <t>No id Received uploaded document submitted copy in attachment</t>
  </si>
  <si>
    <t>ISRO-GRASP</t>
  </si>
  <si>
    <t>Dr. Suruchi Sabherwal &amp; Prof . Jayashree M</t>
  </si>
  <si>
    <t>Advanced Malware Detection for Social Networks using Machine
Learning and AI</t>
  </si>
  <si>
    <t>11, 08, 0900</t>
  </si>
  <si>
    <t>DST/NSTMIS/2025/613</t>
  </si>
  <si>
    <t xml:space="preserve">Dr.Gomathi.T </t>
  </si>
  <si>
    <t>An Agentic AI Based W-PALS for Higher Education Learner</t>
  </si>
  <si>
    <t>24-1-2025</t>
  </si>
  <si>
    <t>TPN / 123967</t>
  </si>
  <si>
    <t>Result Pending</t>
  </si>
  <si>
    <t>Dr.K.Rajalakshmi, Dr. Gomathi T, Dr. Ilango V and Prof. Moumita Roy</t>
  </si>
  <si>
    <t>AI Driven Interactive Learning Support System Bytebuddy- an Virtual Assistant</t>
  </si>
  <si>
    <t>30-1-2025</t>
  </si>
  <si>
    <t>TPN / 124268</t>
  </si>
  <si>
    <t xml:space="preserve">Dr. Gnaneswari Gnanaguru
</t>
  </si>
  <si>
    <t xml:space="preserve">Household Energy Consumption Prediction Model based on the effect of weather conditions utilizing 
home installed energy and weather measuring equipments.
</t>
  </si>
  <si>
    <t>TPN / 124123</t>
  </si>
  <si>
    <t xml:space="preserve">Prof.Varsha
</t>
  </si>
  <si>
    <t>Blockchain-Enhanced Electronic Legal Proceedings Analysis System
with Explainable AI Integration</t>
  </si>
  <si>
    <t>TPN / 123985</t>
  </si>
  <si>
    <t xml:space="preserve">Dr.Vakula Rani                                                        </t>
  </si>
  <si>
    <t>Foldable Water Storage and Distribution: A Low-Cost Solution for Smallholder Farmers in Resource-Limited Areas</t>
  </si>
  <si>
    <t>₹22,00,000</t>
  </si>
  <si>
    <t>TPN/124374</t>
  </si>
  <si>
    <t>Dr. Sagar M B</t>
  </si>
  <si>
    <t>AI-Powered Electro-Osmotic Micro-Syringe for Targeted Anti-VEGF Therapy</t>
  </si>
  <si>
    <t>27,76,000</t>
  </si>
  <si>
    <t>TPN / 124562</t>
  </si>
  <si>
    <t>Dr.Dipansha Kumari</t>
  </si>
  <si>
    <t>Exploring the relationship between intrinsic and extrinsic geometric properties of Shapes.</t>
  </si>
  <si>
    <t>25,00,000</t>
  </si>
  <si>
    <t>31-1-2025</t>
  </si>
  <si>
    <t>TPN / 124409</t>
  </si>
  <si>
    <t>Dr.Archie Thakur</t>
  </si>
  <si>
    <t>Machine Learning Driven Dynamic Cooling System Using Nanofluids and Boundaries</t>
  </si>
  <si>
    <t>TPN/124428</t>
  </si>
  <si>
    <t>Dr.Shivakumar</t>
  </si>
  <si>
    <t>Nanoparticle-Enhanced Rayleigh-B233nard Convection A Novel Approach Integrating Bifurcation Analysis and Physics-Informed Neural Networks for Advanced Thermal Management</t>
  </si>
  <si>
    <t>TPN / 124274</t>
  </si>
  <si>
    <t>Dr. Abinash Panda, Dr. Sridhar N</t>
  </si>
  <si>
    <t>Optical Fiber Sensor Development with Polyelectrolyte-Gold Surface Modification for Detection of Kidney Diseases by Analyzing Ammonia Gas in Exhaled Breath</t>
  </si>
  <si>
    <t>28,04,000</t>
  </si>
  <si>
    <t>27.01.2025</t>
  </si>
  <si>
    <t>TPN / 124075</t>
  </si>
  <si>
    <t>Dr. P. Susheelkumar S.  &amp;           Dr. Venkateswaran K</t>
  </si>
  <si>
    <t>RF Power enabled Smart Automized Agriculture System using
Wireless Sensing Network</t>
  </si>
  <si>
    <t>45,25,000</t>
  </si>
  <si>
    <t>29.01.2025</t>
  </si>
  <si>
    <t>TPN / 123519</t>
  </si>
  <si>
    <t>Dr. Geetanjali, Prof. Ranjitha</t>
  </si>
  <si>
    <t>Advanced Data Processing Techniques for Space Applications</t>
  </si>
  <si>
    <t>40,90,000</t>
  </si>
  <si>
    <t>Not received</t>
  </si>
  <si>
    <t>Dr Ramesh P, Dr Geetanjali</t>
  </si>
  <si>
    <t>"Advanced Miniaturized Protection Architecture for
High-Efficiency DC-DC Power Conversion in
Aerospace Systems"</t>
  </si>
  <si>
    <t>Dr, Harish P &amp; Dr. venkatesh Naik</t>
  </si>
  <si>
    <t>Residual stress measurement and mitigation in high thickness AA2219 alloy friction stir welds for next generation launch vehicles</t>
  </si>
  <si>
    <t>Dr Sagar M B &amp; Dr. Harish P</t>
  </si>
  <si>
    <t>Surface finish improvement of laser Directed Energy deposition products</t>
  </si>
  <si>
    <t>Dr Sagar M B &amp; Dr. Vakula Rani</t>
  </si>
  <si>
    <t xml:space="preserve">Dr Sagar M B &amp; </t>
  </si>
  <si>
    <t>Evaluating the Printability of Carbon-PEEK Nanocomposites for Autonomous Space Construction"</t>
  </si>
  <si>
    <t>Dr Suvitha A</t>
  </si>
  <si>
    <t>Novelty in the creation of novel drugs for enhancing the immune system of women using CADD via DFT</t>
  </si>
  <si>
    <t>94,00,000</t>
  </si>
  <si>
    <t xml:space="preserve">GATES FOUNDATION </t>
  </si>
  <si>
    <t>Dr. Dipansha Kumari</t>
  </si>
  <si>
    <t>Geodesic Motion Planning for Robotic Arms in High Dimensional Configuration space</t>
  </si>
  <si>
    <t>K Meenakshi</t>
  </si>
  <si>
    <t>19-09-2024</t>
  </si>
  <si>
    <t>2024-25</t>
  </si>
  <si>
    <t>S.No</t>
  </si>
  <si>
    <t>Name/Title of the work</t>
  </si>
  <si>
    <t>Funding  Agency</t>
  </si>
  <si>
    <t>Registration Amount(If Activity)</t>
  </si>
  <si>
    <t>No of Participants (If Applicable)</t>
  </si>
  <si>
    <t>Consultancy Amount Generated (Rs.)</t>
  </si>
  <si>
    <t>Expenses (Rs.)</t>
  </si>
  <si>
    <t>Month and Year
(Sep/Oct/Nov/Dec/Jan/Feb)</t>
  </si>
  <si>
    <t>Receipt Link</t>
  </si>
  <si>
    <t>Expert Talk</t>
  </si>
  <si>
    <r>
      <rPr>
        <u/>
        <sz val="10"/>
        <color rgb="FF1155CC"/>
        <rFont val="Arial"/>
      </rPr>
      <t>https://drive.google.com/file/d/19VmAhHGER0dnEiFQvEOm9NisTBdfkJHr/view?usp=sharing</t>
    </r>
    <r>
      <rPr>
        <sz val="10"/>
        <rFont val="Arial"/>
      </rPr>
      <t xml:space="preserve"> </t>
    </r>
  </si>
  <si>
    <t>Prof. Abhijith Saralaya</t>
  </si>
  <si>
    <t>FDP - 5 Days Online FDP on Data Analysisand Visualization with Power Bi &amp; Tableu</t>
  </si>
  <si>
    <t>Rs. 46100</t>
  </si>
  <si>
    <t>153 (153 * 300 = Rs. 45,900 but Rs. 200 paid additionaly by a partcipant by mistake, hence total amount = Rs. 46,100)</t>
  </si>
  <si>
    <t>Bill Proof</t>
  </si>
  <si>
    <t>Resource Person-Hands on PowerBI and Tableau</t>
  </si>
  <si>
    <t>Atria Institute of Technology,Bangalore</t>
  </si>
  <si>
    <t>40+</t>
  </si>
  <si>
    <t>Receipt Proof</t>
  </si>
  <si>
    <t>A three-day, hands-on session on DevOps</t>
  </si>
  <si>
    <t>Madanapalle Institute of Technology,Andhra Pradesh</t>
  </si>
  <si>
    <t>110+</t>
  </si>
  <si>
    <t>19-11-2024,20-11-2024,21-11-2024</t>
  </si>
  <si>
    <t>Resource Person-Hands-On Tableau and PowerBI</t>
  </si>
  <si>
    <t>Sai Vidya Institute of Technology, Bangalore</t>
  </si>
  <si>
    <t>140+</t>
  </si>
  <si>
    <t>03-12-2024,04-12-2024</t>
  </si>
  <si>
    <t>"VTU DevOps Laboratory: Mastering Automation and Collaboration"</t>
  </si>
  <si>
    <t>Cambridge Institute of Technology,Bangalore</t>
  </si>
  <si>
    <t>35+</t>
  </si>
  <si>
    <t>10-02-2024,11-02-2024</t>
  </si>
  <si>
    <t>CIT Proofs</t>
  </si>
  <si>
    <t>Shivakumara M J</t>
  </si>
  <si>
    <t>CV</t>
  </si>
  <si>
    <t>Consultancy - Rebound hammer Renting</t>
  </si>
  <si>
    <t>Yukti Consultants</t>
  </si>
  <si>
    <t>Resource Perosn-Hands on Workshop on Internet of Things(IoT)</t>
  </si>
  <si>
    <t>Dhanalakshmi Srinivasan Engineering College</t>
  </si>
  <si>
    <t>MEP Project Commercialization</t>
  </si>
  <si>
    <t>Aurigence Technologies pvt. Ltd</t>
  </si>
  <si>
    <t>MITS,AP</t>
  </si>
  <si>
    <t>https://drive.google.com/drive/folders/1X8sUfn44i7igpqJGWYGoJyRUddho5BV6?usp=drive_link</t>
  </si>
  <si>
    <r>
      <rPr>
        <b/>
        <u/>
        <sz val="10"/>
        <color rgb="FF1155CC"/>
        <rFont val="Arial"/>
      </rPr>
      <t>https://drive.google.com/file/d/1bCUVXM4FkbLOfCfcS4ZcrVFmFjQk95Ob/view?usp=sharing</t>
    </r>
    <r>
      <rPr>
        <b/>
        <sz val="10"/>
        <rFont val="Arial"/>
      </rPr>
      <t xml:space="preserve"> </t>
    </r>
  </si>
  <si>
    <t>Dr Uma lakshmi</t>
  </si>
  <si>
    <t>Customer Analytics</t>
  </si>
  <si>
    <t>Benfornia LLP Banglore</t>
  </si>
  <si>
    <t>Dec-24 to Feb -25</t>
  </si>
  <si>
    <t>https://drive.google.com/drive/folders/13yZzJZfYLjnUXuolLrsS7vzAAWkx47uu?usp=drive_link</t>
  </si>
  <si>
    <t>Resource person for the 1-Day Training Program on "AIML in Healthcare"</t>
  </si>
  <si>
    <t>Sri Ramachandra Faculty of Management Sciences, Chennai</t>
  </si>
  <si>
    <t>https://drive.google.com/drive/folders/1-jc3Q5gFvNUhfgU8q8shBbUDMtTj9I7F?usp=drive_link</t>
  </si>
  <si>
    <t>5-Day STTP on "Decision Modelling using MS Excel"</t>
  </si>
  <si>
    <t>02-06 June 2025</t>
  </si>
  <si>
    <t>Pending Approval</t>
  </si>
  <si>
    <t>2-Day International Conference on Business Analytics &amp; Intelligence (BAIN-2025)</t>
  </si>
  <si>
    <t>16 - 17 May 2025</t>
  </si>
  <si>
    <t>pending approval</t>
  </si>
  <si>
    <t>Meenakshi K, Hanumantha, Pratap</t>
  </si>
  <si>
    <t>FDP (Fuzzy Sets and Linear Algebra)</t>
  </si>
  <si>
    <t>100/--200/-</t>
  </si>
  <si>
    <t>Dr Venkateswaran K &amp; Sridhar N</t>
  </si>
  <si>
    <t>FDP</t>
  </si>
  <si>
    <t>Rs.500</t>
  </si>
  <si>
    <t>Rs.14,000/-</t>
  </si>
  <si>
    <t>Nov'2024</t>
  </si>
  <si>
    <t>FDP1_Accounts Statement Dec 2024.pdf</t>
  </si>
  <si>
    <t>LTTP(R Mastery: From Basics to Advanced Data Science)</t>
  </si>
  <si>
    <t>Student - Rs 200/-
Faculty - Rs 300/-</t>
  </si>
  <si>
    <t>2025-Jan-ISE-C001_LTTP</t>
  </si>
  <si>
    <t>Session Chair for ICCIDS 2025</t>
  </si>
  <si>
    <t>SSN Insitutions, Chennai</t>
  </si>
  <si>
    <t>Consultancy Load</t>
  </si>
  <si>
    <t>Assistant Faculty for IUCEE International Educators Certification Program (IIECP)</t>
  </si>
  <si>
    <t xml:space="preserve">Indo-Universal Collaboration for Engineering Education </t>
  </si>
  <si>
    <t>https://drive.google.com/file/d/1HT0hpIzTKtHrl7SqYrDPrzPrjcLBYIH0/view?usp=drive_link</t>
  </si>
  <si>
    <t>Olympiad coaching</t>
  </si>
  <si>
    <t xml:space="preserve">Resource person for the 2 days hands-on session on "Prototype Design &amp; Development of UI/UX" </t>
  </si>
  <si>
    <t xml:space="preserve">Atria Institute of Technology,Bangalore </t>
  </si>
  <si>
    <t>150+</t>
  </si>
  <si>
    <t>C (2025-Mar-ISE-C001)</t>
  </si>
  <si>
    <t>Invited Talk</t>
  </si>
  <si>
    <t>MDSD College</t>
  </si>
  <si>
    <t>Dr. Vakula Rani</t>
  </si>
  <si>
    <t>Robotic Training</t>
  </si>
  <si>
    <t>Soham Academy of Excellence</t>
  </si>
  <si>
    <r>
      <rPr>
        <u/>
        <sz val="10"/>
        <color rgb="FF1155CC"/>
        <rFont val="Arial"/>
      </rPr>
      <t>https://drive.google.com/file/d/1LC_XwrUYxhOM2pAT7IwvK-xQDCaamPz2/view?usp=drive_link</t>
    </r>
  </si>
  <si>
    <t>Dr.Gnaneswari</t>
  </si>
  <si>
    <t>Course Expert for VTU Online (AI/DS)</t>
  </si>
  <si>
    <t>Training and Interactive Sessions</t>
  </si>
  <si>
    <r>
      <rPr>
        <u/>
        <sz val="10"/>
        <color rgb="FF1155CC"/>
        <rFont val="Arial"/>
      </rPr>
      <t>https://drive.google.com/file/d/1epFpRDEtwdWgCD23l83N3VHII4qCDs7v/view?usp=sharing</t>
    </r>
  </si>
  <si>
    <t>Dr. Sanchari Saha, Prof. Sagarika Behera, Dr. Preethi Sheba , Dr. Manju V N,  Prof. Krishna Sowjanya</t>
  </si>
  <si>
    <t>IEEE Conference ( 6th - 7th Dec 2024)</t>
  </si>
  <si>
    <t>5th International Conference on Communication, Computing &amp; Industry 6.0 (C2I6-2024)</t>
  </si>
  <si>
    <r>
      <rPr>
        <u/>
        <sz val="11"/>
        <rFont val="Calibri, sans-serif"/>
      </rPr>
      <t>https://drive.google.com/file/d/1sYf-hKdnAXPa_socW0Zqit0nvrIBoQWa/view?usp=sharing</t>
    </r>
  </si>
  <si>
    <t>LTTP</t>
  </si>
  <si>
    <t>Rs. 500</t>
  </si>
  <si>
    <t>Receipt from Accounts ( Shared by Dr. Venkatesh - Rs.30000 /- &amp; Dr. Parthasarathy - Rs.6000 /-).pdf</t>
  </si>
  <si>
    <t>Venkateswaran K &amp; Sridhar N</t>
  </si>
  <si>
    <t>Rs 500</t>
  </si>
  <si>
    <t>Rs.16000/-</t>
  </si>
  <si>
    <t>Dr. Viji K &amp; Anju Das</t>
  </si>
  <si>
    <t xml:space="preserve">Consultancy </t>
  </si>
  <si>
    <t>Nexospark Pvt Ltd</t>
  </si>
  <si>
    <r>
      <rPr>
        <u/>
        <sz val="10"/>
        <color rgb="FF1155CC"/>
        <rFont val="Arial"/>
      </rPr>
      <t>https://drive.google.com/file/d/1FURHyqSX4iscx5U1gbnHgMf4CVgYGmNe/view?usp=sharing</t>
    </r>
    <r>
      <rPr>
        <sz val="10"/>
        <rFont val="Arial"/>
      </rPr>
      <t xml:space="preserve"> </t>
    </r>
  </si>
  <si>
    <t>EVO Electricals and Electronics</t>
  </si>
  <si>
    <t>https://drive.google.com/file/d/117CfPMibRY1tn-LlfY1sOK_GIgvi2g5m/view?usp=drive_link</t>
  </si>
  <si>
    <t>Electrotech Engineers</t>
  </si>
  <si>
    <t>https://drive.google.com/file/d/10vydXNhGYlFg5bQFiIj4qKwxVZ41tF1z/view?usp=drive_link</t>
  </si>
  <si>
    <t>Particepents</t>
  </si>
  <si>
    <t xml:space="preserve">Dr Balaji C </t>
  </si>
  <si>
    <t>https://drive.google.com/file/d/1YTKMani05R5GYwtBKfJBKyhuNTeNyLqJ/view?usp=drive_link</t>
  </si>
  <si>
    <t>Web Development</t>
  </si>
  <si>
    <t>Labrys Solution Pvt. Ltd.</t>
  </si>
  <si>
    <t>https://drive.google.com/drive/folders/1eFNoMP6BLrhdPBJtgJ_-mocuzwNAHccj?usp=sharing</t>
  </si>
  <si>
    <t>Course Expert for VTU Online MCA (AI/DS)</t>
  </si>
  <si>
    <t>consultancy payment proof.pdf</t>
  </si>
  <si>
    <t>UI Design</t>
  </si>
  <si>
    <t>Indiaassurance Ltd</t>
  </si>
  <si>
    <t>https://drive.google.com/file/d/1exowLMPFgJbaO0Eb5VUCI3bw8PQ8Vo59/view?usp=sharing</t>
  </si>
  <si>
    <t>Dr. Priti Gupta &amp; Dr. Prabhat Gautam</t>
  </si>
  <si>
    <t>CHME</t>
  </si>
  <si>
    <t>Generated from STTP conducted under CoE-Materials &amp; Sensors</t>
  </si>
  <si>
    <t>https://drive.google.com/drive/folders/1rclWVAY0tpz6nrctgDXLrgnaqQX1agUR?usp=drive_link</t>
  </si>
  <si>
    <t>ECE Faculty</t>
  </si>
  <si>
    <t>ICECCC Conference 2025</t>
  </si>
  <si>
    <t>Training Session</t>
  </si>
  <si>
    <t>Pralotech Solutions</t>
  </si>
  <si>
    <t>30+</t>
  </si>
  <si>
    <t>Feb and March 2025</t>
  </si>
  <si>
    <t>2025-Feb-ISE-C001</t>
  </si>
  <si>
    <t>Prof.Suguna Devi</t>
  </si>
  <si>
    <t>C_Load(2025-Feb-ISE-C001) (Rs.5000 Prof.Suguna, Rs.5000 Prof.Arvind)</t>
  </si>
  <si>
    <t>Suruchi</t>
  </si>
  <si>
    <t>Online classes</t>
  </si>
  <si>
    <t>Mergenlab.ai</t>
  </si>
  <si>
    <t>C  (2025-June-ISE-C003)</t>
  </si>
  <si>
    <t>ISA</t>
  </si>
  <si>
    <t>July, August, September 2024</t>
  </si>
  <si>
    <t>Invoice</t>
  </si>
  <si>
    <t>The Industrial Automobiles and Suppliers</t>
  </si>
  <si>
    <t>College_Recepit_C_Load_2025.pdf</t>
  </si>
  <si>
    <t xml:space="preserve">VJT Private Limited </t>
  </si>
  <si>
    <t>Consultancy-2025-May-EEE-C001</t>
  </si>
  <si>
    <t>Dr.Jagadishwari P</t>
  </si>
  <si>
    <t>Thimmaih Institute of technology</t>
  </si>
  <si>
    <t>C_2025-June-ISE-C004.</t>
  </si>
  <si>
    <t>IoT-Based LED Lighting Programmer</t>
  </si>
  <si>
    <t>M/S JOBS ELECTRIC PVT LTD</t>
  </si>
  <si>
    <t>C Load</t>
  </si>
  <si>
    <t>AI &amp; ML Engineer</t>
  </si>
  <si>
    <t>Padmalaya Power Solutions</t>
  </si>
  <si>
    <t>https://drive.google.com/drive/folders/19iRnko_KHSL9ufF9G71yEaj1uH4Zw23N?usp=drive_link</t>
  </si>
  <si>
    <t>project</t>
  </si>
  <si>
    <t>Cap Inde Coirs Pvt. Ltd</t>
  </si>
  <si>
    <t>https://drive.google.com/file/d/1Z-oM2LXKj5UTpjJHkJ7aOhmekjQgIwpX/view?usp=drive_link</t>
  </si>
  <si>
    <t>Website Design</t>
  </si>
  <si>
    <t>Karappan Silks</t>
  </si>
  <si>
    <t>Suvitamara Designs</t>
  </si>
  <si>
    <t>2025-June-CSE-C003_Consultancy_RCID.pdf</t>
  </si>
  <si>
    <t>Ranjini K</t>
  </si>
  <si>
    <t>Front-End Developer</t>
  </si>
  <si>
    <t>Blockceuticals Pvt. Ltd</t>
  </si>
  <si>
    <t>C_LOAD</t>
  </si>
  <si>
    <t>Pooja Goud</t>
  </si>
  <si>
    <t>Dr. Shanthi M B</t>
  </si>
  <si>
    <t>Member-Board of Studies</t>
  </si>
  <si>
    <t>RRIT</t>
  </si>
  <si>
    <t>https://drive.google.com/file/d/1NV3WV4u-XO1iVLuIBVSZXeb-_mMlSO6i/view?usp=sharing</t>
  </si>
  <si>
    <t>Prof. Roma Kudale</t>
  </si>
  <si>
    <t>Teaching</t>
  </si>
  <si>
    <t>Pixaflip Technologies</t>
  </si>
  <si>
    <t>https://drive.google.com/drive/folders/1Sgv6aXuhiA7mll-jWVXEdUo7gtjl4amh?usp=sharing</t>
  </si>
  <si>
    <t>Consultancy</t>
  </si>
  <si>
    <t>Codestep Technologies</t>
  </si>
  <si>
    <t>https://drive.google.com/file/d/11AZrcU3OIR2NM0QHIhleom2qYUlt50Hv/view?usp=sharing</t>
  </si>
  <si>
    <t>Mr Vijayanand P</t>
  </si>
  <si>
    <t>Dhanalakshmi E- Pharmacy</t>
  </si>
  <si>
    <t>https://drive.google.com/drive/folders/12a70QeF899MIdmUuSDZAARSKkffEScWX?usp=drive_link</t>
  </si>
  <si>
    <t>Dr. Sam Gilvine Samuvel</t>
  </si>
  <si>
    <t>https://drive.google.com/drive/folders/136nM5WP6SJvI5JKrlQK5NqgNi2oHBnm3?usp=sharing</t>
  </si>
  <si>
    <t>Ezatlas</t>
  </si>
  <si>
    <t>https://drive.google.com/drive/folders/1XFTfhdWKiP1qfyjRwS98fifXPcTFx9E0?usp=drive_link</t>
  </si>
  <si>
    <t>https://drive.google.com/file/d/1rLov6oLG0U34dWFP-IWpMV_PqvYdhKj-/view?usp=drive_link</t>
  </si>
  <si>
    <t>Varsha Pawar</t>
  </si>
  <si>
    <t>Course Expert for VTU Online MCA</t>
  </si>
  <si>
    <t>Training Sessions</t>
  </si>
  <si>
    <t>2025-June-MCA-C002_Receipt.pdf</t>
  </si>
  <si>
    <t>EEB Engineering design and consultancy services pvt ltd.</t>
  </si>
  <si>
    <t>https://drive.google.com/file/d/1_cFZB6TWw_EBsYTPcGDBOJ_5dsjUiwpT/view?usp=sharing</t>
  </si>
  <si>
    <t xml:space="preserve">Ashutosh Srivastava </t>
  </si>
  <si>
    <t xml:space="preserve"> Workshop </t>
  </si>
  <si>
    <t>C Load receipt.pdf</t>
  </si>
  <si>
    <t xml:space="preserve">IDP Education </t>
  </si>
  <si>
    <t>https://drive.google.com/file/d/1IuL3Pb-5Yp9pddjq89oLiXMJlx117hXV/view?usp=drive_link</t>
  </si>
  <si>
    <t>Taksheela institute of education</t>
  </si>
  <si>
    <t>https://drive.google.com/file/d/1HKIldf4KmKQrc7M7KMTW6os9FM8Nn1HR/view?usp=drive_link</t>
  </si>
  <si>
    <t>TRU MODULAR</t>
  </si>
  <si>
    <t>C-Load Receipt 2025.pdf</t>
  </si>
  <si>
    <t>IEEE ECE Dept. International Conference</t>
  </si>
  <si>
    <t>Through Registration</t>
  </si>
  <si>
    <t>300/- for students
500/- for faculty, industry person</t>
  </si>
  <si>
    <t>Account Statement.pdf</t>
  </si>
  <si>
    <t>Conference</t>
  </si>
  <si>
    <t>Registration</t>
  </si>
  <si>
    <t>C-Load Calculation from Conference.pdf</t>
  </si>
  <si>
    <t>Dr.Eisha Akanksha</t>
  </si>
  <si>
    <t>MOU</t>
  </si>
  <si>
    <t>AIML Labs PVT Ltd</t>
  </si>
  <si>
    <t>https://drive.google.com/file/d/1J-6jE4M3rI-kvbq8xNxfDZAqwhyX9irZ/view?usp=sharing</t>
  </si>
  <si>
    <t>ATME, Mysore</t>
  </si>
  <si>
    <t>ATME</t>
  </si>
  <si>
    <t>ICECCC Conference, May 2024</t>
  </si>
  <si>
    <t>c_Load_ICECCC_2024.pdf</t>
  </si>
  <si>
    <t>https://drive.google.com/file/d/1JH4CrDrY-Vgl6_xyD5QhchcVyHKtwdgW/view?usp=drive_link</t>
  </si>
  <si>
    <t>Dr. P. Susheelkumar S.</t>
  </si>
  <si>
    <t>2025-May-ECE-C004_C_Load_from_ICECCC_2024.pdf</t>
  </si>
  <si>
    <t xml:space="preserve"> Resource Person</t>
  </si>
  <si>
    <t xml:space="preserve"> IEP Solutions</t>
  </si>
  <si>
    <t>May2025, June 2025</t>
  </si>
  <si>
    <t>C-Load distribution -Conference AY_24-25.pdf                                                                                  C load Bill.pdf</t>
  </si>
  <si>
    <t>Startup Initiated</t>
  </si>
  <si>
    <t>Registration Amount per head (If Event)</t>
  </si>
  <si>
    <t>Revenue Generation through Start-up (Rs.)</t>
  </si>
  <si>
    <t>Expenses(Rs.)</t>
  </si>
  <si>
    <t>Name of the Training Program</t>
  </si>
  <si>
    <t>Published / Filed Month and year
(Sep/Oct/Nov/Dec/Jan/Feb)</t>
  </si>
  <si>
    <t>FDP - 5 Days Online FDP on Data Analysisand Visualization with Power Bi &amp; Tableu-EDUCAST</t>
  </si>
  <si>
    <t>Rs. 300</t>
  </si>
  <si>
    <t>2024-Sep-ISE-C001(KomalaDevi Rs.23050/-  &amp;  Abhijith Rs.23050/- )</t>
  </si>
  <si>
    <t>Dr.V.Ilango and Dr.Gnaneswari G</t>
  </si>
  <si>
    <t>Warrion Consulting Services and Solutions PVt LTD</t>
  </si>
  <si>
    <t>Students Development Programme</t>
  </si>
  <si>
    <t>Students Development Programme-Sep 2024</t>
  </si>
  <si>
    <t>https://drive.google.com/file/d/18it-yoKJtilKEQUmopj6v6KlTCu0lGwC/view?usp=sharing</t>
  </si>
  <si>
    <t>Meenakshi K</t>
  </si>
  <si>
    <t>For AGRIHAARA</t>
  </si>
  <si>
    <t xml:space="preserve">Dr.Mohan N </t>
  </si>
  <si>
    <t>Legal Consultent We care your Business</t>
  </si>
  <si>
    <t>Legal consultent &amp; Posh traning</t>
  </si>
  <si>
    <t>Dr.Vakula Rani</t>
  </si>
  <si>
    <t>Lumyz IT Solutions</t>
  </si>
  <si>
    <t>Dr. Parthasarathy P &amp; Dr. Kavitha D</t>
  </si>
  <si>
    <t>Xenora BioWorks Privated Limited</t>
  </si>
  <si>
    <t xml:space="preserve">3 Days Online Training Program on AI &amp; Machine Learning-Driven Innovations in Microbial Culture Production for Metal Ion Extraction and Clinical Applications
</t>
  </si>
  <si>
    <t>Shivkumar, Narasimha ,Niranjan</t>
  </si>
  <si>
    <t>EC&amp;MATHS</t>
  </si>
  <si>
    <t>Nueinn Technologies</t>
  </si>
  <si>
    <t>Mastering LaTex for research and innovation hands</t>
  </si>
  <si>
    <t>LUMYZ IT Solutions</t>
  </si>
  <si>
    <t>Robic Academic Program &amp; innovation Challenges</t>
  </si>
  <si>
    <t>April/ May 2025</t>
  </si>
  <si>
    <r>
      <rPr>
        <u/>
        <sz val="10"/>
        <color rgb="FF1155CC"/>
        <rFont val="Arial"/>
      </rPr>
      <t>https://drive.google.com/file/d/1VaX7NtjCj9k_43d5NQwiDT3v3u9eA4xT/view?usp=drive_link</t>
    </r>
  </si>
  <si>
    <t>Xenora BioWorks Privated Limited (Registered Under MCA &amp; MSME)</t>
  </si>
  <si>
    <t>Project work (Outsourcing)</t>
  </si>
  <si>
    <t>April</t>
  </si>
  <si>
    <t>EDUCAST</t>
  </si>
  <si>
    <t>Data Visualization using Power BI</t>
  </si>
  <si>
    <t>2024-Sep-ISE-Udy-E001</t>
  </si>
  <si>
    <t>Pre Conference Workshop</t>
  </si>
  <si>
    <t>2024-Nov-ISE-Udy-E001</t>
  </si>
  <si>
    <t>Data Visualization using Tableau</t>
  </si>
  <si>
    <t>2024-Sep-ISE-Udy-E002 (KomalaDevi Rs.6000/-  &amp;  Abhijith Rs.6000/- )</t>
  </si>
  <si>
    <t>Rs. 10,000</t>
  </si>
  <si>
    <t>Jan/ Feb 2025</t>
  </si>
  <si>
    <t>https://drive.google.com/file/d/1GNWjyM0Yxzc2IP90ij9PzVpHyriGd7W_/view?usp=drive_link</t>
  </si>
  <si>
    <t>https://drive.google.com/file/d/1ZG2giB55FCJzlni45L3CgVE_Ms1hvRMB/view?usp=sharing</t>
  </si>
  <si>
    <t>2025-Jan-MCA-Udy-E001</t>
  </si>
  <si>
    <t>Rynam Learning Solutions</t>
  </si>
  <si>
    <t>Train the trainer programme</t>
  </si>
  <si>
    <t>https://drive.google.com/file/d/14TGQoUMpOWm2PfRbdfYgA0NsxdnPTrr3/view?usp=drive_link</t>
  </si>
  <si>
    <t>100+</t>
  </si>
  <si>
    <t>3-Day Workshop – DevOps Bootcamp: From Build Automation to Cloud-Based CI/CD Pipelines</t>
  </si>
  <si>
    <t>2025-June-ISE-Udy-E001</t>
  </si>
  <si>
    <t>2-Day Workshop – Devops and Cloud Computing</t>
  </si>
  <si>
    <t>2025-June-ISE-Udy-E002</t>
  </si>
  <si>
    <t>Internship training</t>
  </si>
  <si>
    <t xml:space="preserve"> Feb and March 2025</t>
  </si>
  <si>
    <t xml:space="preserve">2025-Feb-ISE-Udy-E001
</t>
  </si>
  <si>
    <t>E_Load(2025-Feb-ISE-Udy-E001) (Rs.15000 Prof.Suguna, Rs.15000 Prof.Arvind)</t>
  </si>
  <si>
    <t xml:space="preserve">Dr.Jagadishwari and Ms Shilpa Pande </t>
  </si>
  <si>
    <t xml:space="preserve">2025-Apr-ISE-Udy-E002 </t>
  </si>
  <si>
    <t xml:space="preserve">2024-Nov-ISE-Udy-E002
</t>
  </si>
  <si>
    <t>PGEC Registered at MCA</t>
  </si>
  <si>
    <t>SDP</t>
  </si>
  <si>
    <t>https://drive.google.com/drive/folders/1dE8KOL_iJB5vJoETVxmltkzwbXiy6S-r?usp=drive_link</t>
  </si>
  <si>
    <t>Dr. Sanchari Saha, Prof. Savitha N J, Prof. Smitha N</t>
  </si>
  <si>
    <t>AI TECH SOLUTIONS</t>
  </si>
  <si>
    <t>Internship</t>
  </si>
  <si>
    <t>Sep- Dec 2024</t>
  </si>
  <si>
    <t>2024-Sep-CSE-Udy-E001_(Savitha, Smitha, Sanchari-each-9333--)</t>
  </si>
  <si>
    <t>Project</t>
  </si>
  <si>
    <t>2025-June-CSE-Udy-E001 _(Savitha, Smitha, Sanchari-each-21k)</t>
  </si>
  <si>
    <t>MetaHeuristic coprporate India Pvt Ltd.</t>
  </si>
  <si>
    <t>Workshop</t>
  </si>
  <si>
    <t>2.05.2025</t>
  </si>
  <si>
    <t>Eload 2025 odd sem</t>
  </si>
  <si>
    <t>Installation of Eco-Saver Tech Units</t>
  </si>
  <si>
    <t>https://drive.google.com/drive/folders/1gW-vh_bC3Y-y_wfUq4O7hZ0F2ReXbjya?usp=drive_link</t>
  </si>
  <si>
    <t xml:space="preserve">Dr.Sam Gilivine </t>
  </si>
  <si>
    <t>https://drive.google.com/drive/folders/103Dm1N98Rqyvewpdg7HRrAr3ad1NfO8b?usp=sharing</t>
  </si>
  <si>
    <t>Dr. Shanthi M. B.</t>
  </si>
  <si>
    <t>Smartricity</t>
  </si>
  <si>
    <t xml:space="preserve">Getting orders for installation of ecosaver Tech units </t>
  </si>
  <si>
    <t>https://drive.google.com/file/d/1oVRUFYoMr0weTMy25jamZYYeHYf5UWig/view?usp=sharing</t>
  </si>
  <si>
    <t>1000/Person</t>
  </si>
  <si>
    <t>Internship training-JAVA</t>
  </si>
  <si>
    <t>2025-Apr-ISE-Udy-E001</t>
  </si>
  <si>
    <t>https://drive.google.com/drive/folders/1c03mAvmMB6vuu5UIIyc25DN-m1n9kgFz?usp=drive_link</t>
  </si>
  <si>
    <t>UI deisgn</t>
  </si>
  <si>
    <t>https://drive.google.com/drive/u/1/folders/1x2DYVdDkKOL3Nn1YxDVK9xirlpbeY-8b</t>
  </si>
  <si>
    <t>U SHIKSHA</t>
  </si>
  <si>
    <t>U-Shiksha -Video selling</t>
  </si>
  <si>
    <t>Nov</t>
  </si>
  <si>
    <t>https://drive.google.com/file/d/1oFare2iRxVs1AeuRuHPf-gKGlePjztp0/view?usp=drive_link</t>
  </si>
  <si>
    <t>Dr. P. Susheelkumar S.,
 Prof. Ashutosh S.,
 Prof. Sachin A.,
 Prof. Krishna Teja</t>
  </si>
  <si>
    <t>CAPAPROXI</t>
  </si>
  <si>
    <t>Online IoT Workshop and Student Inernship</t>
  </si>
  <si>
    <t>MAy</t>
  </si>
  <si>
    <t>Capaproxi Reciepts.pdf</t>
  </si>
  <si>
    <t>Dr. NAVEEN KUMAR G N</t>
  </si>
  <si>
    <t>SMARTRICITY SOLUTION</t>
  </si>
  <si>
    <t>INSTALLATION OF ECO SAVER UNITS</t>
  </si>
  <si>
    <t>E-Load receipt.2025.pdf</t>
  </si>
  <si>
    <t>INSTALLATION OF ECO SAVER UNITS AT LAPTOP MENU</t>
  </si>
  <si>
    <t>E-load 2024-2025 Receipt_Dr.Ananth.pdf</t>
  </si>
  <si>
    <t>Resource Person for DST Project through the start up "Rootery"</t>
  </si>
  <si>
    <t>Resource person</t>
  </si>
  <si>
    <t>https://drive.google.com/drive/folders/1_HKiGDLgw004091aMamFFa57fG7guQ3h</t>
  </si>
  <si>
    <t>E load receipt .pdf</t>
  </si>
  <si>
    <t>U Shiksha</t>
  </si>
  <si>
    <t>Light board product selling</t>
  </si>
  <si>
    <t>https://drive.google.com/file/d/14ugXa3J6ofageIYTTsG_SYqC93UgOH3K/view?usp=drive_link</t>
  </si>
  <si>
    <t>Installation of ECO Saver units</t>
  </si>
  <si>
    <t>E_Load</t>
  </si>
  <si>
    <t>REVOL2ROBO</t>
  </si>
  <si>
    <t>Robotics and Drones Start Up: Challenges, Opportunities and Innovations</t>
  </si>
  <si>
    <t>ACCOUNT STATEMENT.pdf</t>
  </si>
  <si>
    <t>https://drive.google.com/file/d/12QaKaPRcik8f4wuRdbQRZfGtGsJHaJr0/view?usp=drive_link</t>
  </si>
  <si>
    <t>“Mastering LaTeX for Research and
Innovation: Hands-on Training for Aspiring
Entrepreneurs and Researchers”</t>
  </si>
  <si>
    <t>https://drive.google.com/drive/folders/14D0SF1TnN_z4QWtqkPd6gzvj_8PIyo0u?usp=drive_link</t>
  </si>
  <si>
    <t>Smart Switch</t>
  </si>
  <si>
    <t>https://drive.google.com/file/d/1D7s4s0yLhpMBDyTudiQ6zgvlpvVOyWuR/view?usp=drive_link</t>
  </si>
  <si>
    <t>https://drive.google.com/file/d/1WfIQE7PVYhX0RSqoqapPLudXbVlYXW7e/view?usp=drive_link</t>
  </si>
  <si>
    <t xml:space="preserve">Number of teachers provided with financial support to attend conferences/workshops and towards membership fee of professional bodies during the year
                 </t>
  </si>
  <si>
    <t>Year</t>
  </si>
  <si>
    <t>Name of the Faculty</t>
  </si>
  <si>
    <t>Name of conference/ workshop attended for which financial support provided</t>
  </si>
  <si>
    <t>Name of the professional body for which membership fee is provided</t>
  </si>
  <si>
    <t>Amount of support (Rs.)</t>
  </si>
  <si>
    <t xml:space="preserve">Journal of Social Network Analysis and Mining </t>
  </si>
  <si>
    <t>IEEE Membership</t>
  </si>
  <si>
    <t>NPTEL Course</t>
  </si>
  <si>
    <t>SCRS Membership</t>
  </si>
  <si>
    <t>Mr Vijay Anand P</t>
  </si>
  <si>
    <t>Conference Registration Fee</t>
  </si>
  <si>
    <t>Ms. Pratimarani Jena</t>
  </si>
  <si>
    <t>Mrs. Roma Kudale</t>
  </si>
  <si>
    <t>IFERP Membership</t>
  </si>
  <si>
    <t>Mrs. Anushree G</t>
  </si>
  <si>
    <t>two NPTEL Course</t>
  </si>
  <si>
    <t>Mrs. Jareena Begum</t>
  </si>
  <si>
    <t>ISTE Membership</t>
  </si>
  <si>
    <t>Mrs. Bhavana Thomas</t>
  </si>
  <si>
    <t>Mrs. Vedashree L V</t>
  </si>
  <si>
    <t>Mrs. Anusha</t>
  </si>
  <si>
    <t>Ms. Vidyavathi</t>
  </si>
  <si>
    <t>Ms. Sevanthi P</t>
  </si>
  <si>
    <t>Mrs. A Swetha Cordelia</t>
  </si>
  <si>
    <t>Ms Bhavya P K</t>
  </si>
  <si>
    <t>NPTEL course</t>
  </si>
  <si>
    <t>Mr Anil Kumar Ambati</t>
  </si>
  <si>
    <t xml:space="preserve">Physics </t>
  </si>
  <si>
    <t xml:space="preserve">Dr Suvitha </t>
  </si>
  <si>
    <t>Q2 paper</t>
  </si>
  <si>
    <t>Experimental and DFT perspectives: Exloring spectral , liner nd non linear optical properite of p- nitrophenol complex crstal for NLO appln</t>
  </si>
  <si>
    <t xml:space="preserve">Remarkable NH3 gas sensining performance of spray depositiond Tb doped WO3 thin films at room temperature </t>
  </si>
  <si>
    <t xml:space="preserve">Fabrication of SnSe nanostructure visible light photodector </t>
  </si>
  <si>
    <t>Dr.Shyam P Joy</t>
  </si>
  <si>
    <t>2024-Oct-AIML-001:  ICMLANT 2024 Registration</t>
  </si>
  <si>
    <t>ACM Membership renewal</t>
  </si>
  <si>
    <t xml:space="preserve">Ms. Novy Jacob </t>
  </si>
  <si>
    <t>MOOC: Introduction to Machine Learning; Bigdata Computing</t>
  </si>
  <si>
    <t>Ms. Shivani Gupta</t>
  </si>
  <si>
    <t>MOOC: Introduction to Machine Learning</t>
  </si>
  <si>
    <t xml:space="preserve">Ms. Navya VK </t>
  </si>
  <si>
    <t>MOOC: Introduction to Machine Learning; Research Methodology</t>
  </si>
  <si>
    <t>Ms. Priyanka ST</t>
  </si>
  <si>
    <t>M patent: 2024-Oct-AIML-T002 ;  MOOC: Introduction to Operating System</t>
  </si>
  <si>
    <t>Ms. Jeevitha R</t>
  </si>
  <si>
    <t>MOOC: Joy of computing-Python</t>
  </si>
  <si>
    <t xml:space="preserve">Ms. Anshika Shukla </t>
  </si>
  <si>
    <t>M patent: 2024-Oct-AIML-T001 ;  MOOC: Introduction to Operating System</t>
  </si>
  <si>
    <t>I-SMAC 2024 Conference</t>
  </si>
  <si>
    <t>M patent: 2024-Oct-EEE-T001 ;  MOOC: Introduction to Machine Learning</t>
  </si>
  <si>
    <t>Dr.Gomathi.T</t>
  </si>
  <si>
    <t>NPTEL MOOC and Mandatory Patent</t>
  </si>
  <si>
    <t>M Patent:2024-Dec-MCA-T001
MOOC:Big Data computing</t>
  </si>
  <si>
    <t>M Patent:2024-Dec-MCA-T005
MOOC:Introduction to Machine Learning</t>
  </si>
  <si>
    <t>IEEE Membership ID:100924906</t>
  </si>
  <si>
    <t>Conference Incentives</t>
  </si>
  <si>
    <t xml:space="preserve">Mrs. Lynsha pratheeba </t>
  </si>
  <si>
    <t>SCRS prof body membership</t>
  </si>
  <si>
    <t xml:space="preserve">Mrs. Rajeshwari Rangaswamy </t>
  </si>
  <si>
    <t>ISTE Lifetime prof body membership</t>
  </si>
  <si>
    <t>InSc Lifetime prof body membership</t>
  </si>
  <si>
    <t>Dr. Ramesh</t>
  </si>
  <si>
    <t>Q2-SCIE</t>
  </si>
  <si>
    <t>Dr.Abinash Panda</t>
  </si>
  <si>
    <t>Dr.Meenakshi R Patil</t>
  </si>
  <si>
    <t>Q1-Open Access Journal</t>
  </si>
  <si>
    <t>Prof.Manjunath V Gudur</t>
  </si>
  <si>
    <t>Q2-Regular Issue</t>
  </si>
  <si>
    <t>Dr.Rangeet Mitra</t>
  </si>
  <si>
    <t>Q1-Regular Issue</t>
  </si>
  <si>
    <t>IEEE Conference</t>
  </si>
  <si>
    <t>Dr.Sridevi S</t>
  </si>
  <si>
    <t>Paramitha Mithra</t>
  </si>
  <si>
    <t>ARVIND R</t>
  </si>
  <si>
    <t>Mandatory Patent :
Predictive Maintenance and Defect Analysis System for Electronic Gadgets Using
Explainable AI (XAI). 
RC-ID: 2024-Aug-ISE-T002</t>
  </si>
  <si>
    <t xml:space="preserve">NPTEL MOOC COURSE :
BIG DATA COMPUTING </t>
  </si>
  <si>
    <t>BS</t>
  </si>
  <si>
    <t>Pakrudheen</t>
  </si>
  <si>
    <t>Q1 Incentives</t>
  </si>
  <si>
    <t>MOOC NPTEL + Mandatory Patent 
RCID: 2024-Aug-ISE-T001</t>
  </si>
  <si>
    <t>NPTEL MOOC COURSE :
Google Cloud Computing Foundations</t>
  </si>
  <si>
    <t>Mandatory Paper, RCID: 2024-Jun-ISE-016</t>
  </si>
  <si>
    <t>Dr.Senthil Velan</t>
  </si>
  <si>
    <t>Q2 Journal</t>
  </si>
  <si>
    <t>KANIKA AGRAWAL</t>
  </si>
  <si>
    <t>MOOCs-(NPTEL)- "Data Base Management System", Mandatory Patent, (RCID: 2024-Aug-ISE-T003)</t>
  </si>
  <si>
    <t>Dr.Naveen Kumar G N</t>
  </si>
  <si>
    <t>ISTE Life Time Membership</t>
  </si>
  <si>
    <t xml:space="preserve">Q1 and Q2 </t>
  </si>
  <si>
    <t>Dr Rajendra Prasad Reddy</t>
  </si>
  <si>
    <t xml:space="preserve">Dr.Naveen Kumar G N </t>
  </si>
  <si>
    <t>CISCSD 2024 conferencs</t>
  </si>
  <si>
    <t>Prof. M. Jayashree</t>
  </si>
  <si>
    <t xml:space="preserve">Monika Singh </t>
  </si>
  <si>
    <t>Dr. Ayyappa</t>
  </si>
  <si>
    <t>Q1 Incentives (Open Acess)</t>
  </si>
  <si>
    <t>Q3 paper</t>
  </si>
  <si>
    <t>Dr. Varsha B</t>
  </si>
  <si>
    <t>Q1 Paper</t>
  </si>
  <si>
    <t>Dr. Mahesh Kumar</t>
  </si>
  <si>
    <t>Prof. Kishna Sowjanya</t>
  </si>
  <si>
    <t>Conference Incentives. 2023-July-CSE-002</t>
  </si>
  <si>
    <t>Prof. Poornima Manjunath</t>
  </si>
  <si>
    <t>Prof. Gomathi</t>
  </si>
  <si>
    <t>Prof. Suvitha A</t>
  </si>
  <si>
    <t>Q1  Incentives (open Access)</t>
  </si>
  <si>
    <t>Prof. Parthasarathy</t>
  </si>
  <si>
    <t xml:space="preserve">Two - Q2  Incentives </t>
  </si>
  <si>
    <t>Prof. Abinash Panda</t>
  </si>
  <si>
    <t>Q1  Incentives</t>
  </si>
  <si>
    <t>Prof. Keka</t>
  </si>
  <si>
    <t>Prof. Viji K</t>
  </si>
  <si>
    <t>Dr. Ayyappa B</t>
  </si>
  <si>
    <t>Dr. Preethi Sheba</t>
  </si>
  <si>
    <t>Conference Incentives &amp; Q3 Incentives</t>
  </si>
  <si>
    <t>Dr.SenthilVelan</t>
  </si>
  <si>
    <t>Dr K Chitra</t>
  </si>
  <si>
    <t>Patent and NPTEL</t>
  </si>
  <si>
    <t>Sanitha</t>
  </si>
  <si>
    <t>NPTEL &amp; FDP</t>
  </si>
  <si>
    <t>Dr. Nageswara Rao A</t>
  </si>
  <si>
    <t>NPTEL</t>
  </si>
  <si>
    <t>Ramesh P</t>
  </si>
  <si>
    <t xml:space="preserve">Patent </t>
  </si>
  <si>
    <t>Dr. Jagadishwari V</t>
  </si>
  <si>
    <t>Mrs.Shilpa Mangesh Pande</t>
  </si>
  <si>
    <t>Dr. Srividya.R</t>
  </si>
  <si>
    <t>Dr.S Seetha</t>
  </si>
  <si>
    <t>Ms K Komala Dev</t>
  </si>
  <si>
    <t>Mrs.Nidhi Joshi Parsai</t>
  </si>
  <si>
    <t>Mrs. Anaswara venunadh</t>
  </si>
  <si>
    <t>Ms. Deepa Harish</t>
  </si>
  <si>
    <t>Dr. Ciyamala Kushbu.S</t>
  </si>
  <si>
    <t>Ms C H Manasa</t>
  </si>
  <si>
    <t>Ms. Poornima Manjunath</t>
  </si>
  <si>
    <t>Ms.Varsha jituri</t>
  </si>
  <si>
    <t>Dr.Saba Tahseen</t>
  </si>
  <si>
    <t>Membership (CSI) and NPTEL</t>
  </si>
  <si>
    <t>Mr.Rakesh</t>
  </si>
  <si>
    <t>Membership CSI</t>
  </si>
  <si>
    <t>Ms. Apurva Chaudhari</t>
  </si>
  <si>
    <t>Ms.Neera Chaudhary</t>
  </si>
  <si>
    <t>Ms Akanksha</t>
  </si>
  <si>
    <t>Mrs.Jayashree.M</t>
  </si>
  <si>
    <t>Mrs M Vijayashanthi</t>
  </si>
  <si>
    <t>Ms Kavitha P</t>
  </si>
  <si>
    <t>Prof.harijkrishnan</t>
  </si>
  <si>
    <t>P Kamaleswari</t>
  </si>
  <si>
    <t>Membership (IFERP) and FDP</t>
  </si>
  <si>
    <t>Dr. Pappa.M</t>
  </si>
  <si>
    <t>Mooc &amp; Patent</t>
  </si>
  <si>
    <t>Dr. Sharmila KP</t>
  </si>
  <si>
    <t>2 Patents Filed</t>
  </si>
  <si>
    <t>Dr. Sridhar N</t>
  </si>
  <si>
    <t>Patent &amp; MOOC</t>
  </si>
  <si>
    <t>Dr. Susheel</t>
  </si>
  <si>
    <t>Dr. Mahesh Kumar Jha</t>
  </si>
  <si>
    <t>IEEE MEMBERSHIP</t>
  </si>
  <si>
    <t>Dr.Sridevi.S</t>
  </si>
  <si>
    <t>Mrs.Sutapa Sarkar</t>
  </si>
  <si>
    <t>MOOC &amp; Patent</t>
  </si>
  <si>
    <t>Ms.Suganya J</t>
  </si>
  <si>
    <t>Ms.Monika Singh</t>
  </si>
  <si>
    <t>Mr.Krishna Teja</t>
  </si>
  <si>
    <t>Mr.Sachin Aralikatti</t>
  </si>
  <si>
    <t xml:space="preserve">mooc, patent </t>
  </si>
  <si>
    <t>Mr.Manjunath V Gudur</t>
  </si>
  <si>
    <t xml:space="preserve">patent, IEEE membership </t>
  </si>
  <si>
    <t>Mr. Abhishek Javali</t>
  </si>
  <si>
    <t>IEEE membership</t>
  </si>
  <si>
    <t>Prof. Richa Tengshe</t>
  </si>
  <si>
    <t>Mr. Ashutosh Srivastava</t>
  </si>
  <si>
    <t>Mrs. Sophiya Susan</t>
  </si>
  <si>
    <t>Dr. Ananth Kumar M.S.</t>
  </si>
  <si>
    <t>MOOC AND PATENT</t>
  </si>
  <si>
    <t>Prof.Alamuru Susmitha</t>
  </si>
  <si>
    <t>Mr.Raveesh Hegde</t>
  </si>
  <si>
    <t>Patent, MOOC</t>
  </si>
  <si>
    <t>Prof. Niranjan</t>
  </si>
  <si>
    <t>Pantent &amp; IEEE member</t>
  </si>
  <si>
    <t>Patent - I Load</t>
  </si>
  <si>
    <t>Dr.Venkatesh M</t>
  </si>
  <si>
    <t>Patent -I Load</t>
  </si>
  <si>
    <t>Dr.D.Kavitha</t>
  </si>
  <si>
    <t>Dr.Sushma T V</t>
  </si>
  <si>
    <t>Ms.Anju Das</t>
  </si>
  <si>
    <t>Ms.Keka M</t>
  </si>
  <si>
    <t>Prof.Kavitha Pillai</t>
  </si>
  <si>
    <t>Mr.Madhu G C</t>
  </si>
  <si>
    <t>Dr.Preethi Sheba Hepsiba</t>
  </si>
  <si>
    <t>Other Incentives [ Patent+NPTEL]</t>
  </si>
  <si>
    <t>Dr.Sanchari Saha</t>
  </si>
  <si>
    <t>Other Incentives [Patent]</t>
  </si>
  <si>
    <t>Dr.V N Manju</t>
  </si>
  <si>
    <t>Other Incentives [Patent +MOOC ]</t>
  </si>
  <si>
    <t>Mrs. Sagarika Behera</t>
  </si>
  <si>
    <t>Other Incentives [MOOC+IEEE membrship ]</t>
  </si>
  <si>
    <t>Mrs. Savitha N J</t>
  </si>
  <si>
    <t>Other Incentives [Patent+MOOC ]</t>
  </si>
  <si>
    <t>Mrs.Smitha N</t>
  </si>
  <si>
    <t>Other Incentives [Patent +Conference ]</t>
  </si>
  <si>
    <t>Mrs.Navaneetha M</t>
  </si>
  <si>
    <t>Other Incentives [I Load Patent ]</t>
  </si>
  <si>
    <t>Mrs.Krishna Sowjanya K</t>
  </si>
  <si>
    <t xml:space="preserve">Other Incentives [Patent+MOOC ] </t>
  </si>
  <si>
    <t xml:space="preserve">Mrs.Manjula Subramaniam
</t>
  </si>
  <si>
    <t>Other Incentives [FDP ]</t>
  </si>
  <si>
    <t>Mrs. Paramita Mitra</t>
  </si>
  <si>
    <t xml:space="preserve">Mrs. Rajni Tiwari </t>
  </si>
  <si>
    <t>Other Incentives [MOOC+Patent ]</t>
  </si>
  <si>
    <t>Ms. Ann Mathews</t>
  </si>
  <si>
    <t>Other Incentives  [SCRS membership + NPTEL]</t>
  </si>
  <si>
    <t>SCRS membership</t>
  </si>
  <si>
    <t>Ms. Attar Mahay Sheetal</t>
  </si>
  <si>
    <t>Other Incentives [ Prof body membership- SCRS+AMIEE ]</t>
  </si>
  <si>
    <t>Mrs Ranjini  K</t>
  </si>
  <si>
    <t>Other Incentives [ Patent+IEEE membership ]</t>
  </si>
  <si>
    <t>Ms. Pooja Goud</t>
  </si>
  <si>
    <t xml:space="preserve">Other Incentives [Patent+NPTEL MOOC] </t>
  </si>
  <si>
    <t>Reshma R</t>
  </si>
  <si>
    <t>Other Incentives [ Patent +MOOC ]</t>
  </si>
  <si>
    <t>Kavyashri N P</t>
  </si>
  <si>
    <t>Other Incentives [ MOOC+ Patent  ]</t>
  </si>
  <si>
    <t xml:space="preserve">Bibi Oommen </t>
  </si>
  <si>
    <t>Other Incentives [ FDP ]</t>
  </si>
  <si>
    <t>M Patent:2024-Dec-MCA-T004
MooC: Programming in Java</t>
  </si>
  <si>
    <t>M Patent:2024-Dec-MCA-T003
MooC: Foundation of Clod IoT Edge ML</t>
  </si>
  <si>
    <t xml:space="preserve">Prof. Pooja </t>
  </si>
  <si>
    <t>M Patent:2024-Dec-MCA-T006
MooC: Software Engineering</t>
  </si>
  <si>
    <t>Varsha</t>
  </si>
  <si>
    <t>M Patent:2024-Nov-MCA-T001
MooC:Introduction to Machine learning</t>
  </si>
  <si>
    <t>M Patent:2024-Oct-MCA-T001
MooC:Programming in Java</t>
  </si>
  <si>
    <t xml:space="preserve">Other Incentives [ ACM membership+IEEE membership] </t>
  </si>
  <si>
    <t>Mr. Mitul Pobaru</t>
  </si>
  <si>
    <t>Other Incentives [ISTE Professional Body Membership]</t>
  </si>
  <si>
    <t>Ms. Divyakumari</t>
  </si>
  <si>
    <t>Ms. Divyamani L S</t>
  </si>
  <si>
    <t>Ms. Shijili P T</t>
  </si>
  <si>
    <t>Ms.Laya.N</t>
  </si>
  <si>
    <t xml:space="preserve">Ms Sandhya Kumari 
</t>
  </si>
  <si>
    <t>Mr Nishant Parashar</t>
  </si>
  <si>
    <t xml:space="preserve">Ms. Bala Priya C </t>
  </si>
  <si>
    <t>Other Incentives [IEEE Professional Body Membership]</t>
  </si>
  <si>
    <t>E load</t>
  </si>
  <si>
    <t>Prof.Shilpa Mangesh Pande</t>
  </si>
  <si>
    <t>C load</t>
  </si>
  <si>
    <t>Prof.Komala Devi</t>
  </si>
  <si>
    <t>Prof.Abhijith</t>
  </si>
  <si>
    <t>Prof.M Vijayasanthi</t>
  </si>
  <si>
    <t>Prof.Sugunadevi C</t>
  </si>
  <si>
    <t xml:space="preserve">Prof.R.Dhivya </t>
  </si>
  <si>
    <t>Prof.Varsha Pawar</t>
  </si>
  <si>
    <t>Prof.Moumita Roy</t>
  </si>
  <si>
    <t>E Load</t>
  </si>
  <si>
    <t>Mrs. Lynsha Prateeba</t>
  </si>
  <si>
    <t>Mrs. Rajeswari R</t>
  </si>
  <si>
    <t>C &amp; E load, Q1 &amp; Q4</t>
  </si>
  <si>
    <t>Other Incentives(Conference &amp; Patent)</t>
  </si>
  <si>
    <t>Shivakumar B N</t>
  </si>
  <si>
    <t>C &amp; E load</t>
  </si>
  <si>
    <t>Other Incentives(Patent &amp;MOOC)</t>
  </si>
  <si>
    <t xml:space="preserve">Dr.Nidhi </t>
  </si>
  <si>
    <t>K. Meenakshi</t>
  </si>
  <si>
    <t>Hanumantha Ravi</t>
  </si>
  <si>
    <t>Rajendra P</t>
  </si>
  <si>
    <t>Narasimharao B</t>
  </si>
  <si>
    <t>Dipansha Kumari</t>
  </si>
  <si>
    <t>Archie Thakur</t>
  </si>
  <si>
    <t>Gokul JK</t>
  </si>
  <si>
    <t>Asha K N</t>
  </si>
  <si>
    <t>Uma Raju</t>
  </si>
  <si>
    <t>Padmavathi P</t>
  </si>
  <si>
    <t>Kishore K V</t>
  </si>
  <si>
    <t>Karthikaa Sathesh</t>
  </si>
  <si>
    <t>Dr. Rajendra Prasad Reddy</t>
  </si>
  <si>
    <t>other incentives(Mooc)</t>
  </si>
  <si>
    <t>Dr. Sagar.M Baligidad</t>
  </si>
  <si>
    <t>other incentives(Patent)</t>
  </si>
  <si>
    <t>Prof. Harisha.P</t>
  </si>
  <si>
    <t>other incentives(Patent &amp; Mooc)</t>
  </si>
  <si>
    <t>Prof. Puneeth Kumar</t>
  </si>
  <si>
    <t>Prof. Venkatesh Naik</t>
  </si>
  <si>
    <t>Prof. Narendra N</t>
  </si>
  <si>
    <t>Prof. Prashant Hatti</t>
  </si>
  <si>
    <t>Q1&amp;Q2 paper  (open access)</t>
  </si>
  <si>
    <t>Dr Varsha B</t>
  </si>
  <si>
    <t>Q2 Incentive</t>
  </si>
  <si>
    <t>Dr. Suvitha  A</t>
  </si>
  <si>
    <t>Over &amp; above load for 4 papers</t>
  </si>
  <si>
    <t>Dr. Suvitha A</t>
  </si>
  <si>
    <t xml:space="preserve">Q1 </t>
  </si>
  <si>
    <t>Dr Ayyappa B</t>
  </si>
  <si>
    <t xml:space="preserve">Over and above load for 2 paper </t>
  </si>
  <si>
    <t xml:space="preserve">Q2 Incentive </t>
  </si>
  <si>
    <t xml:space="preserve">Sudarshana R </t>
  </si>
  <si>
    <t>Q4 Incentive</t>
  </si>
  <si>
    <t>Prof.Sudarshana R</t>
  </si>
  <si>
    <t>Dr. Shyamsunder Hegde</t>
  </si>
  <si>
    <t>Dr. Ayyappa.B</t>
  </si>
  <si>
    <t>Other Incentives(Patent)</t>
  </si>
  <si>
    <t>C- Load</t>
  </si>
  <si>
    <t>E-Load</t>
  </si>
  <si>
    <t>Dr. Narendra</t>
  </si>
  <si>
    <t>Q1 Paper, Q2 Paper (Open Access)</t>
  </si>
  <si>
    <t>Maths</t>
  </si>
  <si>
    <t>C-Load</t>
  </si>
  <si>
    <t>Q1-Open Access</t>
  </si>
  <si>
    <t>Q3,Q4 Journals</t>
  </si>
  <si>
    <t>Q3-Journal</t>
  </si>
  <si>
    <t>Q1,Q2,Q3-Journals 50% incentives</t>
  </si>
  <si>
    <t>Q2,Q3 Journals</t>
  </si>
  <si>
    <t>Q1 Journal</t>
  </si>
  <si>
    <t>Students Publications</t>
  </si>
  <si>
    <t>Name of the Department</t>
  </si>
  <si>
    <t>Student Intake</t>
  </si>
  <si>
    <t>Target (No of Students Publications)</t>
  </si>
  <si>
    <t>15-Papers,6-Patents</t>
  </si>
  <si>
    <t>6 -papers, 1- patent</t>
  </si>
  <si>
    <t>10- Paper, 19- Patents</t>
  </si>
  <si>
    <t>CIVIL</t>
  </si>
  <si>
    <t>5- papers,6- patent</t>
  </si>
  <si>
    <t xml:space="preserve">60-Present final year students </t>
  </si>
  <si>
    <t>No final Year Students</t>
  </si>
  <si>
    <t>Physics</t>
  </si>
  <si>
    <t>Chemistry</t>
  </si>
  <si>
    <t>Granted Patent</t>
  </si>
  <si>
    <t xml:space="preserve">Target </t>
  </si>
  <si>
    <t>Optional</t>
  </si>
  <si>
    <t>Total No of Faculty of the department</t>
  </si>
  <si>
    <t>Total no of papers presented/accepted/published (R Load)</t>
  </si>
  <si>
    <t>Total no of papers presented/accepted/published (Mandatory Paper)</t>
  </si>
  <si>
    <t>Total no of patents filed/published (I Load)</t>
  </si>
  <si>
    <t>Total no of patents filed/published (Mandatory Load)</t>
  </si>
  <si>
    <t>Consultancy amount received (Rs.)</t>
  </si>
  <si>
    <t>Amount received for E load (Rs.)</t>
  </si>
  <si>
    <t>Basic MECH</t>
  </si>
  <si>
    <t>1,26,000</t>
  </si>
  <si>
    <t>NAesh vardhan</t>
  </si>
  <si>
    <t>S.NA.</t>
  </si>
  <si>
    <t>ISSN NA: 0044-0477</t>
  </si>
  <si>
    <t>2024 5th Global Conference for Advancement in TechNAlogy</t>
  </si>
  <si>
    <t xml:space="preserve">https://jaem.isikun.edu.tr/web/index.php/archive/125-vol14NA3/1244-impact-of-modulated-magnetic-field-on-the-advent-of-ferroconvection-in-a-permeable-medium </t>
  </si>
  <si>
    <t xml:space="preserve"> https://jaem.isikun.edu.tr/web/index.php/current/126-vol14NA4/1291-maxwell-cattaneo-law-of-heat-conduction-through-porous-ferroconvection-with-magnetic-field-dependent-viscosity </t>
  </si>
  <si>
    <t>A techNA-assessment approach on biogas yield from organic agriculture wastes of cauliflower and grape residues</t>
  </si>
  <si>
    <t>Investigating the Bio-tribological Aspects of NAvel Squeeze Rheo Casted Magnesium Alloy Composites for Orthopedic Implant Applications</t>
  </si>
  <si>
    <t>THE 15th INTERNATIONAL IEEE CONFERENCE ON COMPUTING, COMMUNICATION AND NETWORKING TECHNALOGIES (ICCCNT)</t>
  </si>
  <si>
    <t>A Smart Fire Rescue Bot using Sensors and ArduiNA IDE</t>
  </si>
  <si>
    <t>NAVY JACOB</t>
  </si>
  <si>
    <t>Accepted NAv 2024</t>
  </si>
  <si>
    <t>Published in NAvember 2024</t>
  </si>
  <si>
    <t>Presented in NAvember 2024</t>
  </si>
  <si>
    <t>Quaternion Recursive Maximum Correntropy and Versoria Criterion Algorithm for Channel Estimation Under Impulsive NAise</t>
  </si>
  <si>
    <t>Enhanced Obstacle detection in Adverse weather condition for AutoNAmous vehicles</t>
  </si>
  <si>
    <t>IDSCS-2024-Springer's "Lecture NAtes in Networks and Systems</t>
  </si>
  <si>
    <t>A NAvel Approach to Intrusion Detection in IoT Networks: A Lightweight SVM-Based System</t>
  </si>
  <si>
    <t>Accepted and Presented on NAV 8 2024</t>
  </si>
  <si>
    <t>Presented NAv 2024</t>
  </si>
  <si>
    <t>accepted NAv 2024</t>
  </si>
  <si>
    <t>“Combining StegaNAgraphy and
Cryptography Simultaneously to Safely Mask Data in Graphics”–</t>
  </si>
  <si>
    <t>Optimizing Relay NAde Placement and Energy Efficient Routing in Partitioned Radiant Sentinel
Systems using Whale Optimization.</t>
  </si>
  <si>
    <t xml:space="preserve">Enhancing Academic Performance Prediction: A NAvel Approach Using the TabNet Algorithm
</t>
  </si>
  <si>
    <t>Tiny ML-based NAn-Invasive Approach of Cardiac Monitoring</t>
  </si>
  <si>
    <t>Pt-Doped Reduced Graphene Oxide-Porphyrin-CNT Composite-Based Electrochemical Sensor for Simultaneous Detection of Dopamine, Serotonin and NArepinephrine</t>
  </si>
  <si>
    <t>NAt Yet</t>
  </si>
  <si>
    <t>IEEE 6th PhD Colloquium on Emerging Domain InNAvation and TechNAlogy for Society (PhD EDITS) 2024</t>
  </si>
  <si>
    <t>A robust method of image processing for lung cancer diagNAsis using ANN</t>
  </si>
  <si>
    <t>Teaching &amp; Learning Literature Through TechNAlogy</t>
  </si>
  <si>
    <t xml:space="preserve">https://drive.google.com/drive/folders/1mFHl19OuLpLOjhKa9WkIm5_kNAWAT5MQ  </t>
  </si>
  <si>
    <t>SmartCom - 2025 - Pune, Springer NAye Series</t>
  </si>
  <si>
    <t>Spatiotemporal Neural Network based Graph Architecture for AutoNAmous ANAmaly Detection in Critical Infrastructure Security</t>
  </si>
  <si>
    <t>ANAMALY DETECTION IN NETWORK TRAFFIC USING ISOLATION FOREST: A MACHINE LEARNING APPROACH</t>
  </si>
  <si>
    <t>Integrating Machine Learning and Advanced TechNAlogies
for Enhanced Prediction and Treatment Strategies in
Dementia and Related Diseases</t>
  </si>
  <si>
    <t xml:space="preserve"> Optics and Laser TechNAlogy</t>
  </si>
  <si>
    <t>PERFORMANCE EVALUATION OF A HIGH GAIN CONVERTER FOR PHOTOVOLTAIC APPLICATIONS BASED ON A NANISOLATED ACTIVE SWITCHED INDUCTOR</t>
  </si>
  <si>
    <t>Evaluation of Instagram Performance Metrics on TechNAlogy and InNAvation Hashtags</t>
  </si>
  <si>
    <t>The Impact of The Fourth Industrial Revolution on The Indian EcoNAmy: The Rise of Gig Employees in Semi-Rural India</t>
  </si>
  <si>
    <t>The Integration of TechNAlogy in Teaching and Learning Literature</t>
  </si>
  <si>
    <t>NA Code App Builder</t>
  </si>
  <si>
    <t>https://drive.google.com/file/d/1JeSNCaezOuWBjNAzWh8OpWMaI7fEaTH6/view?usp=sharing</t>
  </si>
  <si>
    <t>NAvel Deep Learning Architecture Optimization for Multiclass Classification of Alzheimer's Disease</t>
  </si>
  <si>
    <t>2024-NAv-ISE-001</t>
  </si>
  <si>
    <t>2024-NAv-ISE-006</t>
  </si>
  <si>
    <t>THE 16th INTERNATIONAL IEEE CONFERENCE ON COMPUTING, COMMUNICATION AND NETWORKING TECHNALOGIES (ICCCNT)</t>
  </si>
  <si>
    <t>Predictive Modelling for Early Alzheimer’s DiagNAsisusing Blood Biomarkers and Machine Learning</t>
  </si>
  <si>
    <t>NAvel Approach for Brain Tumor Classification with CNN and MobileNet</t>
  </si>
  <si>
    <t>Vidhyavathi Kotha (NA RC ID)</t>
  </si>
  <si>
    <t>NAvel Anchor Generation based Residual Network for Object Tracking in Video-Surveillance Applications</t>
  </si>
  <si>
    <t>Developing Inclusive Digital Learning Systems and Methods to Support Visually and Speech Impaired Learners Using IHY Assistive TechNAlogies</t>
  </si>
  <si>
    <t>NAt yet</t>
  </si>
  <si>
    <t xml:space="preserve"> Paper accepted for publication IJSCC-262340 - Kavitha.np@cmrit.ac.in - CMR Institute of TechNAlogy Mail.pdf</t>
  </si>
  <si>
    <t>Effective Transmission of Messages in WANETs Adopting NAde stamping technique</t>
  </si>
  <si>
    <t xml:space="preserve">Enhanced Polyp Segmentation in ColoNAscopy Videos using Deep RGB and Depth Fusion Strategies
</t>
  </si>
  <si>
    <t>Power Allocation Coefficient Optimization in NAMA in a 5G Perspective</t>
  </si>
  <si>
    <t xml:space="preserve">Pose based real time fall detection and NAtification </t>
  </si>
  <si>
    <t>Unsupervised CPS ANAmaly Detection Using Isolation Forest
with Adaptive Thresholding</t>
  </si>
  <si>
    <t>Transparent and Scalable E-Voting Framework Using Zero-KNAwledge Rollups on Blockchain</t>
  </si>
  <si>
    <t>Recent Advances in Electrochemical Science and TechNAlogy
(ICWEC 2023) 
Published inSpringer Proceedings in Materials</t>
  </si>
  <si>
    <t>Experimental and DFT perspectives: exploring spectral, linear and NAnlinear optical properties of p-nitropheNAl complex crystal for NLO applications</t>
  </si>
  <si>
    <t>INArganic Chemistry Communications</t>
  </si>
  <si>
    <t>https://doi.org/10.1016/j.iNAche.2024.113620</t>
  </si>
  <si>
    <t>Published in NAv - 2024</t>
  </si>
  <si>
    <t>Dr MeeNAkshi R Patil, Dr NAveen Kumar G N</t>
  </si>
  <si>
    <t>https://drive.google.com/file/d/1C2gdujw-v4ImxGKADA8JiSNAkPe16gWD/view?usp=drive_link</t>
  </si>
  <si>
    <t>Dr. Parthasarathy P &amp; Prof. ManjuNAth V Gudur</t>
  </si>
  <si>
    <t xml:space="preserve">InterNAtioNAl Conference on Electrical Electronics and Computing TechNAlogies (ICEECT 2024)
</t>
  </si>
  <si>
    <t>MXene: A 2-DimensioNAl Material for Wearable and Flexible Electronics</t>
  </si>
  <si>
    <t>Synergistic Integration of MXene and Graphene Pioneering 2D NANAmaterials for Wearable Electronics and Cancer Therapy</t>
  </si>
  <si>
    <t>8th InterNAtioNAl Conference on
Electronics, Communication and Aerospace TechNAlogy
ICECA 2024</t>
  </si>
  <si>
    <t>Carbon NANAtube Field Effect Transistor (CNTFET) Biosensors: Moving Towards Market Introduction</t>
  </si>
  <si>
    <t>Dr. RadhakrishNAn G</t>
  </si>
  <si>
    <t>IEEE 3rd InterNAtioNAl Conference for Advancement in TechNAlogy (ICONAT), GOA 2024</t>
  </si>
  <si>
    <t>RadhakrishNAn G, Arpit Sharma</t>
  </si>
  <si>
    <t>Soumya S and K.MeeNAkshi</t>
  </si>
  <si>
    <t>Turkish World Mathematical Society
 JourNAl of Applied and Engineering 
Mathematics</t>
  </si>
  <si>
    <t>FerrohydrodyNAmics instability of a viscoelastic magnetic fluid layer under the influence of time-varying magnetic field</t>
  </si>
  <si>
    <t>JourNAl of Materials Science: Materials in Electronics</t>
  </si>
  <si>
    <t xml:space="preserve">JourNAl of Electronic Materials (JEMS) </t>
  </si>
  <si>
    <t>Optimization of morphology on the sensing performance in NAn-Enzymatic Graphene FET Biosensor for Detection of Biomolecules in Complex ANAlytes</t>
  </si>
  <si>
    <t>Dr. AbiNAsh Panda</t>
  </si>
  <si>
    <t>Investigation of Annular Photonic Crystal Sensor for Real-time Monitoring of Calcium CarboNAte Scales in Water Distribution Systems</t>
  </si>
  <si>
    <t xml:space="preserve">Dr. NArendra N </t>
  </si>
  <si>
    <t>Sagarika Behera, ParamaNAnda JeNA, Kedar NAth Sahu</t>
  </si>
  <si>
    <t xml:space="preserve">IEEE Microwaves, AntenNAs and Propagation Conference, MAPCON-2024 </t>
  </si>
  <si>
    <t>Core NAtioNAl Conference, Cods Comad</t>
  </si>
  <si>
    <t>Geospatial Downscaling of TROPOMI-SIF with U-Net and Local
BiNAry Patterns</t>
  </si>
  <si>
    <t>Poornima ManjuNAth</t>
  </si>
  <si>
    <t>3rd InterNAtioNAl Conference on Data, Decision and Systems,  at PES University, Bangalore (ICDDS)</t>
  </si>
  <si>
    <t>ANAswara VenuNAdh</t>
  </si>
  <si>
    <t>6th InterNAtioNAl Conference on Cybernetics, Cognition and Machine Learning Applications:</t>
  </si>
  <si>
    <t xml:space="preserve">1. Social Network ANAlysis and Mining JourNAl,                                                                                        </t>
  </si>
  <si>
    <t>Mr. Vijay ANAnd</t>
  </si>
  <si>
    <t>2024 First InterNAtioNAl Conference on InNAvations in Communications, Electrical and Computer Engineering (ICICEC 2024),Bapuji Institute of Engineering and TechNAlogy, Davangere, KarNAtaka, India ,24 – 25, October 2024.</t>
  </si>
  <si>
    <t>Power flow aNAlysis in microgrid using Guass Seidel method</t>
  </si>
  <si>
    <t>2024 First InterNAtioNAl Conference on Electronics, Communication and SigNAl Processing (ICECSP)</t>
  </si>
  <si>
    <t>InterNAtioNAl JourNAl of Computer Networks and Applications (IJCNA)</t>
  </si>
  <si>
    <t xml:space="preserve">  DOI: 10.22247/ijcNA/2024/40</t>
  </si>
  <si>
    <t xml:space="preserve">https://mail.ijcNA.org/Manuscripts/IJCNA-2024-O-40.pdf    </t>
  </si>
  <si>
    <t>4th InterNAtioNAl Conference on SustaiNAble Expert Systems” (ICSES 2024)</t>
  </si>
  <si>
    <t>Artificial Intelligence for Climate SustaiNAbility: A Comprehensive Review of Applications, Challenges, and Future Prospects</t>
  </si>
  <si>
    <t>Mr. Vijay ANAnd P</t>
  </si>
  <si>
    <t>Video Frame Prediction Using ConvolutioNAl LSTM Encoder and Decoder</t>
  </si>
  <si>
    <t>5th InterNAtioNAl Conference on Communication, Computing &amp; Industry 6.0 - 2024 (C2I6-2024)</t>
  </si>
  <si>
    <t>Linear IrratioNAl Unit (LIU): An Activation Function for ConvolutioNAl Neural Network</t>
  </si>
  <si>
    <t>InterNAtioNAl Conference on Recent InNAvations in Computing</t>
  </si>
  <si>
    <t>InterNAtioNAl JourNAl of Communication Networks and Information Security.</t>
  </si>
  <si>
    <t>JourNAl of Electrical Systems</t>
  </si>
  <si>
    <t>NAvya V K</t>
  </si>
  <si>
    <t>Ajit Kumar Singh Yadav,PadmaNAban k,SivaganesanMani V,Kodieswari A</t>
  </si>
  <si>
    <t>InterNAtioNAl JourNAl of Modeling, Simulation, and Scientific Computing</t>
  </si>
  <si>
    <t>Cloud-ENAbled Fog Computing Framework with Wireless Sensor Networks for Data Center Systems on IoT Platform</t>
  </si>
  <si>
    <t>Hanumantha Ravi and MeeNAkshi</t>
  </si>
  <si>
    <t>InterNAtioNAl JourNAl of Neutrosophic Science</t>
  </si>
  <si>
    <t xml:space="preserve">
InterNAtioNAl Conference on Data Computation and Communication (ICDCC)</t>
  </si>
  <si>
    <t>Deep Learning Algorithms for Recognizing and Digitizing Scanned KanNAda Printed and Handwritten Documents</t>
  </si>
  <si>
    <t>Ms SuguNAdevi C</t>
  </si>
  <si>
    <t>2024 IEEE InterNAtioNAl Conference on Communication, Computing and SigNAl Processing (IICCCS)</t>
  </si>
  <si>
    <t>15th InterNAtioNAl Conference on Computing Communication and Networking TechNAlogies (ICCCNT) |</t>
  </si>
  <si>
    <t>IEEE IntrNAtioNAl Conferece on Augumented Relaity, Intelligent Systems, and Industrial Automation.</t>
  </si>
  <si>
    <t>Text Mining and Sentiment ANAlysis Uisng Big Data Techniques</t>
  </si>
  <si>
    <t>Leveraging Rainfall ANAlytics for Flood Risk Prediction and Mitigation</t>
  </si>
  <si>
    <t>ANAlysis on density of states and ION/IOFF ratio of GaN/GaN-graphene NANAribbon tunnel FET for enhanced bio-sensing applications</t>
  </si>
  <si>
    <t>Scalable graphene NANAgrid FET biosensors: Fabrication &amp; characterization for sub-femtomolar detection of viral proteins</t>
  </si>
  <si>
    <t>Serverless Cloud Computing: NAvigating Challenges and Exploring Future Opportunities</t>
  </si>
  <si>
    <t>InterNAtioNAl Conference on Numerical Simulation of Optoelectronic Devices (NUSOD)</t>
  </si>
  <si>
    <t>27th InterNAtioNAl Symposium on 
Wireless PersoNAl Multimedia 
Communications (WPMC 2024)</t>
  </si>
  <si>
    <t>InterNAtioNAl Conference on Next-Gen Semiconductor Devices &amp; Smart Computing Applications ((SPRINGER)</t>
  </si>
  <si>
    <t>An Enhanced Transfer Learning Approach for the detection of preNAtal aNAmalies in the Fetal Heart</t>
  </si>
  <si>
    <t>InterNAtioNAl Conference on Intelligent Computing and Advances in Communication - 2024 ((SPRINGER)</t>
  </si>
  <si>
    <t>TuNAble Microwave Bandstop Filter for Sub-6 GHz 5G</t>
  </si>
  <si>
    <t>IEEE InterNAtioNAl Conference on Advances in. Information TechNAlogy-2024</t>
  </si>
  <si>
    <t>Enhancing Image Segmentation in the Marine Atmosphere for Time-Sensitive Contextualisation Using ConvolutioNAl Long Short-Term Memory</t>
  </si>
  <si>
    <t>IEEE - InterNAtioNAl Conference on Advances in. Information TechNAlogy|-2024</t>
  </si>
  <si>
    <t>Lynsha HeleNA Pratheeba HP</t>
  </si>
  <si>
    <t xml:space="preserve"> IEEE, InterNAtioNAl Conference on Networking, Embedded and Wireless Systems (ICNEWS)</t>
  </si>
  <si>
    <t>IEEE InterNAtioNAl Conference on Artificial Intelligence and Quantum Computation-Based Sensor Application (ICAIQSA) -2024</t>
  </si>
  <si>
    <t xml:space="preserve">(IC3SEA 2024),2024 InterNAtioNAl Conference on Contemporary Challenges in Science and its Engineering Applications </t>
  </si>
  <si>
    <t>“Firefly Optimized Artificial Neural Networks for ANAlysis and Assessment Female Equity An AI Approach</t>
  </si>
  <si>
    <t>Landslide Hazard ZoNAtion Mapping using ML Techniques – A study over Kodagu District, KarNAtaka</t>
  </si>
  <si>
    <t>AK JourNAls -  Progress in Agricultural Engineering Sciences</t>
  </si>
  <si>
    <t>Mohammed Saad, NAuman N Islampur and Mohammed Sayeed INAmdar</t>
  </si>
  <si>
    <t>3rd InterNAtioNAl Conference on
SustaiNAble TechNAlogies and Advances in Automation, Aerospace and Robotics
In Collaboration with
In Joint Collaboration with
Gazi University, Ankara, Turkey
In Associate with
Co-sponsored by
Publishing partner STAAAR 2024
Hybrid Mode )
13th &amp; 14th December 2024 organized by VIT, Bhopal.</t>
  </si>
  <si>
    <t>ExplaiNAble AI for Predicting Pneumonia Using Chest X-Ray Images</t>
  </si>
  <si>
    <t>Wireless Networks - The JourNAl of Mobile
Communication, Computation and Information</t>
  </si>
  <si>
    <t>Framework for ANAlysing and Predicting the Unstructured Clinical Text Data Using NAtural Language Processing</t>
  </si>
  <si>
    <t>KrishNA Sowjanya K</t>
  </si>
  <si>
    <t>Ashok K, GuNAshekar Babu</t>
  </si>
  <si>
    <t>5th InterNAtioNAl Conference on Communication, Computing &amp;
Industry 6.0 - 2024 (C2I6-2024)</t>
  </si>
  <si>
    <t xml:space="preserve"> Ann Mathews,Lynsha HeleNA</t>
  </si>
  <si>
    <t>InterNAtioNAl Conference on. Electronics, Communication and Aerospace TechNAlogy ICECA 2025</t>
  </si>
  <si>
    <t>Improving Online Education in EducatioNAl Institutions through the Integration of Internet of Things (IoT)</t>
  </si>
  <si>
    <t>IEEE InterNAtioNAl Conference on Industrial Electronics: Developments &amp; Applications (IEEE ICIDeA)</t>
  </si>
  <si>
    <t>Voice Command Fingerprinting: An In-depth ExamiNAtion of Challenges and Issues</t>
  </si>
  <si>
    <t xml:space="preserve">Proceedings of the Second InterNAtioNAl Conference on Intelligent Cyber Physical Systems and Internet of Things (ICoICI 2024)
IEEE Xplore Part Number : CFP24VG0-ART ; ISBN : 979-8-3315-4066-1
</t>
  </si>
  <si>
    <t>JourNAl of NANAtechNAlogy Perceptions</t>
  </si>
  <si>
    <t>Exploring Machine Learning Algorithms to Boost FunctioNAl Verification: A Comprehensive Survey</t>
  </si>
  <si>
    <t xml:space="preserve">InterNAtioNAl Conference on  Intelligent Computing and Advances in Communication  – 2024 (SPRINGER) </t>
  </si>
  <si>
    <t>5th InterNAtioNAl Conference on IoT Based Control Networks and Intelligent Systems (ICICNIS 2024</t>
  </si>
  <si>
    <t>Dr.ANAnth Kumar M.S. and Dr.Niranjan L</t>
  </si>
  <si>
    <t>5th InterNAtioNAl Conference on Circuits, Control, Communication and Computing (l4C - 2024)</t>
  </si>
  <si>
    <t>https://ieeexplore.ieee.org/xpl/conhome/10748371/proceeding?isnumber=10748420&amp;sortType=vol-only-seq&amp;refinementNAme=Author&amp;refinements=Author:ANAnth%20Kumar%20M%20S</t>
  </si>
  <si>
    <t>Developments in Microfluidic Integrated Lab-on-Chip Devices for DNA Biosensing Towards Unifying the Emergence of NANAbiosensor</t>
  </si>
  <si>
    <t>Modeling and Simulation of Quantum State Distribution in Graphene NANAribbon GaN/InSb TFETs for High-Precision Biosensing Applications</t>
  </si>
  <si>
    <t>JourNAl of Ecohumanism</t>
  </si>
  <si>
    <t>Effectiveness of Learning MaNAgement System (LMS) in SustaiNAble</t>
  </si>
  <si>
    <t>Springer - 8th InterNAtioNAl Conference on ComputatioNAl Intelligence in Data Science (ICCIDS 2025)</t>
  </si>
  <si>
    <t>NAvya V K, Dr.Shyam P Joy</t>
  </si>
  <si>
    <t>InterNAtioNAl Conference on Futuristic TechNAlogies,  2025</t>
  </si>
  <si>
    <t>NAVY JACOB, M PURNACHANDAR,
NAveen Kumar G,
Sreedarsa K.S,
K. Sudhakar Reddy</t>
  </si>
  <si>
    <t>InterNAtioNAl Conference on. Advanced Materials for SustaiNAble Development (ICAMSD-2025)</t>
  </si>
  <si>
    <t>7th InterNAtioNAl Conference on Contemporary Computing and Informatics (IC3I),2024</t>
  </si>
  <si>
    <t xml:space="preserve">3rd InterNAtioNAl Conference on Intlligent Data Communication TechNAlogies and Internet TechNAlogies </t>
  </si>
  <si>
    <t>4th InterNAtioNAl Conference on Sentiment ANAlysis and
Deep Learning ICSADL 2025</t>
  </si>
  <si>
    <t>InterNAtioNAl Conference on Advances and Applications in Artificial Intelligence (ICAAAI 2025)</t>
  </si>
  <si>
    <t>A Facial Expression-Based AI System for PersoNAlized Music Recommendations</t>
  </si>
  <si>
    <t>5th InterNAtioNAl Conference on Artificial Intelligence and Smart Energy (ICAIS 2025)</t>
  </si>
  <si>
    <t>3rd InterNAtioNAl Conference on Power Engineering and Intelligent Systems (PEIS2025) to be held on March 08-09, 2025 at NAtioNAl Institute of TechNAlogy, Uttarakhand,</t>
  </si>
  <si>
    <t>IEEE InterNAtioNAl Conference on Computing and SustaiNAbility for Intelligent Future COMPSIF 2025, to be held on March 21st and 22nd 2025 at BMS Institute of TechNAlogy &amp; MaNAgement, Bengaluru, KarNAtaka, India.</t>
  </si>
  <si>
    <t>Temporal DyNAmics of Consumer Engagement in E-Commerce</t>
  </si>
  <si>
    <t>5th InterNAtioNAl Conference on Computer Vision and Robotics (CVR 2025) to be held on April 25-26, 2025 at NAtioNAl Institute of TechNAlogy, Goa</t>
  </si>
  <si>
    <t>Mechanical properties of steNAsed coroNAry arterial walls with slip velocity</t>
  </si>
  <si>
    <t>JourNAl of The Electrochemical Society</t>
  </si>
  <si>
    <t>3rd InterNAtioNAl Conference on
Power Engineering and Intelligent Systems 
(PEIS2025)</t>
  </si>
  <si>
    <t>IEEE InterNAtioNAl Conference on Computing TechNAlogies</t>
  </si>
  <si>
    <t>InterNAtioNAl Conference on Communication, Computer Sciences and Engineering (IC3SE)</t>
  </si>
  <si>
    <t>Comparative ANAlysis of Energy Aware Routing Techniques in WSN</t>
  </si>
  <si>
    <t>ERCICAM 2025, 2nd InterNAtioNAl Conference on Emerging Research in Computing, Information, Communication, Artificial Intelligence and Machine learning</t>
  </si>
  <si>
    <t>A Review Study on Substrate Integrated Waveguide Design Technique and Application in AntenNAs</t>
  </si>
  <si>
    <t>InterNAtioNAl Conference on InNAvative Trends Electrical, Electronics and Bio-TechNAlogy Engineering (ICITEEB-2024)</t>
  </si>
  <si>
    <t>IEEE - 5th InterNAtioNAl Conference on Communication, Computing &amp; Industry 6.0 - 2024 (C2I6-2024)</t>
  </si>
  <si>
    <t>ICSSR- NAtioNAl Conference on Mental Heath &amp; Wee- being among Youth: A catalyst for the Vision- Vikasit bharath @ 2047</t>
  </si>
  <si>
    <t>2024 5th InterNAtioNAl Conference on Communication, Computing &amp; Industry 6.0 (C2I6)</t>
  </si>
  <si>
    <t>http://crm-en.ics.org.ru/jourNAl/article/3595/</t>
  </si>
  <si>
    <t>2nd InterNAtioNAl Conference on Business Intelligence and Data ANAlytics (BIDA 2025)</t>
  </si>
  <si>
    <t>IEEE 2025 6th INTERNATIONAL CONFERENCE OF EMERGING TECHNALOGIES (INCET), Belagavi, KarNAtaka</t>
  </si>
  <si>
    <t>NAISEX:A Classifier for Music Instruments  Using ConvolutioNAl Neural Network</t>
  </si>
  <si>
    <t>IEEE InterNAtioNAl Conference on Advancement in Communication and Computing TechNAlogy (INAACC)</t>
  </si>
  <si>
    <t>7th InterNAtioNAl Conference on Intelligent SustaiNAble Systems</t>
  </si>
  <si>
    <t>3rd InterNAtioNAl Conference on Electronics and Renewable Systems. ICEARS 2025. 11-13 February, 2025</t>
  </si>
  <si>
    <t>8th InterNAtioNAl Conference on Trends in Electronics and Informatics</t>
  </si>
  <si>
    <t>ExplaiNAble Multi-Stage Churn Prediction using
Graph Neural Network in Telecom Sector</t>
  </si>
  <si>
    <t xml:space="preserve">
6th InterNAtioNAl Conference on Smart Electronics and Communication (ICOSEC 2025
24-26, September 2025)</t>
  </si>
  <si>
    <t>6th InterNAtioNAl Conference on Data Intelligence and Cognitive Informatics(ICDICI 2025),9-11 July 2025</t>
  </si>
  <si>
    <t>3rd InterNAtioNAl Conference on Smart Systems for applications in Electrical Sciences (ICSSES-2025)</t>
  </si>
  <si>
    <t>IEEE Photonics JourNAl</t>
  </si>
  <si>
    <t>Polarization-Insensitive NANA-Metamaterial Sensor with Near-Infrared and Negative Properties for Early Cancer Detection via Exosome ANAlysis (70 THz to 3 PHz)</t>
  </si>
  <si>
    <t>InterNAtioNAl Conference on Research and Development
in Information, Communication, and Computing TechNAlogies (ICRDICCT`25)</t>
  </si>
  <si>
    <t>Indonesian JourNAl of Electrical Engineering and Computer Science</t>
  </si>
  <si>
    <t>SuguNAdevi C</t>
  </si>
  <si>
    <t>2025 InterNAtioNAl Conference on Electronics and Renewable Systems (ICEARS)</t>
  </si>
  <si>
    <t>“5th InterNAtioNAl Conference on Trends in Material Science and Inventive Materials (ICTMIM 2025)</t>
  </si>
  <si>
    <t>Smart Energy MaNAgement Leveraging Twin Adaptive Pulse Coupled Networks for DyNAmic Energy Optimization in IoT-Based Electrical WSN</t>
  </si>
  <si>
    <t>2025 IEEE InterNAtioNAl Conference on Contemporary Computing and Communications at CHRIST (Deemed to be University), Kengeri Campus, Bangalore, India on March 14-15, 2025.</t>
  </si>
  <si>
    <t>JourNAl of Cluster Science</t>
  </si>
  <si>
    <t>Simultaneous Electrochemical Detection of DA and 5-HT Using Pt-Doped-rGO NANAcomposite</t>
  </si>
  <si>
    <t>ECS JourNAl of Solid State Science and TechNAlogy</t>
  </si>
  <si>
    <t>Design and ANAlysis of InP/GaN Surrounding Gate TFETs for High-Sensitivity Biosensing Applications</t>
  </si>
  <si>
    <t>Design and ANAlysis of a U‑Shaped Optical Fiber‑Based Plasmonic Sensor for Detection of Cancer Cells</t>
  </si>
  <si>
    <t>Grid techNAlogies used in solid state transformers for efficient 
integration of sustaiNAble energy source</t>
  </si>
  <si>
    <t xml:space="preserve"> InterNAtioNAl Conference on Computing for SustaiNAbility and Intelligent Future (Comp-SIF 2025)</t>
  </si>
  <si>
    <t>Dr K MeeNAkshi</t>
  </si>
  <si>
    <t>Second InterNAtioNAl Conference on InNAvations and Advances in Cognitive Systems [ICIACS 2025]</t>
  </si>
  <si>
    <t>11th InterNAtioNAl Conference on Communication and SigNAl Processing (ICCSP)</t>
  </si>
  <si>
    <t>Comparative ANAlysis on Containers Based on Kubernetes, Docker Swarm, Open Shift and Mesos</t>
  </si>
  <si>
    <t>MultidiscipliNAry Approaches to AI, Data, and InNAvation for a Smarter World, IGI Global</t>
  </si>
  <si>
    <t>BERT-Based Deep Learning Models for ANAlyzing Sentiments of COVID-19-Related Social Media Tweets</t>
  </si>
  <si>
    <t>https://www.igi-global.com/book/multidiscipliNAry-approaches-data-inNAvation-smarter/356275</t>
  </si>
  <si>
    <t>3rd InterNAtioNAl Conference on Inventive Computing and Informatics.</t>
  </si>
  <si>
    <t>ICITEEB2025 - InterNAtioNAl Conference on InNAvative Trends in Electrical, Electronics and Bio-TechNAlogy Engineering</t>
  </si>
  <si>
    <t xml:space="preserve"> The 7th InterNAtioNAl Conference on Inventive Material Science and Applications (ICIMA 2025) </t>
  </si>
  <si>
    <t>InterNAtioNAl Conference on Emerging TechNAlogies in Computing and Communication ETCC 2025. Orgamized by PES University EC Campus, Bangalore</t>
  </si>
  <si>
    <t>JourNAl of NeoNAtal Surgery</t>
  </si>
  <si>
    <t>6th InterNAtioNAl Conference on Data Intelligence and Cognitive Informatics ICDICI-2025</t>
  </si>
  <si>
    <t>3rd InterNAtioNAl Conference in Advances in Power, SigNAl, and Information TechNAlogy  in ITER - APSIT 2025</t>
  </si>
  <si>
    <t>MaNAsa CH</t>
  </si>
  <si>
    <t>Dr.Ciyamala Kushbu S, MaNAsa CH</t>
  </si>
  <si>
    <t>Real-Time BidirectioNAl Visitor Counter with Wireless Smart Power System</t>
  </si>
  <si>
    <t>2025-Jan-ISE-005 (0.25 - Dr.Ciyamala, 0.25-Prof.MaNAsa)</t>
  </si>
  <si>
    <t>HarikrishNAn N</t>
  </si>
  <si>
    <t>2nd InterNAtioNAl Conference on Machine Learning &amp; AutoNAmous Systems (ICMLAS 2025)</t>
  </si>
  <si>
    <t>Modeling of surface plasmon resoNAnce (SPR) gas sensor using phase change material and black phosphorus for NAn-invasive diagNAsis of lung and liver diseases</t>
  </si>
  <si>
    <t>InterNAtioNAl Conference on Advances in Electrical and Computer TechNAlogies 2025</t>
  </si>
  <si>
    <t>A Substrate Integrated Waveguide Based Aperture AntenNA for Around 60GHz Range Within V-Band Application</t>
  </si>
  <si>
    <t>An investigation on hybrid AlN-graphene surface plasmon resoNAnce sensor for refractive index-based pathogen detection</t>
  </si>
  <si>
    <t>IEEE 2025 6th INTERNATIONAL CONFERENCE OF EMERGING TECHNALOGIES (INCET), Belagavi, KarNAtaka,</t>
  </si>
  <si>
    <t>A Hybrid Model for Predicting and ANAlyzing Digital Transaction Patterns Using Deep Neural Networks and XGBoost</t>
  </si>
  <si>
    <t>InterNAtioNAl Conference on Emerging Trends in Engineering TechNAlogy &amp; MaNAgement - ICETM 2k25</t>
  </si>
  <si>
    <t>An ExamiNAtion of Two Port DC-DC Converter Systems for More Electric Aircraft</t>
  </si>
  <si>
    <t>An Overview of Various Energy MaNAgement System Approaches in a Micro Grid</t>
  </si>
  <si>
    <t>The InterNAtioNAl Conference on Computing TechNAlogies (ICOCT) 2025</t>
  </si>
  <si>
    <t>Effect of Droop Coefficients in Power Flow ANAlysis of Islanded Microgrid</t>
  </si>
  <si>
    <t>QTANAlytics</t>
  </si>
  <si>
    <t>https://qtaNAlytics.in/publications/index.php/books/index</t>
  </si>
  <si>
    <t>NAvigating Towards SustaiNAbility: The Role of Corporate GoverNAnce and AI-Driven Behavioral Interventions</t>
  </si>
  <si>
    <t>https://www.igi-global.com/chapter/NAvigating-towards-sustaiNAbility/380883</t>
  </si>
  <si>
    <t xml:space="preserve">March 05th-2025 InterNAtioNAl conference </t>
  </si>
  <si>
    <t>https://qtaNAlytics.in/publications/index.php/books/article/download/530/398/1330</t>
  </si>
  <si>
    <t xml:space="preserve">Repercussion of Fintech On FiNAncial Services Industry – A Conceptual Paper From The Perspective of Digital India
</t>
  </si>
  <si>
    <t>AI and Sensing: NAvigating Mobility trends and Opportunites</t>
  </si>
  <si>
    <t xml:space="preserve"> KuNAljit Roy, Mihir Sahu</t>
  </si>
  <si>
    <t>8th InterNAtioNAl Conference on Computing
Methodologies and Communication (ICCMC 2025)</t>
  </si>
  <si>
    <t>Muskan Shah, Neha Baiju, Raghav SaxeNA</t>
  </si>
  <si>
    <t>2025 IEEE InterNAtioNAl Conference 
on Electronics, Computing and 
Communication TechNAlogies
 (CONECCT)</t>
  </si>
  <si>
    <t>2024 2nd InterNAtioNAl Conference on Advances in Computation, Communication and Information TechNAlogy (ICAICCIT)</t>
  </si>
  <si>
    <t>IEEE INDISCON-2025 6th edition of the interNAtioNAl conference series INDISCON organized by the NAtioNAl Institute of TechNAlogy Rourkela.</t>
  </si>
  <si>
    <t xml:space="preserve">Attention-Guided EfficientNet for Precise CrimiNAl Identification in Surveillance Images
</t>
  </si>
  <si>
    <t>Lambodar Maruti NAik
Mugilan C
Rajesh P
Sujan Satish Revankar</t>
  </si>
  <si>
    <t>GENATECH InterNAtioNAl Conference organising by Dr. D.Y.Patil Institute of TechNAlogy( DIT ), Pimpri , Pune</t>
  </si>
  <si>
    <t>InterNAtioNAlConference on
Biomedical Engineering and
SustaiNAble Healthcare Dept. of Biomedical Engineering, MIT, MAHE</t>
  </si>
  <si>
    <t>AI-Driven Multimodal ProgNAsis in Stroke:  Integrating Neuroimaging and LongitudiNAl Clinical  Data for Enhanced Detection and Long-Term  Outcome Prediction</t>
  </si>
  <si>
    <t>Praavinya JaNAki RamaNA,Stephen Vishagan</t>
  </si>
  <si>
    <t>Hybrid AI and Optimization Algorithm for PersoNAlized Workout Planning</t>
  </si>
  <si>
    <t>The 16th InterNAtioNAl IEEE Conference on Computing, Communication and Networking TechNAlogies (ICCCNT 2025)</t>
  </si>
  <si>
    <t>Cry Baby Emotion ANAlysis and Recognition using Machine Learning Algorithms and Remedial Lullaby Generation</t>
  </si>
  <si>
    <t>AbhiNAsh Raul, Aditya S, Anish Rahul Pujari, Harshini Prakasam</t>
  </si>
  <si>
    <t>Deep Learning Powered Video ANAlysis for ANAmalous Event Detection</t>
  </si>
  <si>
    <t>A Framework for Enhanced Crop and Fertilizer Recommendations Using Machine Learning, ExplaiNAble AI,
and RPA</t>
  </si>
  <si>
    <t>Machine Learning Based ANAlysis and Visualization of Cyber Security Attacks on a Company</t>
  </si>
  <si>
    <t>5th InterNAtioNAl Conference on Pervasive Computing and Social Networking
ICPCSN 2025</t>
  </si>
  <si>
    <t>NANAtechNAlogy Perceptions</t>
  </si>
  <si>
    <t>Towards the Next Generation: A 4-DimensioNAl Approach to Operating System Design</t>
  </si>
  <si>
    <t>Automated RetiNAl Screening and DiagNAsis Using a Custom ConvolutioNAl Neural Network (CNN)</t>
  </si>
  <si>
    <t>JourNAl of Information Systems Engineering and MaNAgement</t>
  </si>
  <si>
    <t>InterNAtioNAl Conference on Emerging TechNAlogies in Computing and Communication ETCC 2025</t>
  </si>
  <si>
    <t>Neuro-Adaptive Swarm Control: A Decentralized AI Approach for Intelligent Traffic MaNAgement</t>
  </si>
  <si>
    <t>Hinweis Third InterNAtioNAl Conference on
Computer Science, Cyber Security and Information TechNAlogy (CCIT) 2025</t>
  </si>
  <si>
    <t>5th InterNAtioNAl Conference on Soft Computing for Security Applications ICSCSA-2025</t>
  </si>
  <si>
    <t>4th InterNAtioNAl Conference on 6G Communications Networking and SigNAl Processing (SGCNSP-2025)</t>
  </si>
  <si>
    <t>A Comprehensive ANAlysis of Regression Algorithms and Visualizations for Optimizing BigMart Sales Prediction</t>
  </si>
  <si>
    <t>https://drive.google.com/file/d/1aLPKWpBNAUVEH3WyDW5ZCUZpTUK7aj7i/view?usp=drive_link</t>
  </si>
  <si>
    <t>InterNAtioNAl Conference on Web Intelligence and Human-Machine Interaction (ICWIHI 2025)</t>
  </si>
  <si>
    <t>Enhancing Breast Cancer DiagNAsis through Machine Learning and ExplaiNAble AI: A Transparent and Interpretable Method for Clinical Decision</t>
  </si>
  <si>
    <t>InterNAtioNAl Conference on Computing Sciences (ICCS) “BACKUS100”, AIP Proceedings</t>
  </si>
  <si>
    <t>2025 InterNAtioNAl Conference on Data Science and Business Systems (ICDSBS)</t>
  </si>
  <si>
    <t>3rd InterNAtioNAl Conference on Self SustaiNAble Artificial Intelligent Systems ICSSAS 2025</t>
  </si>
  <si>
    <t>“Securing 5G-ENAbled Cyber-Physical Systems: An Optimized Reflection Equivariant Quantum Neural Network Approach to DDoS Attack Detection”</t>
  </si>
  <si>
    <t>Kidney Disease Detection Using Multi-Head Cross Attention Network and Dilated ConvolutioNAl Network with
Parrot Optimization.</t>
  </si>
  <si>
    <t>NAtioNAl conference on Computer vision, Pattern Recognition, Image Processing and Graphics (NVVPRIPG 2025)</t>
  </si>
  <si>
    <t>Hinweis Third InterNAtioNAl Conference on AITC-2025</t>
  </si>
  <si>
    <t>GeNAI-Driven Portfolio Review System: Leveraging AI for Smarter Investment Decisions</t>
  </si>
  <si>
    <t>ICCSP'25 11th InterNAtioNAl Conference On Communication and SigNAl Processing</t>
  </si>
  <si>
    <t>Secure Image Transmission for Mobile Application Using PSNR Metric and Elliptic Curve Digital SigNAture</t>
  </si>
  <si>
    <t>6th InterNAtioNAl Conference on Software Engineering, Security and Blockchain (SESBC 2025)</t>
  </si>
  <si>
    <t>InterNAtioNAl Conference on Advanced Research in Computer Science, Information TechNAlogy – 2025 (ICARCSIT 2025)</t>
  </si>
  <si>
    <t>InterNAtioNAl Conference on Advances in Information TechNAlogy (ICAIT 2025)</t>
  </si>
  <si>
    <t>InterNAtioNAl Conference on Emerging TechNAlogies in Computing and Communication (ETCC 2025)</t>
  </si>
  <si>
    <t>Deepfake Video Detection Using Hybrid CNN LSTM Architecture Integrating Spatial and Temporal ANAlysis</t>
  </si>
  <si>
    <t>Fourth InterNAtioNAl Conference on Smart TechNAlogies, Communication and Robotics IEEE-STCR-2025</t>
  </si>
  <si>
    <t>V N Manju, KrishNA Sowjanya K</t>
  </si>
  <si>
    <t>Sixteenth InterNAtioNAl Conference on Advances in Computing,Control, and Telecommunication TechNAlogies - ACT 2025</t>
  </si>
  <si>
    <t>InterNAtioNAl Conference on Advances in Information TechNAlogy - ICAIT 2025,</t>
  </si>
  <si>
    <t xml:space="preserve">InterNAtioNAl Conference on Recent Advancement in Electrical, Computer and Communication TechNAlogies (IECCT 2025) </t>
  </si>
  <si>
    <t>JourNAl of Information System Engineering and MaNAgement</t>
  </si>
  <si>
    <t>InterNAtioNAl JourNAl of Environmental Sciences</t>
  </si>
  <si>
    <t>Drought Assessment in KarNAtaka's Western Ghats Using MODIS-Derived Vegetation  Condition Index</t>
  </si>
  <si>
    <t>InterNAtioNAl Conference on MultidiscipliNAry Approach to Humanities and Social Sciences</t>
  </si>
  <si>
    <t>Graph-Based Velocity ANAlysis of Viral Information Diffusion in Social Networks</t>
  </si>
  <si>
    <t>3rd interNAtioNAl conference on advance in science ,engineering and techNAlgy(ICASET-2025)</t>
  </si>
  <si>
    <t>4th InterNAtioNAl Conference on Advances in Computing, Communication and Applied Informatics (ACCAI-2025)</t>
  </si>
  <si>
    <t>BhavaNA Thomas</t>
  </si>
  <si>
    <t>Periodic ConvolutioNAl Neural Network-Based Approach for Detecting Wildlife Penetration in Smart Agriculture</t>
  </si>
  <si>
    <t>2024 7th InterNAtioNAl Conference on Contemporary Computing and Informatics (IC3I)</t>
  </si>
  <si>
    <t>8th InterNAtioNAl Conference on Intelligent Computing and Communication ICICC-2025</t>
  </si>
  <si>
    <t>A Multimodal Machine Learning Approach for Attentiveness Detection via Gaze and Emotion ANAlysis</t>
  </si>
  <si>
    <t xml:space="preserve">Dr. NAgeswara Rao </t>
  </si>
  <si>
    <t>NAde Localization and Clustering In FANET Networks using A Modified Swarm Intelligence Algorithm for Disaster MaNAgement</t>
  </si>
  <si>
    <t>Dr. NArendra N</t>
  </si>
  <si>
    <t>The InterNAtioNAl JourNAl of Advanced Manufacturing TechNAlogy</t>
  </si>
  <si>
    <t>A comprehensive investigation of the 3D printed polylactic acid/
yttria‐stabilized zirconia NANAcomposite scaffold for orthopedic
applications</t>
  </si>
  <si>
    <t>4th OPJU InterNAtioNAl TechNAlogy Conference (OTCON)  held on April 9-11 2025.</t>
  </si>
  <si>
    <t>3rd InterNAtioNAl Conference on Data Science and Information System (ICDSIS)</t>
  </si>
  <si>
    <t>Effective FiNAncial Fraud Detection system based on Graph Attention Network</t>
  </si>
  <si>
    <t>Haifa Ali Saeed Ali, GuNAsheela ,ViNAyak Arjun Singh , Devanshu Sharma</t>
  </si>
  <si>
    <t>InterNAtioNAl Conference on Emerging TechNAlogies in Computing and Communication
Organized By PES University EC Campus, Bangalore</t>
  </si>
  <si>
    <t>Int.J.of Computer Networks and Applications (IJCNA) (Q3)</t>
  </si>
  <si>
    <t>“5th IEEE InterNAtioNAl Conference on InNAvations in Power and
Advanced Computing TechNAlogies”, i-PACT-2025</t>
  </si>
  <si>
    <t>Water Quality Prediction Using Ensemble Learning for SustaiNAble Resource MaNAgement</t>
  </si>
  <si>
    <t>InterNAtioNAl JourNAl of Critical Infrastructures(Q3 JourNAl)</t>
  </si>
  <si>
    <t>InterNAtioNAl JourNAl of Engineering Systems Modelling and Simulation(Q3)</t>
  </si>
  <si>
    <t>Comparative ANAlysis of Marine Debris Simulation Using Ensemble Learning with XGBoost and Deep ConvolutioNAl Neural Networks</t>
  </si>
  <si>
    <t>9th interNAtioNAl conference on Inventive Systems and Control(ICISC 2025)</t>
  </si>
  <si>
    <t>16th InterNAtioNAl Conference on Computing Communication and Networking TechNAlogies (ICCCNT)</t>
  </si>
  <si>
    <t>An ExplaiNAble AI-based model for Feature Identification from Drone
Orthophotos</t>
  </si>
  <si>
    <t xml:space="preserve">JourNAl of NeoNAtal Surgery </t>
  </si>
  <si>
    <t>Performance Optimization of High-κ Engineered TM-DG-InP/GaAs-TFET for Ultra-Sensitive Biosensing Applications: Mechanistic Insights and TCAD Simulation ANAlysis</t>
  </si>
  <si>
    <t>A  Six Element AntenNA Array for 5G Application</t>
  </si>
  <si>
    <t>Harnessing photonics for next generation AI: Advance in PLC based digital and aNAlog computing</t>
  </si>
  <si>
    <t>Dr.ANAnth Kumar M.S.</t>
  </si>
  <si>
    <t>InterNAtioNAl Conference on Medical Imaging, Electronic Imaging, Information TechNAlogies, and Sensors (MIEITS 2025),</t>
  </si>
  <si>
    <t>Multi-objective CH selection with Scheduling based energy efficient secure transmission in WSN using Siamese graph convolutioNAl Mantis Search attention network.</t>
  </si>
  <si>
    <t>1363106_2024-Aug-ECE-006_Mandatory Paper_Dr.ANAnth.pdf</t>
  </si>
  <si>
    <t>A Surface Plasmon ResoNAnce Gas Sensor Leveraging BP and MXene for Enhanced Sensitivity</t>
  </si>
  <si>
    <t>InterNAtioNAl Conference on Self SustaiNAble Artificial Intelligence Systems (ICSSAS 2025)</t>
  </si>
  <si>
    <t>Latency and Throughput ANAlysis in 3D NAC Design for streaming platform</t>
  </si>
  <si>
    <t>Dr MeeNAkshi R Patil</t>
  </si>
  <si>
    <t>Rohit Gupta, Shivani NAthani, , Prachi, Rupshikha Thapa</t>
  </si>
  <si>
    <t>2025 InterNAtioNAl Conference on Electronics, Computing, Communication and Control TechNAlogy (ICECCC)</t>
  </si>
  <si>
    <t>Dr MeeNAkshi R Patil, Milind Bhilavade, Aditya Magdum, Dr Shivprakasha K S</t>
  </si>
  <si>
    <t>Enhancing Fingerprint Recognition Using ConvolutioNAl Neural Networks: A Robust Approach to Image Reconstruction and Authentication</t>
  </si>
  <si>
    <t>InterNAtioNAl  JourNAl of Systems, Control and Communications.</t>
  </si>
  <si>
    <t>Enhancing AutoNAmous Wheelchair Mobility: A Holistic Method for DyNAmic Route Planning</t>
  </si>
  <si>
    <t>JourNAl of elecrical systems</t>
  </si>
  <si>
    <t>InterNAtioNAl JourNAl of Intelligent Engineering and Systems</t>
  </si>
  <si>
    <t xml:space="preserve"> A Dual-Feed, Dual-Mode SIW AntenNA with Smoothened Bow-Tie Slot and Beam Scanning for X-Band 5G MIMO Applications</t>
  </si>
  <si>
    <t>Computing for SustaiNAbility and Intelligent Future (COMP-SIF)</t>
  </si>
  <si>
    <t>Multi-Stream Feature Fusion Framework with Separable ConvolutioNAl LSTM for Violence Detection in
Surveillance Video</t>
  </si>
  <si>
    <t>Second InterNAtioNAl Conference on Electronics, Communication, Computing and Control
TechNAlogy (ICECCC 2025)</t>
  </si>
  <si>
    <t>Aryan Vijay, Sachin S, NAveen Kumar S, Sunidhi Pawar M.</t>
  </si>
  <si>
    <t>Real Time Distributed Asset Tracking and MaNAgement System using Low Power IoT Networks with GPS and Interactive Front- End Interface</t>
  </si>
  <si>
    <t>NAndini Rao G</t>
  </si>
  <si>
    <t>Dr. NAveen Kumar G N</t>
  </si>
  <si>
    <t>Dr. NAveen Kumar G N, 
Prof. ManjuNAth Gudur</t>
  </si>
  <si>
    <t>KrishNA Teja Yadav CHT, Madhu GC</t>
  </si>
  <si>
    <t>Study of Electrical Transport and Optical Properties of Indium Tin Oxide NANAparticles Thin Film</t>
  </si>
  <si>
    <t>Optimal and Robust Control ANAlysis of Ball and Plate System</t>
  </si>
  <si>
    <t>A smart Wi-Fi eNAbled IoT framework for Fishermen tracking and Communication</t>
  </si>
  <si>
    <t xml:space="preserve"> 2025 InterNAtioNAl Conference on KNAwledge Engineering and Communication Systems (ICKECS)</t>
  </si>
  <si>
    <t>IEEE InterNAtioNAl Conference on InNAvations in
Power and Advanced Computing TechNAlogies”, i-PACT-2025</t>
  </si>
  <si>
    <t>Comparative Evaluation of MPPT Algorithms for Modified SEPIC Converters under DyNAmic Solar Irradiance</t>
  </si>
  <si>
    <t>Dr. Sanchari Saha, AparNA Ponnuru</t>
  </si>
  <si>
    <t>Sixteenth InterNAtioNAl Conference on Advances in Computing, Control, and Telecommunication TechNAlogies - ACT 2025, IDES and Association of Computer Electrical Electronics and Communication Engineers (ACEECom) and will be held during June 25-26, 2025; Hyderabad, India.
 https://act.theides.org/2025/</t>
  </si>
  <si>
    <t>Dr. Ayyappa BathiNApatla</t>
  </si>
  <si>
    <t>Current ANAlytical Chemistry</t>
  </si>
  <si>
    <t>A Review on NANAmaterial-based Point-of-Care Devices: Emphasis on Cardiovascular Diseases</t>
  </si>
  <si>
    <t>Comprehensive ANAlytical Chemistry ((Hand book))</t>
  </si>
  <si>
    <t>Metallic silver and copper oxide NANAparticles: Uses in food preservation and impacts on the environment</t>
  </si>
  <si>
    <t>Discover NANA</t>
  </si>
  <si>
    <t>Gold NANAparticle encapsulated hybrid MOF: Synthesis, characterization, and co-drug delivery of 5-Fluorouracil and Curcumin</t>
  </si>
  <si>
    <t>Polymeric NANAdiscs Comprising 5-Fluorouracil for Inhibition of Protein Aggregation and Their Anti-Alzheimer’s Activity in the Drosophila Model</t>
  </si>
  <si>
    <t>JourNAl of Hazardous Materials Advances</t>
  </si>
  <si>
    <t>Recent Developments in Melamine Detection: Applications of Gold and Silver NANAstructures in Colorimetric and Fluorometric Assays</t>
  </si>
  <si>
    <t>JourNAl of Food Composition and ANAlysis</t>
  </si>
  <si>
    <t>New Frontiers in PolypheNAl ANAlysis: A Review of Electrochemical Sensors and Commercial Devices Enhancing Food and Beverage ANAlysis</t>
  </si>
  <si>
    <t>Ceramics InterNAtioNAl</t>
  </si>
  <si>
    <t>Template-free synthesis of the highly ordered, efficient NANA Nd2O3 -TiO2 for visible-light-driven photocatalytic degradation of Rhodamine B</t>
  </si>
  <si>
    <t>Dr Ayyappa BathiNApatla</t>
  </si>
  <si>
    <t>JourNAl of hazardous materials advannces</t>
  </si>
  <si>
    <t>Impact of plastic contamiNAnts on marine ecosystems and advancement in the detection of micro/NANA plastics: A review</t>
  </si>
  <si>
    <t>Indian JourNAl of Pure &amp; Applied Physics (IJPAP)</t>
  </si>
  <si>
    <t>Bench Top Process and Their Scalability for Industrial Production of NANAparticles Insights</t>
  </si>
  <si>
    <t>NANA‐Biosensor TechNAlogies for DiagNAsis of Infectious Diseases (Book by Wiley-scrivener publishers)</t>
  </si>
  <si>
    <t>Role of NANAmaterials in the Development of NANAbiosensors for Infectious Diseases</t>
  </si>
  <si>
    <t>Fabrication of SnSe NANAstructures visible light photodetectors</t>
  </si>
  <si>
    <t>JourNAl of Photochemistry and Photobiology A: Chemistry</t>
  </si>
  <si>
    <t xml:space="preserve">InterNAtioNAl Conference on Recent Advancements in Materials Science and TechNAlogy 2024 (ICRAMST 24) , Published in Springer Proceedings </t>
  </si>
  <si>
    <t>FT-IR, UV, NMR, Spectral ExamiNAtions Report of 2-(2,4-Difluorophenyl)-1,3-Bis-(1,2,4-Triazol-1-yl) Propan-2-ol on the Basis of Boosting Electric and Optical Properties Using DFT</t>
  </si>
  <si>
    <t>Quantum ComputatioNAl and Spectroscopic Investigation (UV), MEP, HOMO-LUMO, Pharmacokinetic Studies of Meloxicam: A DFT Study</t>
  </si>
  <si>
    <t>NAtioNAl Conference on NANAmaterials (NCN-2024) 11/07/2024 - 12/07/2024 TamilNAdu, India</t>
  </si>
  <si>
    <t>Optimization of Thermal and Rheological Performance in NAn-Polar BiNAry Fluids Using Hybrid CuO NANAparticles</t>
  </si>
  <si>
    <t>Investigation  of  Dielectric  Behavior  of  CuO NANAfluids  with  Mixed  Alcohol-Amine  Solvents: ButaNAl-Diethylamine  and  IsopropaNAl- Diethylamine</t>
  </si>
  <si>
    <t>Investigation on Synthesis, Crystal Growth, Structure, NLO properties, and ComputatioNAl studies of an INArganic-Organic Hybrid Material: Tetrabromo zincate (II) Piperazinium</t>
  </si>
  <si>
    <t>NAtioNAl Conference on NANAmaterials (NCN-2024)
JourNAl of Physics: Conference Series</t>
  </si>
  <si>
    <t xml:space="preserve"> JourNAl of the Iranian Chemical Society </t>
  </si>
  <si>
    <t>Solvothermal method synthesized SnS NANAplates composites for electrochemical sensing of toxic ions Hg2+ and Pb2+</t>
  </si>
  <si>
    <t xml:space="preserve">High performance application of antimony doped indium  sulfide thin films: Preparation, characterizatioNA dn optical studies </t>
  </si>
  <si>
    <t>Comprehensive overview of the toxicities of small-molecule cryoprotectants for carnivorous spermatozoa: foundation for computatioNAl cryobiotechNAlogy</t>
  </si>
  <si>
    <t>https://www.frontiersin.org/jourNAls/toxicology/articles/10.3389/ftox.2025.1477822/full</t>
  </si>
  <si>
    <t>SudarshaNA R</t>
  </si>
  <si>
    <t xml:space="preserve">InterNAtioNAl JourNAl of Self_Propagating High- Temperature Synthesis </t>
  </si>
  <si>
    <t>Solid State Self Propagating Combustion Synthesis of Surface Oxidized Copper NANAparticles and Specific Cpacitance studies</t>
  </si>
  <si>
    <t>ManjuNAth V Gudur</t>
  </si>
  <si>
    <t xml:space="preserve">ManjuNAth V Gudur and NAveen Kumar G N </t>
  </si>
  <si>
    <t>Privacy-Preserving Data ANAlysis using Decentralized Blockchain-Based Authentication with Zero-KNAwledge Cloud Auditing</t>
  </si>
  <si>
    <t>Dr.GNAswari.G</t>
  </si>
  <si>
    <t xml:space="preserve"> Department</t>
  </si>
  <si>
    <t>Faculty</t>
  </si>
  <si>
    <t xml:space="preserve">Title </t>
  </si>
  <si>
    <t>Date of Submission</t>
  </si>
  <si>
    <t>https://drive.google.com/file/d/13fmYwwqegJYLxouL5JUADOqokRrNkfdT/view?usp=sharing</t>
  </si>
  <si>
    <t>data</t>
  </si>
  <si>
    <t>number</t>
  </si>
  <si>
    <t>amount</t>
  </si>
  <si>
    <t>sources</t>
  </si>
  <si>
    <t>links</t>
  </si>
  <si>
    <t>Q</t>
  </si>
  <si>
    <t>values</t>
  </si>
  <si>
    <t>Name of the Journal / International conference</t>
  </si>
  <si>
    <t>Indexed on WoS</t>
  </si>
  <si>
    <t>Presented/published in the Month and Year</t>
  </si>
  <si>
    <t>Inventor's Name</t>
  </si>
  <si>
    <t>Applicant's Name</t>
  </si>
  <si>
    <r>
      <rPr>
        <sz val="11"/>
        <color rgb="FF000000"/>
        <rFont val="Calibri, Arial"/>
      </rPr>
      <t>Patent Filed Date</t>
    </r>
    <r>
      <rPr>
        <sz val="10"/>
        <color rgb="FF000000"/>
        <rFont val="Calibri"/>
        <family val="2"/>
      </rPr>
      <t xml:space="preserve"> </t>
    </r>
  </si>
  <si>
    <t xml:space="preserve">Proposal Amount Submitted
</t>
  </si>
  <si>
    <r>
      <rPr>
        <b/>
        <sz val="12"/>
        <color rgb="FF000000"/>
        <rFont val="Times New Roman"/>
        <family val="1"/>
      </rPr>
      <t>Dr. Parthasarathy P</t>
    </r>
  </si>
  <si>
    <t>Accepted : 08-2024  Presented:10 2024</t>
  </si>
  <si>
    <t>Accepted:08 2024 Presented:09-2024  Published:06 2025</t>
  </si>
  <si>
    <t>Accepted:11 2024</t>
  </si>
  <si>
    <t>Published:11-2024</t>
  </si>
  <si>
    <t>Published:11-2025</t>
  </si>
  <si>
    <t>Published:11-2026</t>
  </si>
  <si>
    <t>Presented:16-17th May 2025</t>
  </si>
  <si>
    <t>Published:March 2025</t>
  </si>
  <si>
    <t>Published 06-01-2025</t>
  </si>
  <si>
    <t>Published 9-12-2024</t>
  </si>
  <si>
    <t>Published 11 December 2024</t>
  </si>
  <si>
    <t>Accepted&amp;Presented:May 2025</t>
  </si>
  <si>
    <t>Accepted&amp;Presented: Dec 2024</t>
  </si>
  <si>
    <t>Accepted&amp; Presented: Feb 2025</t>
  </si>
  <si>
    <t>Published: 29th Jan 2025</t>
  </si>
  <si>
    <t>Accepted: june month</t>
  </si>
  <si>
    <t>Presented: 26th June 2025</t>
  </si>
  <si>
    <t>Presented:April 9-11 2025</t>
  </si>
  <si>
    <t>Presented :April 9-11 2025</t>
  </si>
  <si>
    <t>Presented:May2-2025</t>
  </si>
  <si>
    <t xml:space="preserve">Accepted in June 2025                                     present:16- 17 August 2025 </t>
  </si>
  <si>
    <t>Accepted in Conference :14th June 2025</t>
  </si>
  <si>
    <t>Accepted in Conference :10th June 2025</t>
  </si>
  <si>
    <t>Presented in Conference: 9th May 2025</t>
  </si>
  <si>
    <t>Presented on conference: 4&amp;5th June 2025</t>
  </si>
  <si>
    <r>
      <rPr>
        <sz val="11"/>
        <color rgb="FF000000"/>
        <rFont val="Calibri, Arial"/>
      </rPr>
      <t>Patent Published Date / Granted Date (</t>
    </r>
    <r>
      <rPr>
        <sz val="10"/>
        <color rgb="FF000000"/>
        <rFont val="Calibri"/>
        <family val="2"/>
      </rPr>
      <t>DD/MM/YYYY)</t>
    </r>
  </si>
  <si>
    <t xml:space="preserve">Total no of proposals submitted (5L)/Amount Received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</si>
</sst>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164" formatCode="[$-14009]dd/mm/yyyy;@"/>
    <numFmt numFmtId="165" formatCode="&quot;₹&quot;\ #,##0.00"/>
    <numFmt numFmtId="166" formatCode="&quot;₹&quot;\ #,##0"/>
    <numFmt numFmtId="168" formatCode="[$-F800]dddd\,\ mmmm\ dd\,\ yyyy"/>
  </numFmts>
  <fonts count="47">
    <font>
      <sz val="10"/>
      <color rgb="FF000000"/>
      <name val="Arial"/>
      <scheme val="minor"/>
    </font>
    <font>
      <sz val="10"/>
      <color theme="1"/>
      <name val="Calibri"/>
    </font>
    <font>
      <sz val="10"/>
      <name val="Arial"/>
    </font>
    <font>
      <b/>
      <sz val="12"/>
      <color theme="1"/>
      <name val="Times New Roman"/>
    </font>
    <font>
      <b/>
      <sz val="12"/>
      <color theme="1"/>
      <name val="Calibri"/>
    </font>
    <font>
      <sz val="12"/>
      <color theme="1"/>
      <name val="Calibri"/>
    </font>
    <font>
      <b/>
      <sz val="11"/>
      <color theme="1"/>
      <name val="Calibri"/>
    </font>
    <font>
      <u/>
      <sz val="10"/>
      <color rgb="FF0000FF"/>
      <name val="Calibri"/>
    </font>
    <font>
      <sz val="10"/>
      <color theme="1"/>
      <name val="Arial"/>
    </font>
    <font>
      <sz val="12"/>
      <color theme="1"/>
      <name val="Times New Roman"/>
    </font>
    <font>
      <sz val="12"/>
      <color rgb="FF222222"/>
      <name val="Times New Roman"/>
    </font>
    <font>
      <u/>
      <sz val="10"/>
      <color rgb="FF1155CC"/>
      <name val="Arial"/>
    </font>
    <font>
      <sz val="12"/>
      <color rgb="FF474747"/>
      <name val="Times New Roman"/>
    </font>
    <font>
      <sz val="12"/>
      <color rgb="FF333333"/>
      <name val="Times New Roman"/>
    </font>
    <font>
      <sz val="12"/>
      <color rgb="FF1F1F1F"/>
      <name val="Times New Roman"/>
    </font>
    <font>
      <u/>
      <sz val="12"/>
      <color rgb="FF1155CC"/>
      <name val="Times New Roman"/>
    </font>
    <font>
      <u/>
      <sz val="12"/>
      <color rgb="FF1155CC"/>
      <name val="Aptos"/>
    </font>
    <font>
      <u/>
      <sz val="10"/>
      <color rgb="FF000000"/>
      <name val="Arial"/>
    </font>
    <font>
      <u/>
      <sz val="12"/>
      <color rgb="FF1F1F1F"/>
      <name val="Times New Roman"/>
    </font>
    <font>
      <sz val="11"/>
      <color rgb="FF222222"/>
      <name val="Arial"/>
    </font>
    <font>
      <sz val="10"/>
      <name val="Calibri"/>
    </font>
    <font>
      <u/>
      <sz val="10"/>
      <color rgb="FF1155CC"/>
      <name val="Calibri"/>
    </font>
    <font>
      <sz val="12"/>
      <color rgb="FF10147E"/>
      <name val="Times New Roman"/>
    </font>
    <font>
      <b/>
      <u/>
      <sz val="10"/>
      <color rgb="FF4F5671"/>
      <name val="Arial"/>
      <scheme val="minor"/>
    </font>
    <font>
      <u/>
      <sz val="11"/>
      <color rgb="FF1155CC"/>
      <name val="Calibri, sans-serif"/>
    </font>
    <font>
      <u/>
      <sz val="11"/>
      <color rgb="FF1155CC"/>
      <name val="&quot;Times New Roman&quot;, serif"/>
    </font>
    <font>
      <u/>
      <sz val="12"/>
      <color rgb="FF1155CC"/>
      <name val="Aptos, sans-serif"/>
    </font>
    <font>
      <u/>
      <sz val="11"/>
      <color rgb="FF1155CC"/>
      <name val="Arial"/>
    </font>
    <font>
      <b/>
      <u/>
      <sz val="11"/>
      <color rgb="FF1155CC"/>
      <name val="Calibri"/>
    </font>
    <font>
      <b/>
      <u/>
      <sz val="10"/>
      <color rgb="FF1155CC"/>
      <name val="Arial"/>
    </font>
    <font>
      <b/>
      <sz val="10"/>
      <name val="Arial"/>
    </font>
    <font>
      <u/>
      <sz val="11"/>
      <name val="Calibri, sans-serif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2"/>
      <color theme="1"/>
      <name val="Calibri"/>
      <family val="2"/>
    </font>
    <font>
      <sz val="8"/>
      <name val="Arial"/>
      <family val="2"/>
      <scheme val="minor"/>
    </font>
    <font>
      <sz val="11"/>
      <color rgb="FF000000"/>
      <name val="Calibri, Arial"/>
    </font>
    <font>
      <sz val="10"/>
      <color rgb="FF000000"/>
      <name val="Calibri"/>
      <family val="2"/>
    </font>
    <font>
      <sz val="10"/>
      <color rgb="FF000000"/>
      <name val="Arial"/>
      <family val="2"/>
    </font>
    <font>
      <sz val="10"/>
      <color theme="1"/>
      <name val="&quot;Times New Roman&quot;"/>
    </font>
    <font>
      <sz val="10"/>
      <color rgb="FF000000"/>
      <name val="Arial"/>
      <scheme val="minor"/>
    </font>
    <font>
      <b/>
      <sz val="12"/>
      <color rgb="FF000000"/>
      <name val="Times New Roman"/>
      <family val="1"/>
    </font>
    <font>
      <sz val="8"/>
      <name val="Arial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rgb="FFC00000"/>
        <bgColor rgb="FFC00000"/>
      </patternFill>
    </fill>
    <fill>
      <patternFill patternType="solid">
        <fgColor theme="9"/>
        <bgColor theme="9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/>
      <bottom/>
      <diagonal/>
    </border>
    <border>
      <left/>
      <right style="thin">
        <color theme="9"/>
      </right>
      <top/>
      <bottom/>
      <diagonal/>
    </border>
  </borders>
  <cellStyleXfs count="3">
    <xf numFmtId="0" fontId="0" fillId="0" borderId="0"/>
    <xf numFmtId="0" fontId="34" fillId="0" borderId="0" applyNumberFormat="0" applyFill="0" applyBorder="0" applyAlignment="0" applyProtection="0"/>
    <xf numFmtId="44" fontId="44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4" fillId="0" borderId="1" xfId="0" applyFont="1" applyBorder="1" applyAlignment="1">
      <alignment horizontal="center"/>
    </xf>
    <xf numFmtId="1" fontId="5" fillId="4" borderId="1" xfId="0" applyNumberFormat="1" applyFont="1" applyFill="1" applyBorder="1" applyAlignment="1">
      <alignment horizontal="center"/>
    </xf>
    <xf numFmtId="1" fontId="5" fillId="5" borderId="1" xfId="0" applyNumberFormat="1" applyFont="1" applyFill="1" applyBorder="1" applyAlignment="1">
      <alignment horizontal="center"/>
    </xf>
    <xf numFmtId="1" fontId="5" fillId="6" borderId="1" xfId="0" applyNumberFormat="1" applyFont="1" applyFill="1" applyBorder="1" applyAlignment="1">
      <alignment horizontal="center"/>
    </xf>
    <xf numFmtId="1" fontId="5" fillId="7" borderId="1" xfId="0" applyNumberFormat="1" applyFont="1" applyFill="1" applyBorder="1" applyAlignment="1">
      <alignment horizontal="center"/>
    </xf>
    <xf numFmtId="1" fontId="5" fillId="3" borderId="1" xfId="0" applyNumberFormat="1" applyFont="1" applyFill="1" applyBorder="1" applyAlignment="1">
      <alignment horizontal="center"/>
    </xf>
    <xf numFmtId="1" fontId="5" fillId="8" borderId="1" xfId="0" applyNumberFormat="1" applyFont="1" applyFill="1" applyBorder="1" applyAlignment="1">
      <alignment horizontal="center"/>
    </xf>
    <xf numFmtId="1" fontId="5" fillId="6" borderId="2" xfId="0" applyNumberFormat="1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1" fontId="5" fillId="4" borderId="2" xfId="0" applyNumberFormat="1" applyFont="1" applyFill="1" applyBorder="1" applyAlignment="1">
      <alignment horizontal="center"/>
    </xf>
    <xf numFmtId="1" fontId="5" fillId="7" borderId="2" xfId="0" applyNumberFormat="1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1" fontId="0" fillId="0" borderId="0" xfId="0" applyNumberFormat="1"/>
    <xf numFmtId="0" fontId="4" fillId="0" borderId="4" xfId="0" applyFont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1" fontId="5" fillId="5" borderId="4" xfId="0" applyNumberFormat="1" applyFont="1" applyFill="1" applyBorder="1" applyAlignment="1">
      <alignment horizontal="center"/>
    </xf>
    <xf numFmtId="1" fontId="5" fillId="6" borderId="4" xfId="0" applyNumberFormat="1" applyFont="1" applyFill="1" applyBorder="1" applyAlignment="1">
      <alignment horizontal="center"/>
    </xf>
    <xf numFmtId="1" fontId="5" fillId="7" borderId="4" xfId="0" applyNumberFormat="1" applyFont="1" applyFill="1" applyBorder="1" applyAlignment="1">
      <alignment horizontal="center"/>
    </xf>
    <xf numFmtId="1" fontId="5" fillId="6" borderId="3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33" fillId="0" borderId="0" xfId="0" applyFont="1" applyAlignment="1">
      <alignment horizontal="center" wrapText="1"/>
    </xf>
    <xf numFmtId="14" fontId="0" fillId="0" borderId="0" xfId="0" applyNumberFormat="1" applyAlignment="1">
      <alignment horizontal="center" wrapText="1"/>
    </xf>
    <xf numFmtId="14" fontId="33" fillId="0" borderId="0" xfId="0" applyNumberFormat="1" applyFont="1" applyAlignment="1">
      <alignment horizontal="center" wrapText="1"/>
    </xf>
    <xf numFmtId="14" fontId="0" fillId="0" borderId="0" xfId="0" applyNumberFormat="1"/>
    <xf numFmtId="0" fontId="34" fillId="0" borderId="0" xfId="1" applyAlignment="1">
      <alignment horizontal="center" wrapText="1"/>
    </xf>
    <xf numFmtId="0" fontId="7" fillId="0" borderId="0" xfId="0" applyFont="1" applyAlignment="1">
      <alignment wrapText="1"/>
    </xf>
    <xf numFmtId="0" fontId="32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37" fillId="0" borderId="5" xfId="0" applyFont="1" applyBorder="1" applyAlignment="1">
      <alignment horizontal="center"/>
    </xf>
    <xf numFmtId="0" fontId="36" fillId="9" borderId="6" xfId="0" applyFont="1" applyFill="1" applyBorder="1" applyAlignment="1">
      <alignment horizontal="center"/>
    </xf>
    <xf numFmtId="0" fontId="36" fillId="9" borderId="0" xfId="0" applyFont="1" applyFill="1" applyAlignment="1">
      <alignment horizontal="center"/>
    </xf>
    <xf numFmtId="0" fontId="36" fillId="9" borderId="7" xfId="0" applyFont="1" applyFill="1" applyBorder="1" applyAlignment="1">
      <alignment horizontal="center"/>
    </xf>
    <xf numFmtId="0" fontId="35" fillId="0" borderId="0" xfId="0" applyFont="1" applyAlignment="1">
      <alignment horizontal="center"/>
    </xf>
    <xf numFmtId="0" fontId="42" fillId="0" borderId="0" xfId="0" applyFont="1" applyAlignment="1">
      <alignment horizontal="center" wrapText="1"/>
    </xf>
    <xf numFmtId="164" fontId="0" fillId="0" borderId="0" xfId="0" applyNumberFormat="1" applyAlignment="1">
      <alignment horizontal="center" wrapText="1"/>
    </xf>
    <xf numFmtId="0" fontId="43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8" fillId="0" borderId="1" xfId="0" applyFont="1" applyBorder="1" applyAlignment="1">
      <alignment horizontal="center"/>
    </xf>
    <xf numFmtId="49" fontId="32" fillId="0" borderId="0" xfId="0" applyNumberFormat="1" applyFont="1" applyAlignment="1">
      <alignment horizontal="center" wrapText="1"/>
    </xf>
    <xf numFmtId="49" fontId="32" fillId="0" borderId="0" xfId="0" applyNumberFormat="1" applyFont="1"/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Alignment="1">
      <alignment horizontal="center"/>
    </xf>
    <xf numFmtId="168" fontId="33" fillId="0" borderId="0" xfId="0" applyNumberFormat="1" applyFont="1" applyAlignment="1">
      <alignment horizontal="center" wrapText="1"/>
    </xf>
    <xf numFmtId="168" fontId="0" fillId="0" borderId="0" xfId="0" applyNumberFormat="1" applyAlignment="1">
      <alignment horizontal="center" wrapText="1"/>
    </xf>
    <xf numFmtId="168" fontId="0" fillId="0" borderId="0" xfId="0" applyNumberFormat="1"/>
    <xf numFmtId="14" fontId="42" fillId="0" borderId="0" xfId="0" applyNumberFormat="1" applyFont="1" applyAlignment="1">
      <alignment horizontal="center" wrapText="1"/>
    </xf>
  </cellXfs>
  <cellStyles count="3">
    <cellStyle name="Currency" xfId="2" builtinId="4"/>
    <cellStyle name="Hyperlink" xfId="1" builtinId="8"/>
    <cellStyle name="Normal" xfId="0" builtinId="0"/>
  </cellStyles>
  <dxfs count="165">
    <dxf>
      <numFmt numFmtId="19" formatCode="dd/mm/yyyy"/>
      <alignment horizontal="center" vertical="bottom" textRotation="0" wrapText="1" indent="0" justifyLastLine="0" shrinkToFit="0" readingOrder="0"/>
    </dxf>
    <dxf>
      <numFmt numFmtId="168" formatCode="[$-F800]dddd\,\ mmmm\ dd\,\ yyyy"/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9" formatCode="dd/mm/yyyy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9" formatCode="dd/mm/yyyy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9" formatCode="dd/mm/yyyy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65" formatCode="&quot;₹&quot;\ #,##0.00"/>
      <alignment horizontal="center" vertical="bottom" textRotation="0" indent="0" justifyLastLine="0" shrinkToFit="0" readingOrder="0"/>
    </dxf>
    <dxf>
      <numFmt numFmtId="166" formatCode="&quot;₹&quot;\ #,##0"/>
      <alignment horizontal="center" vertical="bottom" textRotation="0" indent="0" justifyLastLine="0" shrinkToFit="0" readingOrder="0"/>
    </dxf>
    <dxf>
      <numFmt numFmtId="1" formatCode="0"/>
      <alignment horizontal="center" vertical="bottom" textRotation="0" indent="0" justifyLastLine="0" shrinkToFit="0" readingOrder="0"/>
    </dxf>
    <dxf>
      <numFmt numFmtId="1" formatCode="0"/>
      <alignment horizontal="center" vertical="bottom" textRotation="0" indent="0" justifyLastLine="0" shrinkToFit="0" readingOrder="0"/>
    </dxf>
    <dxf>
      <numFmt numFmtId="1" formatCode="0"/>
      <alignment horizontal="center" vertical="bottom" textRotation="0" indent="0" justifyLastLine="0" shrinkToFit="0" readingOrder="0"/>
    </dxf>
    <dxf>
      <numFmt numFmtId="1" formatCode="0"/>
      <alignment horizontal="center" vertical="bottom" textRotation="0" indent="0" justifyLastLine="0" shrinkToFit="0" readingOrder="0"/>
    </dxf>
    <dxf>
      <numFmt numFmtId="1" formatCode="0"/>
      <alignment horizontal="center" vertical="bottom" textRotation="0" indent="0" justifyLastLine="0" shrinkToFit="0" readingOrder="0"/>
    </dxf>
    <dxf>
      <numFmt numFmtId="1" formatCode="0"/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64" formatCode="[$-14009]dd/mm/yyyy;@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Calibri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Calibri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9"/>
        </top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minor"/>
      </font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9"/>
        </top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minor"/>
      </font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" formatCode="0"/>
      <fill>
        <patternFill patternType="solid">
          <fgColor rgb="FF92D050"/>
          <bgColor rgb="FF92D05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b/>
      </font>
      <numFmt numFmtId="30" formatCode="@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9A76CD-B69C-470F-86BA-6EB110027FC5}" name="Table2" displayName="Table2" ref="A3:H16" totalsRowShown="0" headerRowDxfId="152" dataDxfId="151">
  <autoFilter ref="A3:H16" xr:uid="{649A76CD-B69C-470F-86BA-6EB110027FC5}"/>
  <tableColumns count="8">
    <tableColumn id="1" xr3:uid="{A7FE0BE0-62C8-4C0B-934D-ABE1B4980C0B}" name="Dept." dataDxfId="150"/>
    <tableColumn id="2" xr3:uid="{628363FA-47CB-430A-9CE6-56564E4C9D36}" name="R" dataDxfId="149"/>
    <tableColumn id="3" xr3:uid="{49630930-9E63-4D85-95DF-EE0EAA08BD72}" name="C" dataDxfId="148"/>
    <tableColumn id="4" xr3:uid="{EE54BFB4-7A43-4747-939E-7C81DDE62F24}" name="P" dataDxfId="147"/>
    <tableColumn id="5" xr3:uid="{A75DAB08-D2ED-46C9-8E30-F9FE0ED8B3B8}" name="I" dataDxfId="146"/>
    <tableColumn id="6" xr3:uid="{531E6F34-8B6D-4C0B-A0B6-0DAE713FF7C3}" name="E" dataDxfId="145"/>
    <tableColumn id="7" xr3:uid="{54A54CFA-EB4D-4754-BE9E-5897310492EA}" name="M Paper" dataDxfId="144"/>
    <tableColumn id="8" xr3:uid="{5DDD2068-D92C-47CF-B826-54925495845B}" name="M Patent" dataDxfId="1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E92457-F1C8-41D1-805D-A2E93B97FDE4}" name="Table3" displayName="Table3" ref="A19:H32" totalsRowShown="0" headerRowDxfId="142" dataDxfId="141">
  <autoFilter ref="A19:H32" xr:uid="{E1E92457-F1C8-41D1-805D-A2E93B97FDE4}"/>
  <tableColumns count="8">
    <tableColumn id="1" xr3:uid="{14C0C223-7D55-44B5-81BD-E5811E0122F5}" name="Dept." dataDxfId="140"/>
    <tableColumn id="2" xr3:uid="{23893D27-8F31-4270-BF9C-E4DEB225C921}" name="R" dataDxfId="139"/>
    <tableColumn id="3" xr3:uid="{14EF7912-CBE7-4978-87EC-99C103E1C597}" name="C" dataDxfId="138"/>
    <tableColumn id="4" xr3:uid="{D64F0359-AB35-438A-A468-155E182F6DB6}" name="P" dataDxfId="137"/>
    <tableColumn id="5" xr3:uid="{F2CD88AE-E682-44F2-B4C5-4F5151890639}" name="I" dataDxfId="136"/>
    <tableColumn id="6" xr3:uid="{DB98BDF4-D530-42C2-8D2B-FA34F1999A88}" name="E" dataDxfId="135"/>
    <tableColumn id="7" xr3:uid="{298DA8F1-B6D6-40E9-96C1-20B8495D9A8F}" name="M_x000a_ Paper" dataDxfId="134"/>
    <tableColumn id="8" xr3:uid="{015B713F-D211-49D3-87DA-2B974B07CCB2}" name="M Patent" dataDxfId="13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D579AA-EFB7-4533-883C-EB199F1FF9A3}" name="Table4" displayName="Table4" ref="A35:H48" totalsRowShown="0" headerRowDxfId="132">
  <autoFilter ref="A35:H48" xr:uid="{0CD579AA-EFB7-4533-883C-EB199F1FF9A3}"/>
  <tableColumns count="8">
    <tableColumn id="1" xr3:uid="{120210C1-BAB2-4BF7-94EB-85706BBA0173}" name="Dept." dataDxfId="131"/>
    <tableColumn id="2" xr3:uid="{93CF221B-75CB-4C2F-873E-7394474B4FFC}" name="R"/>
    <tableColumn id="3" xr3:uid="{9B3A7CCC-1CF0-4F11-992E-919904B5C0DB}" name="C"/>
    <tableColumn id="4" xr3:uid="{3FE3266E-9D99-4B70-A6A3-10D966C985BA}" name="P"/>
    <tableColumn id="5" xr3:uid="{AACC7EB6-A5F0-4FB2-B26C-251B2EDB431A}" name="I" dataDxfId="130"/>
    <tableColumn id="6" xr3:uid="{E71F911D-1A79-4C0B-973D-713ED189CFB9}" name="E"/>
    <tableColumn id="7" xr3:uid="{74F933A1-9902-41AD-B704-E49F0414D2C2}" name="M_x000a_ Paper"/>
    <tableColumn id="8" xr3:uid="{816BC56B-11E2-4CE3-9969-34D0A0FBFE01}" name="M Patent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73B55A-3F2D-4A18-866A-D1F50FC15B26}" name="Table5" displayName="Table5" ref="A51:H64" totalsRowShown="0" headerRowDxfId="129" dataDxfId="128">
  <autoFilter ref="A51:H64" xr:uid="{5E73B55A-3F2D-4A18-866A-D1F50FC15B26}"/>
  <tableColumns count="8">
    <tableColumn id="1" xr3:uid="{CE3D2649-D403-4063-BA2D-4448B40105BC}" name="Dept." dataDxfId="127"/>
    <tableColumn id="2" xr3:uid="{DA242B78-62D1-4EBC-9929-FF1007D9387E}" name="R" dataDxfId="126"/>
    <tableColumn id="3" xr3:uid="{33AD7BD0-6594-4A5E-93BF-8BB502AAE173}" name="C" dataDxfId="125"/>
    <tableColumn id="4" xr3:uid="{AE669FF8-4AD3-4B4A-9EED-BE17D73ECBCC}" name="P" dataDxfId="124"/>
    <tableColumn id="5" xr3:uid="{9F9BFB1D-9DD8-4B0C-AE11-6476C38F1B11}" name="I" dataDxfId="123"/>
    <tableColumn id="6" xr3:uid="{567D78A3-C92D-4197-885C-BB9C62EA0758}" name="E" dataDxfId="122"/>
    <tableColumn id="7" xr3:uid="{BED10C1D-B54F-43D6-BD63-9FF978E9FDEE}" name="M_x000a_ Paper" dataDxfId="121"/>
    <tableColumn id="8" xr3:uid="{2FEBDB69-CB37-4166-9AC3-C5F3AC3FCABC}" name="M Patent" dataDxfId="12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CD7E4B5-C439-4195-8163-B3022F42FA21}" name="Table6" displayName="Table6" ref="A67:G68" totalsRowShown="0" headerRowDxfId="119" dataDxfId="118">
  <autoFilter ref="A67:G68" xr:uid="{DCD7E4B5-C439-4195-8163-B3022F42FA21}"/>
  <tableColumns count="7">
    <tableColumn id="1" xr3:uid="{16D7C5E8-FED2-4451-814C-48A590440CD7}" name="R" dataDxfId="117"/>
    <tableColumn id="2" xr3:uid="{16F439D0-81DD-402D-A882-06075C09D3BE}" name="C" dataDxfId="116"/>
    <tableColumn id="3" xr3:uid="{9EC34F7A-788C-4982-A19A-F65BC7980EE3}" name="P" dataDxfId="115"/>
    <tableColumn id="4" xr3:uid="{86523D62-5EC3-4714-BB8B-AE43C223EB00}" name="I" dataDxfId="114"/>
    <tableColumn id="5" xr3:uid="{8DC95631-DC29-4478-9B67-4540FABE83FD}" name="E" dataDxfId="113"/>
    <tableColumn id="6" xr3:uid="{088785BF-E469-4172-8339-EB97A74CB77E}" name="M_x000a_ Paper" dataDxfId="112"/>
    <tableColumn id="7" xr3:uid="{9845554B-C919-4262-BA68-7F2B05A19A9F}" name="M Patent" dataDxfId="111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2BC6DC4-F9B7-4870-948F-FF4C2C360B8F}" name="Table17" displayName="Table17" ref="A70:G72" totalsRowShown="0" headerRowDxfId="110" dataDxfId="109" tableBorderDxfId="108">
  <autoFilter ref="A70:G72" xr:uid="{22BC6DC4-F9B7-4870-948F-FF4C2C360B8F}"/>
  <tableColumns count="7">
    <tableColumn id="1" xr3:uid="{8D6A7432-E808-4D42-8F22-E3C244822F9B}" name="R" dataDxfId="107"/>
    <tableColumn id="2" xr3:uid="{0F618539-7334-4DE2-8AA3-DCCAAFE396AA}" name="C" dataDxfId="106"/>
    <tableColumn id="3" xr3:uid="{C32CA682-9EA7-41C0-9CDF-BBB39773ADDD}" name="P" dataDxfId="105"/>
    <tableColumn id="4" xr3:uid="{EEE38691-7946-49E2-BF66-0FD17D6FFD42}" name="I" dataDxfId="104"/>
    <tableColumn id="5" xr3:uid="{07D2E204-6CA2-4EA1-96BE-64B7D97DCBF7}" name="E" dataDxfId="103"/>
    <tableColumn id="6" xr3:uid="{E9561149-9C0E-4BF3-9A7B-3EE956EC70A6}" name="M_x000a_ Paper" dataDxfId="102"/>
    <tableColumn id="7" xr3:uid="{BB76974F-B4A5-42B9-A4BC-F7E69A14D630}" name="M Patent" dataDxfId="101"/>
  </tableColumns>
  <tableStyleInfo name="TableStyleLight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023B76F-6B00-4954-838D-E26CB69AA12D}" name="Table18" displayName="Table18" ref="A74:G76" totalsRowShown="0" headerRowDxfId="100" dataDxfId="99" tableBorderDxfId="98">
  <autoFilter ref="A74:G76" xr:uid="{8023B76F-6B00-4954-838D-E26CB69AA12D}"/>
  <tableColumns count="7">
    <tableColumn id="1" xr3:uid="{51C21EA2-A42F-4EBC-B0C3-38FEDF7C33EC}" name="R" dataDxfId="97"/>
    <tableColumn id="2" xr3:uid="{C1B70352-CE8D-4477-9DD4-9EF78712AFA5}" name="C" dataDxfId="96"/>
    <tableColumn id="3" xr3:uid="{30638ED3-7A0B-46AF-9C7A-C6561323F7DA}" name="P" dataDxfId="95"/>
    <tableColumn id="4" xr3:uid="{55D27018-A953-4D79-B087-2177EA0BD788}" name="I" dataDxfId="94"/>
    <tableColumn id="5" xr3:uid="{96299372-8F39-4823-9556-8C76933E0A3D}" name="E" dataDxfId="93"/>
    <tableColumn id="6" xr3:uid="{B460CC2F-43B3-47B2-AE64-7B0E6FF49211}" name="M_x000a_ Paper" dataDxfId="92"/>
    <tableColumn id="7" xr3:uid="{E15F123D-5C6B-4BFC-AC5C-63BDC069AC5A}" name="M Patent" dataDxfId="91"/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A12530-1041-4F0E-A5F1-E1222F116C79}" name="Table19" displayName="Table19" ref="A81:A82" totalsRowShown="0" headerRowDxfId="90" dataDxfId="89">
  <autoFilter ref="A81:A82" xr:uid="{1AA12530-1041-4F0E-A5F1-E1222F116C79}"/>
  <tableColumns count="1">
    <tableColumn id="1" xr3:uid="{8BECF263-AB11-4526-85DC-1A52AE67902F}" name="links" dataDxfId="88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9B49D5A-578E-4D78-A89D-ADAB26FAA10F}" name="Table9" displayName="Table9" ref="A2:B11" totalsRowShown="0">
  <autoFilter ref="A2:B11" xr:uid="{79B49D5A-578E-4D78-A89D-ADAB26FAA10F}"/>
  <tableColumns count="2">
    <tableColumn id="1" xr3:uid="{741B3EBD-B30D-47C4-B8F7-D8E6B6B9DEED}" name="data"/>
    <tableColumn id="2" xr3:uid="{25DB735F-1856-4529-B120-C0A00634C8A1}" name="number" dataDxfId="8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10B868F-2AEE-4117-96AB-80D7EAABF184}" name="Table10" displayName="Table10" ref="A15:B20" totalsRowShown="0">
  <autoFilter ref="A15:B20" xr:uid="{D10B868F-2AEE-4117-96AB-80D7EAABF184}"/>
  <tableColumns count="2">
    <tableColumn id="1" xr3:uid="{2180F118-43CA-40A0-8854-AB6B78A7B915}" name="sources"/>
    <tableColumn id="2" xr3:uid="{4475D361-7BF3-4E52-A29E-0A15E3A37404}" name="amount" dataDxfId="86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D3C4490-56C3-41AD-98EC-958E35B0ACE1}" name="Table20" displayName="Table20" ref="A22:B26" totalsRowShown="0">
  <autoFilter ref="A22:B26" xr:uid="{ED3C4490-56C3-41AD-98EC-958E35B0ACE1}"/>
  <tableColumns count="2">
    <tableColumn id="1" xr3:uid="{F5C241B3-3240-44B1-89BD-CD94497A53B4}" name="Q"/>
    <tableColumn id="2" xr3:uid="{BF8A3E0E-B993-4AF5-A8E4-6704BA7912D0}" name="values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0661478-08C8-43D3-AACD-5CDD6F373115}" name="Table11" displayName="Table11" ref="A1:K342" totalsRowShown="0" headerRowDxfId="164" dataDxfId="163">
  <autoFilter ref="A1:K342" xr:uid="{30661478-08C8-43D3-AACD-5CDD6F373115}"/>
  <tableColumns count="11">
    <tableColumn id="1" xr3:uid="{8FE2635B-BDC5-42FA-B5BF-16A39B66EC15}" name="S.NA." dataDxfId="162"/>
    <tableColumn id="2" xr3:uid="{D94BB831-6DE2-47CF-921D-B47C951CB420}" name="Faculty Involved" dataDxfId="161"/>
    <tableColumn id="3" xr3:uid="{1810A791-825C-4EF2-82FF-0269EBFCECD6}" name="Students Involved" dataDxfId="160"/>
    <tableColumn id="4" xr3:uid="{2BA889E6-283A-4CCF-BE26-C96316175631}" name="Department" dataDxfId="159"/>
    <tableColumn id="5" xr3:uid="{0995E80A-13B1-4A7B-8D70-776562D0DB04}" name="Name of the Journal / International conference" dataDxfId="158"/>
    <tableColumn id="6" xr3:uid="{0FEB994C-5347-4FAB-BDEB-5685075786DA}" name="Q1/Q2 /Q3/Q4/SCI" dataDxfId="157"/>
    <tableColumn id="7" xr3:uid="{60D85B4E-4F15-4F08-9B71-1E957BF67322}" name="Indexed on WoS" dataDxfId="156"/>
    <tableColumn id="8" xr3:uid="{8D94F992-217B-4CB9-838E-046B4AE17B3A}" name="Title of the paper" dataDxfId="155"/>
    <tableColumn id="9" xr3:uid="{AD0646C0-8B73-476F-BFD5-7681773EC29C}" name="Presented/published in the Month and Year" dataDxfId="1"/>
    <tableColumn id="10" xr3:uid="{A0D21AAC-C544-4282-9B57-86C3CD176196}" name="ISSN/ISBN Number" dataDxfId="154"/>
    <tableColumn id="11" xr3:uid="{307D0E42-569A-423C-8857-A0B0B89A9ED4}" name="Published proof link (DOI)" dataDxfId="153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E283D4-B69F-4807-813E-422E7C42AD5C}" name="Table1" displayName="Table1" ref="A1:J185" totalsRowShown="0" headerRowDxfId="85" dataDxfId="84">
  <autoFilter ref="A1:J185" xr:uid="{C0E283D4-B69F-4807-813E-422E7C42AD5C}"/>
  <tableColumns count="10">
    <tableColumn id="1" xr3:uid="{7F8259AF-AA38-4AA8-9ED5-05B9CE9C08DC}" name="S.No." dataDxfId="83"/>
    <tableColumn id="2" xr3:uid="{7A40ECA3-865D-4A71-89BE-7F974C22C74A}" name="Patent Application No." dataDxfId="82"/>
    <tableColumn id="3" xr3:uid="{9A3D2C1C-5EAE-400C-B9D5-01F911534D68}" name="Status of Patent (Published / Granted)" dataDxfId="81"/>
    <tableColumn id="4" xr3:uid="{A5B9D9B8-752A-4BEE-9900-8B39C9228F4F}" name="Inventor's Name" dataDxfId="80"/>
    <tableColumn id="5" xr3:uid="{499CEC4D-87AE-45D7-874F-958352F4B050}" name="Department" dataDxfId="79"/>
    <tableColumn id="6" xr3:uid="{2541192E-4E2A-42E3-A309-550C16CFB78F}" name="Title of the Patent" dataDxfId="78"/>
    <tableColumn id="7" xr3:uid="{0376ECFE-3C11-4516-B4DA-B483F224095F}" name="Applicant's Name" dataDxfId="77"/>
    <tableColumn id="8" xr3:uid="{DFF6D363-FEED-4D69-A038-5E4EC0165F53}" name="Patent Filed Date " dataDxfId="76"/>
    <tableColumn id="9" xr3:uid="{1D2F63A6-F116-4EE2-B0B8-CA5B2C8EC686}" name="Patent Published Date / Granted Date (DD/MM/YYYY)" dataDxfId="0"/>
    <tableColumn id="10" xr3:uid="{10B0BE1A-2EA5-4C4E-BD30-3FC1864C828C}" name="   Published proof link" dataDxfId="75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CBF1965-975E-4834-B6AF-030C0E201E1D}" name="Table7" displayName="Table7" ref="A2:D15" totalsRowShown="0" headerRowDxfId="74" dataDxfId="73">
  <autoFilter ref="A2:D15" xr:uid="{8CBF1965-975E-4834-B6AF-030C0E201E1D}"/>
  <tableColumns count="4">
    <tableColumn id="1" xr3:uid="{B56DEA74-E194-40D6-9F68-E3CF921389DA}" name=" Department" dataDxfId="72"/>
    <tableColumn id="2" xr3:uid="{2DD8509A-FD83-4ABB-8BDE-E0807B24EFA5}" name="Student Intake" dataDxfId="71"/>
    <tableColumn id="3" xr3:uid="{82990DC0-A8A8-4205-94EA-070926D951C1}" name="Target " dataDxfId="70"/>
    <tableColumn id="4" xr3:uid="{9964B0AC-B4FB-4345-B6F1-822182348499}" name="Achieved" dataDxfId="69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8ECA153-8F50-4154-9EA7-4910FE299A88}" name="Table8" displayName="Table8" ref="A17:I30" totalsRowShown="0" headerRowDxfId="68" dataDxfId="67">
  <autoFilter ref="A17:I30" xr:uid="{28ECA153-8F50-4154-9EA7-4910FE299A88}"/>
  <tableColumns count="9">
    <tableColumn id="1" xr3:uid="{2177396E-047E-48A9-8AD1-D5B167BB1094}" name="Name of the Department" dataDxfId="66"/>
    <tableColumn id="2" xr3:uid="{A32CFB76-4DFB-48AE-9481-402367F2A9AF}" name="Total No of Faculty of the department" dataDxfId="65"/>
    <tableColumn id="3" xr3:uid="{D80106CD-F024-4961-998B-ECD981534833}" name="Total no of papers presented/accepted/published (R Load)" dataDxfId="64"/>
    <tableColumn id="4" xr3:uid="{07591475-A105-4428-9522-D28838E80FEC}" name="Total no of papers presented/accepted/published (Mandatory Paper)" dataDxfId="63"/>
    <tableColumn id="5" xr3:uid="{C3CCE6DF-B2D8-4E48-A938-BA71E4DE6B45}" name="Total no of patents filed/published (I Load)" dataDxfId="62"/>
    <tableColumn id="6" xr3:uid="{43233EE9-AD31-4124-AB36-4225B76F9965}" name="Total no of patents filed/published (Mandatory Load)" dataDxfId="61"/>
    <tableColumn id="7" xr3:uid="{86DCDF6E-4081-4CBD-B066-15BE0F0EB872}" name="Total no of proposals submitted (5L)/Amount Received " dataDxfId="60"/>
    <tableColumn id="8" xr3:uid="{5B064817-79C2-4E16-AAFE-4073B4E7BE6D}" name="Consultancy amount received (Rs.)" dataDxfId="59"/>
    <tableColumn id="9" xr3:uid="{6ED82D9B-9B05-41CA-BC80-5F729A4FFCBF}" name="Amount received for E load (Rs.)" dataDxfId="58" dataCellStyle="Currency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22F409A-B19D-4BCD-886A-6F740EBAE02A}" name="Table13" displayName="Table13" ref="A1:N94" totalsRowShown="0" headerRowDxfId="57" dataDxfId="56">
  <autoFilter ref="A1:N94" xr:uid="{F22F409A-B19D-4BCD-886A-6F740EBAE02A}"/>
  <tableColumns count="14">
    <tableColumn id="1" xr3:uid="{6B83B995-7BDC-4EEA-B70D-B1336C6FDC1C}" name="S.No." dataDxfId="55"/>
    <tableColumn id="2" xr3:uid="{18CB4F22-EF24-4530-BBF6-6A6F4DE8C159}" name="Dept. " dataDxfId="54"/>
    <tableColumn id="3" xr3:uid="{6CA2CFA1-CDFB-4F6B-A51C-C3CB9134FC36}" name="Faculty" dataDxfId="53"/>
    <tableColumn id="4" xr3:uid="{110A8F0F-3845-4572-B383-F3ABFA06A8B6}" name="Title " dataDxfId="52"/>
    <tableColumn id="5" xr3:uid="{969045A0-E371-4064-A172-72B939F15D91}" name="Proposal Amount Submitted_x000a_" dataDxfId="51"/>
    <tableColumn id="6" xr3:uid="{80D86AF3-F79A-4E50-AF0F-65B94805F025}" name="Date of Submission" dataDxfId="50"/>
    <tableColumn id="7" xr3:uid="{728B12A5-8F5D-423A-9277-81D08D549782}" name="Application ID" dataDxfId="49"/>
    <tableColumn id="8" xr3:uid="{F2A161F6-D789-44E9-8DA2-1597046B685F}" name="Agency Name" dataDxfId="48"/>
    <tableColumn id="9" xr3:uid="{B6F39CC2-2238-438D-9E34-898D4FC53B22}" name="Agency Type" dataDxfId="47"/>
    <tableColumn id="10" xr3:uid="{B931922A-D446-4512-98A5-0EEBFACD2336}" name="Current status" dataDxfId="46"/>
    <tableColumn id="11" xr3:uid="{3DEF4BDD-4097-4164-BAC9-D2BA5DF1F831}" name="Sanctioned Amount" dataDxfId="45"/>
    <tableColumn id="12" xr3:uid="{C21A8A68-CC8F-4DC5-9E61-E423626D5E45}" name="Amount Received" dataDxfId="44"/>
    <tableColumn id="13" xr3:uid="{D3EB24F7-9C96-436A-B3EE-0E8F2544B209}" name="Remarks" dataDxfId="43"/>
    <tableColumn id="14" xr3:uid="{0D3BEFA9-C7C9-4CDB-8F28-5A7EFCBBE83E}" name="Sanctioned letter" dataDxfId="42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5C904B8-C530-48EA-A897-0B2D15BE5921}" name="Table12" displayName="Table12" ref="A1:K77" totalsRowShown="0" headerRowDxfId="41" dataDxfId="40">
  <autoFilter ref="A1:K77" xr:uid="{F5C904B8-C530-48EA-A897-0B2D15BE5921}"/>
  <tableColumns count="11">
    <tableColumn id="1" xr3:uid="{54B1AD46-B4B8-48E6-BF27-AD7A8084AAEE}" name="S.No" dataDxfId="39"/>
    <tableColumn id="2" xr3:uid="{35FEED17-07E3-47B5-A3F0-793F7C8751BD}" name="Faculty Involved" dataDxfId="38"/>
    <tableColumn id="3" xr3:uid="{C2933868-20E5-4A1D-A418-4480DB241C85}" name="Department" dataDxfId="37"/>
    <tableColumn id="4" xr3:uid="{271788B3-88C1-42F5-A96B-1CBEA237FC97}" name="Name/Title of the work" dataDxfId="36"/>
    <tableColumn id="5" xr3:uid="{22CAE71B-ACB0-4C8E-BE93-EF39AAB9A5C2}" name="Funding  Agency" dataDxfId="35"/>
    <tableColumn id="6" xr3:uid="{B76779B7-57C4-4163-80DD-B435CD05ECCE}" name="Registration Amount(If Activity)" dataDxfId="34"/>
    <tableColumn id="7" xr3:uid="{AC3AEA8B-9BF8-45B3-8DCD-FB9A74597165}" name="No of Participants (If Applicable)" dataDxfId="33"/>
    <tableColumn id="8" xr3:uid="{77D8FB26-4B1C-41CF-B73D-C77877651D5E}" name="Consultancy Amount Generated (Rs.)" dataDxfId="32"/>
    <tableColumn id="9" xr3:uid="{CAEF93E8-D673-4B85-80AD-4C97F932FAF5}" name="Expenses (Rs.)" dataDxfId="31"/>
    <tableColumn id="10" xr3:uid="{8B53AC7B-A85A-47E6-8107-52AC9D1370A8}" name="Month and Year_x000a_(Sep/Oct/Nov/Dec/Jan/Feb)" dataDxfId="30"/>
    <tableColumn id="11" xr3:uid="{5CB8787E-02AD-48B8-8217-A9F07D268479}" name="Receipt Link" dataDxfId="29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BACD2A8-99C0-4810-A734-E75EB71FDE3C}" name="Table15" displayName="Table15" ref="A1:K46" totalsRowShown="0" headerRowDxfId="28" dataDxfId="27">
  <autoFilter ref="A1:K46" xr:uid="{3BACD2A8-99C0-4810-A734-E75EB71FDE3C}"/>
  <tableColumns count="11">
    <tableColumn id="1" xr3:uid="{BA2577A2-F22B-47F6-9B81-9BD93638E4FD}" name="S.No" dataDxfId="26"/>
    <tableColumn id="2" xr3:uid="{9A25E2D5-C479-477B-B0DD-46AC3D1BCAEC}" name="Faculty Involved" dataDxfId="25"/>
    <tableColumn id="3" xr3:uid="{7E33E45D-4595-49A4-9FDB-7017D9DA1FF5}" name="Department" dataDxfId="24"/>
    <tableColumn id="4" xr3:uid="{B324B8A8-0D8F-4EDF-94F8-13D0F56B2D40}" name="Startup Initiated" dataDxfId="23"/>
    <tableColumn id="5" xr3:uid="{475973CF-F1A4-497F-9467-747322ED6469}" name="Registration Amount per head (If Event)" dataDxfId="22"/>
    <tableColumn id="6" xr3:uid="{C6EF4BA9-EF1D-4676-8EA6-2C04C2BD2699}" name="No of Participants (If Applicable)" dataDxfId="21"/>
    <tableColumn id="7" xr3:uid="{5B038C28-34AA-4CDC-90F0-29CD118AE6EA}" name="Revenue Generation through Start-up (Rs.)" dataDxfId="20"/>
    <tableColumn id="8" xr3:uid="{71953359-E722-43EE-87F8-3DBC93C7E5B3}" name="Expenses(Rs.)" dataDxfId="19"/>
    <tableColumn id="9" xr3:uid="{3C26D18E-F2B9-4B89-9CAA-1A871878E112}" name="Name of the Training Program" dataDxfId="18"/>
    <tableColumn id="10" xr3:uid="{D4E30370-5AC7-49AF-ABC3-3A7D37C597F3}" name="Published / Filed Month and year_x000a_(Sep/Oct/Nov/Dec/Jan/Feb)" dataDxfId="17"/>
    <tableColumn id="11" xr3:uid="{630E7664-6B99-42D9-852F-76AD933004FE}" name="Receipt Link" dataDxfId="16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8D7B064-1B22-4FD5-B98B-5E95A2B34EC7}" name="Table16" displayName="Table16" ref="A2:F288" totalsRowShown="0" headerRowDxfId="15" dataDxfId="14">
  <autoFilter ref="A2:F288" xr:uid="{A8D7B064-1B22-4FD5-B98B-5E95A2B34EC7}"/>
  <tableColumns count="6">
    <tableColumn id="1" xr3:uid="{480BF055-23AC-4873-957A-22784A862F88}" name="Department" dataDxfId="13"/>
    <tableColumn id="2" xr3:uid="{5785055D-18DA-4DE8-BCE7-1EBA0FCD5134}" name="Year" dataDxfId="12"/>
    <tableColumn id="3" xr3:uid="{2BBAA4D9-9BD7-4D4A-B263-FDA3E2424077}" name="Name of the Faculty" dataDxfId="11"/>
    <tableColumn id="4" xr3:uid="{79BA62AB-5749-4B8D-B073-9A7B521453D5}" name="Name of conference/ workshop attended for which financial support provided" dataDxfId="10"/>
    <tableColumn id="5" xr3:uid="{4EB4EF5B-5E9A-4348-AF53-B504AC884FAA}" name="Name of the professional body for which membership fee is provided" dataDxfId="9"/>
    <tableColumn id="6" xr3:uid="{66235889-2DC0-470F-9EBB-1E5AC8445C2F}" name="Amount of support (Rs.)" dataDxfId="8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E2C102E-EAA5-417F-87C9-D80BC21304A9}" name="Table14" displayName="Table14" ref="A2:D15" totalsRowShown="0" headerRowDxfId="7" dataDxfId="6">
  <autoFilter ref="A2:D15" xr:uid="{1E2C102E-EAA5-417F-87C9-D80BC21304A9}"/>
  <tableColumns count="4">
    <tableColumn id="1" xr3:uid="{4595773C-24C2-461E-BB8D-9DA2AC6DB572}" name="Name of the Department" dataDxfId="5"/>
    <tableColumn id="2" xr3:uid="{59DB0383-F0DD-4E88-9F73-14695697E31A}" name="Student Intake" dataDxfId="4"/>
    <tableColumn id="3" xr3:uid="{046225C3-B9D4-42AD-9FBD-CC0047DB2583}" name="Target (No of Students Publications)" dataDxfId="3"/>
    <tableColumn id="4" xr3:uid="{1446C5B9-9592-418E-8116-53B54EB925F2}" name="Achieved" dataDxfId="2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D71C4D4-17B6-4D1A-A5E7-DD1CD4BC601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4821810-72ab-41a8-b537-2af71c6b3ec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c6ExYgEK3c3VThNvtkQd2_7YY7vXw0_w/edit?usp=sharing&amp;ouid=116627104976954055156&amp;rtpof=true&amp;sd=true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igi-global.com/chapter/navigating-towards-sustainability/380883" TargetMode="External"/><Relationship Id="rId21" Type="http://schemas.openxmlformats.org/officeDocument/2006/relationships/hyperlink" Target="https://doi.org/10.1007/978-981-96-2697-7_27" TargetMode="External"/><Relationship Id="rId42" Type="http://schemas.openxmlformats.org/officeDocument/2006/relationships/hyperlink" Target="https://doi.org/10.1109/INCIP64058.2025.11020087" TargetMode="External"/><Relationship Id="rId63" Type="http://schemas.openxmlformats.org/officeDocument/2006/relationships/hyperlink" Target="https://drive.google.com/file/d/1uFWWwPHGaLtuztVW3KJH7A8s9e46kTU_/view?usp=sharing" TargetMode="External"/><Relationship Id="rId84" Type="http://schemas.openxmlformats.org/officeDocument/2006/relationships/hyperlink" Target="https://drive.google.com/drive/folders/1cnIVkoXxQPzgny7TpGO0NzOCuODmzuCq" TargetMode="External"/><Relationship Id="rId138" Type="http://schemas.openxmlformats.org/officeDocument/2006/relationships/hyperlink" Target="https://drive.google.com/drive/folders/1eEIYUtLwH3llpehb5Q-t8b1qT6ESHvs-?usp=drive_link" TargetMode="External"/><Relationship Id="rId159" Type="http://schemas.openxmlformats.org/officeDocument/2006/relationships/hyperlink" Target="https://drive.google.com/drive/folders/1VzvnbbGrQ3d52cKdbZgpLFAv3QOt1mc9?usp=drive_link" TargetMode="External"/><Relationship Id="rId170" Type="http://schemas.openxmlformats.org/officeDocument/2006/relationships/hyperlink" Target="https://drive.google.com/file/d/1PVj7WIGXk_FdHKOxr7HG9ni12X65fe1x/view?usp=sharing" TargetMode="External"/><Relationship Id="rId191" Type="http://schemas.openxmlformats.org/officeDocument/2006/relationships/hyperlink" Target="https://www.sciencedirect.com/science/article/abs/pii/S1387700324012656" TargetMode="External"/><Relationship Id="rId205" Type="http://schemas.openxmlformats.org/officeDocument/2006/relationships/hyperlink" Target="https://drive.google.com/drive/folders/15PXlCNveHApEzOX1RuvDuKKgxcYdZfVl?usp=drive_link" TargetMode="External"/><Relationship Id="rId107" Type="http://schemas.openxmlformats.org/officeDocument/2006/relationships/hyperlink" Target="https://drive.google.com/drive/folders/13AymKPp77u-KKAIyGoybuoHyb_6SurGf?usp=drive_link" TargetMode="External"/><Relationship Id="rId11" Type="http://schemas.openxmlformats.org/officeDocument/2006/relationships/hyperlink" Target="https://www.tandfonline.com/doi/full/10.1080/15567036.2024.2386373" TargetMode="External"/><Relationship Id="rId32" Type="http://schemas.openxmlformats.org/officeDocument/2006/relationships/hyperlink" Target="https://doi.org/10.1109/TCSI.2024.3505419" TargetMode="External"/><Relationship Id="rId53" Type="http://schemas.openxmlformats.org/officeDocument/2006/relationships/hyperlink" Target="https://doi.org/10.62754/joe.v3i8.4918" TargetMode="External"/><Relationship Id="rId74" Type="http://schemas.openxmlformats.org/officeDocument/2006/relationships/hyperlink" Target="https://drive.google.com/file/d/1lWMHWRMqcnbBsv-dgaaEbEb4ibO1DrC7/view?usp=drive_link" TargetMode="External"/><Relationship Id="rId128" Type="http://schemas.openxmlformats.org/officeDocument/2006/relationships/hyperlink" Target="https://drive.google.com/file/d/14qFy_nMmHB8g444e8h5XDBgaZIxVGd11/view?usp=sharing" TargetMode="External"/><Relationship Id="rId149" Type="http://schemas.openxmlformats.org/officeDocument/2006/relationships/hyperlink" Target="https://drive.google.com/file/d/1rBRENXoAIaMi5Kx99FnwynSuxbSTeHMV/view?usp=drive_link" TargetMode="External"/><Relationship Id="rId5" Type="http://schemas.openxmlformats.org/officeDocument/2006/relationships/hyperlink" Target="https://jaem.isikun.edu.tr/web/index.php/current/126-vol14no4/1291-maxwell-cattaneo-law-of-heat-conduction-through-porous-ferroconvection-with-magnetic-field-dependent-viscosity" TargetMode="External"/><Relationship Id="rId95" Type="http://schemas.openxmlformats.org/officeDocument/2006/relationships/hyperlink" Target="https://iopscience.iop.org/article/10.1149/2162-8777/adc2d2/meta" TargetMode="External"/><Relationship Id="rId160" Type="http://schemas.openxmlformats.org/officeDocument/2006/relationships/hyperlink" Target="https://iopscience.iop.org/article/10.1149/2162-8777/add49b/meta" TargetMode="External"/><Relationship Id="rId181" Type="http://schemas.openxmlformats.org/officeDocument/2006/relationships/hyperlink" Target="https://www.sciencedirect.com/journal/journal-of-hazardous-materials-advances/vol/17/suppl/C" TargetMode="External"/><Relationship Id="rId22" Type="http://schemas.openxmlformats.org/officeDocument/2006/relationships/hyperlink" Target="https://drive.google.com/drive/folders/11aIa3tTiTLk12qaKFGnqJVBbFOryK81C?usp=drive_link" TargetMode="External"/><Relationship Id="rId43" Type="http://schemas.openxmlformats.org/officeDocument/2006/relationships/hyperlink" Target="https://ieeexplore.ieee.org/document/10895370" TargetMode="External"/><Relationship Id="rId64" Type="http://schemas.openxmlformats.org/officeDocument/2006/relationships/hyperlink" Target="https://ieeexplore.ieee.org/abstract/document/10969941" TargetMode="External"/><Relationship Id="rId118" Type="http://schemas.openxmlformats.org/officeDocument/2006/relationships/hyperlink" Target="https://qtanalytics.in/publications/index.php/books/article/download/530/398/1330" TargetMode="External"/><Relationship Id="rId139" Type="http://schemas.openxmlformats.org/officeDocument/2006/relationships/hyperlink" Target="https://drive.google.com/drive/folders/1Gw7lsaK8p_2wwXImgT0qyRsywz5aIu5L?usp=drive_link" TargetMode="External"/><Relationship Id="rId85" Type="http://schemas.openxmlformats.org/officeDocument/2006/relationships/hyperlink" Target="https://drive.google.com/drive/folders/1YtDpHgIzSivFfZ7DxGe2k2HoRIT6D2O2" TargetMode="External"/><Relationship Id="rId150" Type="http://schemas.openxmlformats.org/officeDocument/2006/relationships/hyperlink" Target="https://drive.google.com/file/d/1UTTZY_w2NWFbvNY1MO1Y2k7J0Jz07wkU/view?usp=sharing" TargetMode="External"/><Relationship Id="rId171" Type="http://schemas.openxmlformats.org/officeDocument/2006/relationships/hyperlink" Target="https://doi.org/10.1109/ICKECS65700.2025.11035782" TargetMode="External"/><Relationship Id="rId192" Type="http://schemas.openxmlformats.org/officeDocument/2006/relationships/hyperlink" Target="https://doi.org/10.1016/j.jphotochem.2024.116087" TargetMode="External"/><Relationship Id="rId206" Type="http://schemas.openxmlformats.org/officeDocument/2006/relationships/hyperlink" Target="https://www.sciencedirect.com/journal/materials-chemistry-and-physics" TargetMode="External"/><Relationship Id="rId12" Type="http://schemas.openxmlformats.org/officeDocument/2006/relationships/hyperlink" Target="https://link.springer.com/article/10.1007/s11837-024-06897-5" TargetMode="External"/><Relationship Id="rId33" Type="http://schemas.openxmlformats.org/officeDocument/2006/relationships/hyperlink" Target="https://ieeexplore.ieee.org/document/10723484" TargetMode="External"/><Relationship Id="rId108" Type="http://schemas.openxmlformats.org/officeDocument/2006/relationships/hyperlink" Target="https://link.springer.com/article/10.1007/s12633-025-03319-2" TargetMode="External"/><Relationship Id="rId129" Type="http://schemas.openxmlformats.org/officeDocument/2006/relationships/hyperlink" Target="https://drive.google.com/file/d/1aLPKWpBNaUVEH3WyDW5ZCUZpTUK7aj7i/view?usp=drive_link" TargetMode="External"/><Relationship Id="rId54" Type="http://schemas.openxmlformats.org/officeDocument/2006/relationships/hyperlink" Target="https://ecohumanism.co.uk/joe/ecohumanism/article/view/4918" TargetMode="External"/><Relationship Id="rId75" Type="http://schemas.openxmlformats.org/officeDocument/2006/relationships/hyperlink" Target="https://drive.google.com/file/d/1bwLGFwqa07VtdeqUVYQgJlr0X_WjINl_/view?usp=drive_link" TargetMode="External"/><Relationship Id="rId96" Type="http://schemas.openxmlformats.org/officeDocument/2006/relationships/hyperlink" Target="https://link.springer.com/article/10.1007/s11468-025-02888-7" TargetMode="External"/><Relationship Id="rId140" Type="http://schemas.openxmlformats.org/officeDocument/2006/relationships/hyperlink" Target="https://drive.google.com/drive/folders/1TbKtE7S0SqbwZDpDuRC-SpQh3q6QetAV?usp=drive_link" TargetMode="External"/><Relationship Id="rId161" Type="http://schemas.openxmlformats.org/officeDocument/2006/relationships/hyperlink" Target="https://ieeexplore.ieee.org/abstract/document/11005483" TargetMode="External"/><Relationship Id="rId182" Type="http://schemas.openxmlformats.org/officeDocument/2006/relationships/hyperlink" Target="https://doi.org/10.1016/j.hazadv.2024.100553" TargetMode="External"/><Relationship Id="rId6" Type="http://schemas.openxmlformats.org/officeDocument/2006/relationships/hyperlink" Target="https://doi.org/10.26516/1997-7670.2025.51.34" TargetMode="External"/><Relationship Id="rId23" Type="http://schemas.openxmlformats.org/officeDocument/2006/relationships/hyperlink" Target="https://doi.org/10.1109/IICCCS61609.2024.10763886" TargetMode="External"/><Relationship Id="rId119" Type="http://schemas.openxmlformats.org/officeDocument/2006/relationships/hyperlink" Target="https://drive.google.com/drive/folders/11hu30w6fDTuabXz2LyBlE2mC6tLwRrHl" TargetMode="External"/><Relationship Id="rId44" Type="http://schemas.openxmlformats.org/officeDocument/2006/relationships/hyperlink" Target="https://drive.google.com/file/d/1AVjn6lRSB0fIrhTk3rgFlERFDRERfuUW/view?usp=drive_link" TargetMode="External"/><Relationship Id="rId65" Type="http://schemas.openxmlformats.org/officeDocument/2006/relationships/hyperlink" Target="https://drive.google.com/file/d/1NrWd7cZ2prIT8zOITIr0XE21KkN1tCTH/view?usp=sharing" TargetMode="External"/><Relationship Id="rId86" Type="http://schemas.openxmlformats.org/officeDocument/2006/relationships/hyperlink" Target="https://ieeexplore.ieee.org/document/11009518" TargetMode="External"/><Relationship Id="rId130" Type="http://schemas.openxmlformats.org/officeDocument/2006/relationships/hyperlink" Target="https://drive.google.com/file/d/1GhJsbDBsC3JzqonfEhJSRrmk0xRjJGn3/view?usp=sharing" TargetMode="External"/><Relationship Id="rId151" Type="http://schemas.openxmlformats.org/officeDocument/2006/relationships/hyperlink" Target="https://drive.google.com/file/d/1Px7KsEulDFJg490dMlZSEj8jWjyF9DXI/view?usp=sharing" TargetMode="External"/><Relationship Id="rId172" Type="http://schemas.openxmlformats.org/officeDocument/2006/relationships/hyperlink" Target="https://drive.google.com/file/d/1pirK0ekI1kWFmgA0EzA_eSy2gB0tjRyM/view?usp=sharing" TargetMode="External"/><Relationship Id="rId193" Type="http://schemas.openxmlformats.org/officeDocument/2006/relationships/hyperlink" Target="https://doi.org/10.1007/s12034-024-03290-5" TargetMode="External"/><Relationship Id="rId207" Type="http://schemas.openxmlformats.org/officeDocument/2006/relationships/hyperlink" Target="https://doi.org/10.1016/j.matchemphys.2025.131188" TargetMode="External"/><Relationship Id="rId13" Type="http://schemas.openxmlformats.org/officeDocument/2006/relationships/hyperlink" Target="https://ieeexplore.ieee.org/document/10724153" TargetMode="External"/><Relationship Id="rId109" Type="http://schemas.openxmlformats.org/officeDocument/2006/relationships/hyperlink" Target="https://www.sciencedirect.com/science/article/abs/pii/S003039922500550X" TargetMode="External"/><Relationship Id="rId34" Type="http://schemas.openxmlformats.org/officeDocument/2006/relationships/hyperlink" Target="https://drive.google.com/drive/folders/1Rod-EI_QStLgieDL7FW60oGle3WvcC91?usp=sharing" TargetMode="External"/><Relationship Id="rId55" Type="http://schemas.openxmlformats.org/officeDocument/2006/relationships/hyperlink" Target="https://doi.org/10.1109/icSmartGrid61824.2024.10578078" TargetMode="External"/><Relationship Id="rId76" Type="http://schemas.openxmlformats.org/officeDocument/2006/relationships/hyperlink" Target="https://doi.org/10.3390/cryst14070667" TargetMode="External"/><Relationship Id="rId97" Type="http://schemas.openxmlformats.org/officeDocument/2006/relationships/hyperlink" Target="https://drive.google.com/file/d/143cXjyXBEZ0hVJVV3KoRom0xlc4WaaKs/view?usp=sharing" TargetMode="External"/><Relationship Id="rId120" Type="http://schemas.openxmlformats.org/officeDocument/2006/relationships/hyperlink" Target="https://drive.google.com/drive/folders/11hu30w6fDTuabXz2LyBlE2mC6tLwRrHl" TargetMode="External"/><Relationship Id="rId141" Type="http://schemas.openxmlformats.org/officeDocument/2006/relationships/hyperlink" Target="https://drive.google.com/drive/folders/1p5TB6XT6_ug4U4ni8GBu8ASsWifLJ5i2?usp=drive_link" TargetMode="External"/><Relationship Id="rId7" Type="http://schemas.openxmlformats.org/officeDocument/2006/relationships/hyperlink" Target="https://link.springer.com/article/10.1007/s10854-024-13430-6" TargetMode="External"/><Relationship Id="rId162" Type="http://schemas.openxmlformats.org/officeDocument/2006/relationships/hyperlink" Target="https://drive.google.com/file/d/1vaB9uQ5KNo1Ov6N9B28Ls90Zon81Jw_G/view?usp=sharing" TargetMode="External"/><Relationship Id="rId183" Type="http://schemas.openxmlformats.org/officeDocument/2006/relationships/hyperlink" Target="https://www.sciencedirect.com/journal/journal-of-food-composition-and-analysis/vol/140/suppl/C" TargetMode="External"/><Relationship Id="rId24" Type="http://schemas.openxmlformats.org/officeDocument/2006/relationships/hyperlink" Target="https://drive.google.com/file/d/1KZSNwTEYeA70s3PBElX3N_LZizo2A_Vt/view?usp=sharing" TargetMode="External"/><Relationship Id="rId45" Type="http://schemas.openxmlformats.org/officeDocument/2006/relationships/hyperlink" Target="https://drive.google.com/drive/folders/1YRxA6_EAU9SKi3zTl4I7jGukX_n3CyYF?usp=drive_link" TargetMode="External"/><Relationship Id="rId66" Type="http://schemas.openxmlformats.org/officeDocument/2006/relationships/hyperlink" Target="https://doi.org/10.1063/5.0251278" TargetMode="External"/><Relationship Id="rId87" Type="http://schemas.openxmlformats.org/officeDocument/2006/relationships/hyperlink" Target="https://ieeexplore.ieee.org/stamp/stamp.jsp?tp=&amp;arnumber=10909107" TargetMode="External"/><Relationship Id="rId110" Type="http://schemas.openxmlformats.org/officeDocument/2006/relationships/hyperlink" Target="https://link.springer.com/journal/604" TargetMode="External"/><Relationship Id="rId131" Type="http://schemas.openxmlformats.org/officeDocument/2006/relationships/hyperlink" Target="https://drive.google.com/drive/u/0/folders/1x12s9qf2OSfxEG0OIE9i0g2iEwhJkLgL" TargetMode="External"/><Relationship Id="rId152" Type="http://schemas.openxmlformats.org/officeDocument/2006/relationships/hyperlink" Target="https://doi.org/10.1007/s42979-024-03619-1" TargetMode="External"/><Relationship Id="rId173" Type="http://schemas.openxmlformats.org/officeDocument/2006/relationships/hyperlink" Target="https://drive.google.com/drive/folders/1EiInRKfN3mq-Ig6ON6O6Q0iumAmofoeW" TargetMode="External"/><Relationship Id="rId194" Type="http://schemas.openxmlformats.org/officeDocument/2006/relationships/hyperlink" Target="https://link.springer.com/chapter/10.1007/978-3-031-69970-2_13" TargetMode="External"/><Relationship Id="rId208" Type="http://schemas.openxmlformats.org/officeDocument/2006/relationships/hyperlink" Target="https://drive.google.com/drive/folders/1sqomThjYS-oJMFahuq9_9Z0hQ9TLCzXg?usp=sharing" TargetMode="External"/><Relationship Id="rId19" Type="http://schemas.openxmlformats.org/officeDocument/2006/relationships/hyperlink" Target="https://doi.org/10.1109/ICECSP61809.2024.10698561" TargetMode="External"/><Relationship Id="rId14" Type="http://schemas.openxmlformats.org/officeDocument/2006/relationships/hyperlink" Target="https://drive.google.com/drive/folders/1dqy-hGyVkBwLrxclXBKye5BYiFRtsO2e?usp=drive_link" TargetMode="External"/><Relationship Id="rId30" Type="http://schemas.openxmlformats.org/officeDocument/2006/relationships/hyperlink" Target="https://www.sciencedirect.com/science/article/pii/S1369800124009673" TargetMode="External"/><Relationship Id="rId35" Type="http://schemas.openxmlformats.org/officeDocument/2006/relationships/hyperlink" Target="https://drive.google.com/drive/folders/1Rod-EI_QStLgieDL7FW60oGle3WvcC91?usp=sharing" TargetMode="External"/><Relationship Id="rId56" Type="http://schemas.openxmlformats.org/officeDocument/2006/relationships/hyperlink" Target="https://ieeexplore.ieee.org/document/10578078" TargetMode="External"/><Relationship Id="rId77" Type="http://schemas.openxmlformats.org/officeDocument/2006/relationships/hyperlink" Target="https://ieeexplore.ieee.org/document/10895609" TargetMode="External"/><Relationship Id="rId100" Type="http://schemas.openxmlformats.org/officeDocument/2006/relationships/hyperlink" Target="https://drive.google.com/file/d/1tgMLWSdxjRM4u88jNeSEJ8YHxO0RTjFV/view?usp=sharing" TargetMode="External"/><Relationship Id="rId105" Type="http://schemas.openxmlformats.org/officeDocument/2006/relationships/hyperlink" Target="https://drive.google.com/drive/folders/1zCTEtbH13oJDKdJKdlk1P9ncDeDJNZpI?usp=drive_link" TargetMode="External"/><Relationship Id="rId126" Type="http://schemas.openxmlformats.org/officeDocument/2006/relationships/hyperlink" Target="https://drive.google.com/drive/folders/1v5Doxz4WlUcuN9L8EjoqdMbM3_YgMVbp?usp=sharing" TargetMode="External"/><Relationship Id="rId147" Type="http://schemas.openxmlformats.org/officeDocument/2006/relationships/hyperlink" Target="https://drive.google.com/file/d/1vMXQQxg77o2YenTBDpyjJi2kKsqjssFL/view?usp=sharing" TargetMode="External"/><Relationship Id="rId168" Type="http://schemas.openxmlformats.org/officeDocument/2006/relationships/hyperlink" Target="https://ieeexplore.ieee.org/abstract/document/11005337" TargetMode="External"/><Relationship Id="rId8" Type="http://schemas.openxmlformats.org/officeDocument/2006/relationships/hyperlink" Target="https://www.cell.com/action/showPdf?pii=S2405-8440%2824%2915153-5" TargetMode="External"/><Relationship Id="rId51" Type="http://schemas.openxmlformats.org/officeDocument/2006/relationships/hyperlink" Target="https://ecohumanism.co.uk/joe/ecohumanism/article/view/3502" TargetMode="External"/><Relationship Id="rId72" Type="http://schemas.openxmlformats.org/officeDocument/2006/relationships/hyperlink" Target="https://doi.org/10.1201/9781003606208" TargetMode="External"/><Relationship Id="rId93" Type="http://schemas.openxmlformats.org/officeDocument/2006/relationships/hyperlink" Target="https://doi.org/10.1109/ICTMIM65579.2025.10987961" TargetMode="External"/><Relationship Id="rId98" Type="http://schemas.openxmlformats.org/officeDocument/2006/relationships/hyperlink" Target="https://drive.google.com/drive/folders/1M_gHxW4R3MHzTlrBchDsDmKLY6fpjWBp?usp=drive_link" TargetMode="External"/><Relationship Id="rId121" Type="http://schemas.openxmlformats.org/officeDocument/2006/relationships/hyperlink" Target="https://drive.google.com/drive/folders/1cBY8oi2D85mOMhsKu3oKuBolvagAOwas?usp=drive_link" TargetMode="External"/><Relationship Id="rId142" Type="http://schemas.openxmlformats.org/officeDocument/2006/relationships/hyperlink" Target="https://drive.google.com/drive/folders/1n8XqR_t9zQgVyC-GhrtkSJ5A4DZlMycC?usp=drive_link" TargetMode="External"/><Relationship Id="rId163" Type="http://schemas.openxmlformats.org/officeDocument/2006/relationships/hyperlink" Target="https://drive.google.com/file/d/1oRzXc0EihTqXSybQgHzjQ_7yW9K0ewKc/view?usp=drive_link" TargetMode="External"/><Relationship Id="rId184" Type="http://schemas.openxmlformats.org/officeDocument/2006/relationships/hyperlink" Target="https://doi.org/10.1016/j.jfca.2024.107161" TargetMode="External"/><Relationship Id="rId189" Type="http://schemas.openxmlformats.org/officeDocument/2006/relationships/hyperlink" Target="https://doi.org/10.1002/9781394287697.ch3" TargetMode="External"/><Relationship Id="rId3" Type="http://schemas.openxmlformats.org/officeDocument/2006/relationships/hyperlink" Target="https://machineintelligenceresearchs.com/index.php/MIR/article/view/134" TargetMode="External"/><Relationship Id="rId25" Type="http://schemas.openxmlformats.org/officeDocument/2006/relationships/hyperlink" Target="https://drive.google.com/file/d/1GUrj1zf4patQuZ61pFHO8p2xxBpl800X/view?usp=drive_link" TargetMode="External"/><Relationship Id="rId46" Type="http://schemas.openxmlformats.org/officeDocument/2006/relationships/hyperlink" Target="https://drive.google.com/drive/folders/1izQ8pHIiEh9-G8cjuExVCl1s37xBoMqI?usp=sharing" TargetMode="External"/><Relationship Id="rId67" Type="http://schemas.openxmlformats.org/officeDocument/2006/relationships/hyperlink" Target="https://doi.org/10.1109/I4C62240.2024" TargetMode="External"/><Relationship Id="rId116" Type="http://schemas.openxmlformats.org/officeDocument/2006/relationships/hyperlink" Target="https://qtanalytics.in/publications/index.php/books/index" TargetMode="External"/><Relationship Id="rId137" Type="http://schemas.openxmlformats.org/officeDocument/2006/relationships/hyperlink" Target="https://drive.google.com/drive/folders/1DvEv_H2GTOViJpXnptGj611pguX71IiJ?usp=drive_link" TargetMode="External"/><Relationship Id="rId158" Type="http://schemas.openxmlformats.org/officeDocument/2006/relationships/hyperlink" Target="https://drive.google.com/drive/folders/1VzvnbbGrQ3d52cKdbZgpLFAv3QOt1mc9?usp=drive_link" TargetMode="External"/><Relationship Id="rId20" Type="http://schemas.openxmlformats.org/officeDocument/2006/relationships/hyperlink" Target="https://mail.ijcna.org/Manuscripts/IJCNA-2024-O-40.pdf" TargetMode="External"/><Relationship Id="rId41" Type="http://schemas.openxmlformats.org/officeDocument/2006/relationships/hyperlink" Target="https://doi.org/10.5488/cmp.27.43702" TargetMode="External"/><Relationship Id="rId62" Type="http://schemas.openxmlformats.org/officeDocument/2006/relationships/hyperlink" Target="https://drive.google.com/file/d/1xmLGmQdkjuevKvNM35GpFP0k6V5OVJzG/view?usp=sharing" TargetMode="External"/><Relationship Id="rId83" Type="http://schemas.openxmlformats.org/officeDocument/2006/relationships/hyperlink" Target="https://drive.google.com/drive/folders/1QL-XJuis9tXIVAR-QhsyAh5M5b4ckvlB" TargetMode="External"/><Relationship Id="rId88" Type="http://schemas.openxmlformats.org/officeDocument/2006/relationships/hyperlink" Target="https://ieeexplore.ieee.org/document/10919043" TargetMode="External"/><Relationship Id="rId111" Type="http://schemas.openxmlformats.org/officeDocument/2006/relationships/hyperlink" Target="https://link.springer.com/article/10.1007/s00604-025-07226-6" TargetMode="External"/><Relationship Id="rId132" Type="http://schemas.openxmlformats.org/officeDocument/2006/relationships/hyperlink" Target="https://drive.google.com/drive/u/0/folders/1fmWwNVtMuWbtsLEfCE7Fd-2b-wFuYetz" TargetMode="External"/><Relationship Id="rId153" Type="http://schemas.openxmlformats.org/officeDocument/2006/relationships/hyperlink" Target="https://link.springer.com/article/10.1007/s42979-024-03619-1" TargetMode="External"/><Relationship Id="rId174" Type="http://schemas.openxmlformats.org/officeDocument/2006/relationships/hyperlink" Target="http://dx.doi.org/10.2174/0115734110287874240629095513" TargetMode="External"/><Relationship Id="rId179" Type="http://schemas.openxmlformats.org/officeDocument/2006/relationships/hyperlink" Target="https://link.springer.com/article/10.1186/s11671-024-04152-z" TargetMode="External"/><Relationship Id="rId195" Type="http://schemas.openxmlformats.org/officeDocument/2006/relationships/hyperlink" Target="https://link.springer.com/chapter/10.1007/978-3-031-69970-2_8" TargetMode="External"/><Relationship Id="rId209" Type="http://schemas.openxmlformats.org/officeDocument/2006/relationships/hyperlink" Target="https://iopscience.iop.org/article/10.1088/1402-4896/ad8c01" TargetMode="External"/><Relationship Id="rId190" Type="http://schemas.openxmlformats.org/officeDocument/2006/relationships/hyperlink" Target="https://link.springer.com/article/10.1007/s10854-024-13512-5" TargetMode="External"/><Relationship Id="rId204" Type="http://schemas.openxmlformats.org/officeDocument/2006/relationships/hyperlink" Target="https://drive.google.com/file/d/1A1VrBOvOYjbaSnDm5wQzkk6JTl3r4FGi/view?usp=drive_link" TargetMode="External"/><Relationship Id="rId15" Type="http://schemas.openxmlformats.org/officeDocument/2006/relationships/hyperlink" Target="https://drive.google.com/drive/folders/165inki5lmR6wlUKMFNkJQy0KMoNt50BV?usp=drive_link" TargetMode="External"/><Relationship Id="rId36" Type="http://schemas.openxmlformats.org/officeDocument/2006/relationships/hyperlink" Target="https://drive.google.com/drive/folders/1Rod-EI_QStLgieDL7FW60oGle3WvcC91?usp=sharing" TargetMode="External"/><Relationship Id="rId57" Type="http://schemas.openxmlformats.org/officeDocument/2006/relationships/hyperlink" Target="https://drive.google.com/drive/folders/13OJmoSo5LGY853h2QaB2MhvopFMfOKgK?usp=drive_link" TargetMode="External"/><Relationship Id="rId106" Type="http://schemas.openxmlformats.org/officeDocument/2006/relationships/hyperlink" Target="https://drive.google.com/drive/folders/19Gz3ajCfSs02xxHl8TyMtwGgZsInRTQw?usp=drive_link" TargetMode="External"/><Relationship Id="rId127" Type="http://schemas.openxmlformats.org/officeDocument/2006/relationships/hyperlink" Target="https://drive.google.com/file/d/1spNCBg9RsmVS1LUlkjsl9vFT47SPuysw/view?usp=drive_link" TargetMode="External"/><Relationship Id="rId10" Type="http://schemas.openxmlformats.org/officeDocument/2006/relationships/hyperlink" Target="https://www.tandfonline.com/toc/ueso20/46/1" TargetMode="External"/><Relationship Id="rId31" Type="http://schemas.openxmlformats.org/officeDocument/2006/relationships/hyperlink" Target="https://www.taylorfrancis.com/chapters/edit/10.1201/9781003545941-5/prospective-role-mos2-zinc-nickel-flow-battery-systemml-review-preethi-dawnee-victor-george?context=ubx&amp;refId=b2747446-ee90-4d29-bf39-12f2791d7722" TargetMode="External"/><Relationship Id="rId52" Type="http://schemas.openxmlformats.org/officeDocument/2006/relationships/hyperlink" Target="https://www.igi-global.com/chapter/leveraging-artificial-intelligence-for-slum-mapping-and-upgrading-programs-using-drones/342451" TargetMode="External"/><Relationship Id="rId73" Type="http://schemas.openxmlformats.org/officeDocument/2006/relationships/hyperlink" Target="https://ieeexplore.ieee.org/document/10895733/authors" TargetMode="External"/><Relationship Id="rId78" Type="http://schemas.openxmlformats.org/officeDocument/2006/relationships/hyperlink" Target="http://crm-en.ics.org.ru/journal/article/3595/" TargetMode="External"/><Relationship Id="rId94" Type="http://schemas.openxmlformats.org/officeDocument/2006/relationships/hyperlink" Target="https://link.springer.com/article/10.1007/s10876-025-02796-0" TargetMode="External"/><Relationship Id="rId99" Type="http://schemas.openxmlformats.org/officeDocument/2006/relationships/hyperlink" Target="https://drive.google.com/file/d/1Sieur8PpcgBB7nr65ZWVeI-Bth6H_9oB/view?usp=sharing" TargetMode="External"/><Relationship Id="rId101" Type="http://schemas.openxmlformats.org/officeDocument/2006/relationships/hyperlink" Target="https://www.igi-global.com/book/multidisciplinary-approaches-data-innovation-smarter/356275" TargetMode="External"/><Relationship Id="rId122" Type="http://schemas.openxmlformats.org/officeDocument/2006/relationships/hyperlink" Target="https://drive.google.com/drive/folders/1ojZLhdDx-GY8tZ4VEswhps9Lk5JvZPei?usp=drive_link" TargetMode="External"/><Relationship Id="rId143" Type="http://schemas.openxmlformats.org/officeDocument/2006/relationships/hyperlink" Target="https://pubmed.ncbi.nlm.nih.gov/40341428/" TargetMode="External"/><Relationship Id="rId148" Type="http://schemas.openxmlformats.org/officeDocument/2006/relationships/hyperlink" Target="https://drive.google.com/file/d/1uU26xdztPL7QHBWD6_vaegws3XNI7aPr/view?usp=sharing" TargetMode="External"/><Relationship Id="rId164" Type="http://schemas.openxmlformats.org/officeDocument/2006/relationships/hyperlink" Target="https://drive.google.com/file/d/17jzK_PGWicf3d_P1D6IhRZ3VeDNcmUX8/view?usp=drive_link" TargetMode="External"/><Relationship Id="rId169" Type="http://schemas.openxmlformats.org/officeDocument/2006/relationships/hyperlink" Target="https://ieeexplore.ieee.org/abstract/document/10969917" TargetMode="External"/><Relationship Id="rId185" Type="http://schemas.openxmlformats.org/officeDocument/2006/relationships/hyperlink" Target="https://doi.org/10.1016/j.ceramint.2024.12.107" TargetMode="External"/><Relationship Id="rId4" Type="http://schemas.openxmlformats.org/officeDocument/2006/relationships/hyperlink" Target="https://jaem.isikun.edu.tr/web/index.php/archive/125-vol14no3/1244-impact-of-modulated-magnetic-field-on-the-advent-of-ferroconvection-in-a-permeable-medium" TargetMode="External"/><Relationship Id="rId9" Type="http://schemas.openxmlformats.org/officeDocument/2006/relationships/hyperlink" Target="https://ieeexplore.ieee.org/document/10714872" TargetMode="External"/><Relationship Id="rId180" Type="http://schemas.openxmlformats.org/officeDocument/2006/relationships/hyperlink" Target="https://pubs.acs.org/doi/10.1021/acschemneuro.4c00458" TargetMode="External"/><Relationship Id="rId210" Type="http://schemas.openxmlformats.org/officeDocument/2006/relationships/hyperlink" Target="https://drive.google.com/file/d/1pRAC7YffXF1tmbPxit2tXC8FVjkUpIE3/view?usp=drive_link" TargetMode="External"/><Relationship Id="rId26" Type="http://schemas.openxmlformats.org/officeDocument/2006/relationships/hyperlink" Target="https://drive.google.com/drive/u/0/folders/1ssnDGzeESwmDJ3TmZbZICnkSHVyaO97z" TargetMode="External"/><Relationship Id="rId47" Type="http://schemas.openxmlformats.org/officeDocument/2006/relationships/hyperlink" Target="https://ieeexplore.ieee.org/xpl/conhome/10748371/proceeding?isnumber=10748420&amp;sortType=vol-only-seq&amp;refinementName=Author&amp;refinements=Author:Ananth%20Kumar%20M%20S" TargetMode="External"/><Relationship Id="rId68" Type="http://schemas.openxmlformats.org/officeDocument/2006/relationships/hyperlink" Target="https://ieeexplore.ieee.org/abstract/document/10748450" TargetMode="External"/><Relationship Id="rId89" Type="http://schemas.openxmlformats.org/officeDocument/2006/relationships/hyperlink" Target="https://drive.google.com/drive/folders/1TPtEqV9b-mDXtZkKvBricvkABpQ6u1C8?usp=drive_link" TargetMode="External"/><Relationship Id="rId112" Type="http://schemas.openxmlformats.org/officeDocument/2006/relationships/hyperlink" Target="https://drive.google.com/drive/folders/1BCvGC_6UNhIjYy9mLnKbVGT4x0NnVcIu?usp=drive_link" TargetMode="External"/><Relationship Id="rId133" Type="http://schemas.openxmlformats.org/officeDocument/2006/relationships/hyperlink" Target="https://drive.google.com/drive/folders/1bYJRhGmdKKPx9gvBVWw4AWL_uz5nErPZ?usp=drive_link" TargetMode="External"/><Relationship Id="rId154" Type="http://schemas.openxmlformats.org/officeDocument/2006/relationships/hyperlink" Target="https://drive.google.com/file/d/1lG82nCIpWCLurdXGnpx_JIlriI58iQbF/view?usp=sharing" TargetMode="External"/><Relationship Id="rId175" Type="http://schemas.openxmlformats.org/officeDocument/2006/relationships/hyperlink" Target="https://www.sciencedirect.com/handbook/comprehensive-analytical-chemistry" TargetMode="External"/><Relationship Id="rId196" Type="http://schemas.openxmlformats.org/officeDocument/2006/relationships/hyperlink" Target="https://iopscience.iop.org/article/10.1088/1742-6596/2886/1/012010" TargetMode="External"/><Relationship Id="rId200" Type="http://schemas.openxmlformats.org/officeDocument/2006/relationships/hyperlink" Target="https://doi.org/10.1007/s13738-024-03145-0" TargetMode="External"/><Relationship Id="rId16" Type="http://schemas.openxmlformats.org/officeDocument/2006/relationships/hyperlink" Target="https://drive.google.com/file/d/1jIs_UZsyemYVkYOe2J5mhGuFK4hDykKx/view?usp=sharing" TargetMode="External"/><Relationship Id="rId37" Type="http://schemas.openxmlformats.org/officeDocument/2006/relationships/hyperlink" Target="https://drive.google.com/file/d/1F9zqfEROuhHu_fAkOfDHRbuSj9AIeOOv/view?usp=sharing" TargetMode="External"/><Relationship Id="rId58" Type="http://schemas.openxmlformats.org/officeDocument/2006/relationships/hyperlink" Target="https://doi.org/10.1109/IC3I61595.2024.10828932" TargetMode="External"/><Relationship Id="rId79" Type="http://schemas.openxmlformats.org/officeDocument/2006/relationships/hyperlink" Target="https://drive.google.com/drive/folders/17keRGkgR9SgdPA346merYksMjuUrIDUI?usp=drive_link" TargetMode="External"/><Relationship Id="rId102" Type="http://schemas.openxmlformats.org/officeDocument/2006/relationships/hyperlink" Target="https://drive.google.com/drive/folders/1F0beOCdEsvv2-oGGNybG3Da8HZM1xFD9?usp=drive_link" TargetMode="External"/><Relationship Id="rId123" Type="http://schemas.openxmlformats.org/officeDocument/2006/relationships/hyperlink" Target="https://drive.google.com/file/d/1V1quGL0iUSKFRx_PH5ZaADfjikTr8d5V/view?usp=drive_link" TargetMode="External"/><Relationship Id="rId144" Type="http://schemas.openxmlformats.org/officeDocument/2006/relationships/hyperlink" Target="https://drive.google.com/drive/folders/115DbVPGIjhVFbOGB86bW647nPxqSkC9h?usp=drive_link" TargetMode="External"/><Relationship Id="rId90" Type="http://schemas.openxmlformats.org/officeDocument/2006/relationships/hyperlink" Target="https://drive.google.com/drive/folders/1W3daz_J10wXFgliQHg0eKAUgvWowQEpI?usp=drive_link" TargetMode="External"/><Relationship Id="rId165" Type="http://schemas.openxmlformats.org/officeDocument/2006/relationships/hyperlink" Target="https://drive.google.com/file/d/1gUDsPOArIO-GzOVdZyqAvjHB_O1lUr9h/view?usp=drive_link" TargetMode="External"/><Relationship Id="rId186" Type="http://schemas.openxmlformats.org/officeDocument/2006/relationships/hyperlink" Target="https://doi.org/10.1016/j.hazadv.2025.100736" TargetMode="External"/><Relationship Id="rId211" Type="http://schemas.openxmlformats.org/officeDocument/2006/relationships/hyperlink" Target="https://drive.google.com/drive/u/0/folders/1iZj2sTu2uQaGZvJFDMImshR5c7lDG7d1" TargetMode="External"/><Relationship Id="rId27" Type="http://schemas.openxmlformats.org/officeDocument/2006/relationships/hyperlink" Target="https://drive.google.com/drive/u/0/folders/1yAPbbDsxGpIuipw22dXWjYrV-JW4aV85" TargetMode="External"/><Relationship Id="rId48" Type="http://schemas.openxmlformats.org/officeDocument/2006/relationships/hyperlink" Target="https://link.springer.com/article/10.1007/s44174-024-00257-2" TargetMode="External"/><Relationship Id="rId69" Type="http://schemas.openxmlformats.org/officeDocument/2006/relationships/hyperlink" Target="https://ieeexplore.ieee.org/document/10593083" TargetMode="External"/><Relationship Id="rId113" Type="http://schemas.openxmlformats.org/officeDocument/2006/relationships/hyperlink" Target="https://drive.google.com/drive/folders/1SDioPGpA0SpQ2sTiKcP28m0G6bMgV7Cp?usp=drive_link" TargetMode="External"/><Relationship Id="rId134" Type="http://schemas.openxmlformats.org/officeDocument/2006/relationships/hyperlink" Target="https://drive.google.com/drive/folders/1WMQhnjpMzP7oBtL8soov5KWxvDmsxRPf?usp=drive_link" TargetMode="External"/><Relationship Id="rId80" Type="http://schemas.openxmlformats.org/officeDocument/2006/relationships/hyperlink" Target="https://drive.google.com/drive/folders/16PlevYo81Vy8-lPnO6C6kBlIOQdqTYzN?usp=drive_link" TargetMode="External"/><Relationship Id="rId155" Type="http://schemas.openxmlformats.org/officeDocument/2006/relationships/hyperlink" Target="https://drive.google.com/file/d/1lgRkw0pUztKo-GFXhr_h81a2v3n9Jktp/view?usp=drive_link" TargetMode="External"/><Relationship Id="rId176" Type="http://schemas.openxmlformats.org/officeDocument/2006/relationships/hyperlink" Target="https://www.sciencedirect.com/handbook/comprehensive-analytical-chemistry/vol/107/suppl/C" TargetMode="External"/><Relationship Id="rId197" Type="http://schemas.openxmlformats.org/officeDocument/2006/relationships/hyperlink" Target="https://iopscience.iop.org/article/10.1088/1742-6596/2886/1/012009" TargetMode="External"/><Relationship Id="rId201" Type="http://schemas.openxmlformats.org/officeDocument/2006/relationships/hyperlink" Target="https://doi.org/10.1007/s00339-024-08189-w" TargetMode="External"/><Relationship Id="rId17" Type="http://schemas.openxmlformats.org/officeDocument/2006/relationships/hyperlink" Target="https://drive.google.com/file/d/1iR2_4_60TJVpEH-VTgmZIMNpzBkqOqS9/view?usp=drive_link" TargetMode="External"/><Relationship Id="rId38" Type="http://schemas.openxmlformats.org/officeDocument/2006/relationships/hyperlink" Target="https://drive.google.com/drive/folders/1S25auaUPAaLR9jQA5Rc3uIiaqhevw2_7?usp=drive_link" TargetMode="External"/><Relationship Id="rId59" Type="http://schemas.openxmlformats.org/officeDocument/2006/relationships/hyperlink" Target="https://ieeexplore.ieee.org/document/10933189" TargetMode="External"/><Relationship Id="rId103" Type="http://schemas.openxmlformats.org/officeDocument/2006/relationships/hyperlink" Target="https://drive.google.com/drive/folders/1Zn7LJ7X27e1GnSHek7vyzpQ27zY5_oEj?usp=drive_link" TargetMode="External"/><Relationship Id="rId124" Type="http://schemas.openxmlformats.org/officeDocument/2006/relationships/hyperlink" Target="https://drive.google.com/file/d/1JeSNCaezOuWBjNozWh8OpWMaI7fEaTH6/view?usp=sharing" TargetMode="External"/><Relationship Id="rId70" Type="http://schemas.openxmlformats.org/officeDocument/2006/relationships/hyperlink" Target="https://ieeexplore.ieee.org/document/10838638" TargetMode="External"/><Relationship Id="rId91" Type="http://schemas.openxmlformats.org/officeDocument/2006/relationships/hyperlink" Target="https://drive.google.com/drive/folders/1JsTgVofQil9o-4vTbgi_wt5fCeLsUAk2?usp=drive_link" TargetMode="External"/><Relationship Id="rId145" Type="http://schemas.openxmlformats.org/officeDocument/2006/relationships/hyperlink" Target="https://link.springer.com/article/10.1007/s00170-025-15927-8" TargetMode="External"/><Relationship Id="rId166" Type="http://schemas.openxmlformats.org/officeDocument/2006/relationships/hyperlink" Target="https://drive.google.com/file/d/14-55AlC74SKsuSGiGvVHcjuAJdWcT3KM/view?usp=sharing" TargetMode="External"/><Relationship Id="rId187" Type="http://schemas.openxmlformats.org/officeDocument/2006/relationships/hyperlink" Target="https://doi.org/10.56042/ijpap.v63i5.18117" TargetMode="External"/><Relationship Id="rId1" Type="http://schemas.openxmlformats.org/officeDocument/2006/relationships/hyperlink" Target="http://s.no/" TargetMode="External"/><Relationship Id="rId212" Type="http://schemas.openxmlformats.org/officeDocument/2006/relationships/hyperlink" Target="https://drive.google.com/drive/folders/1oBvt1xE5lYAXQLtICRUeBsubhVYpJT6z?usp=sharing" TargetMode="External"/><Relationship Id="rId28" Type="http://schemas.openxmlformats.org/officeDocument/2006/relationships/hyperlink" Target="https://drive.google.com/drive/folders/1tCLNxQ49eMQ5d-ZQWXrs_-bqYh-_XS-2?usp=drive_link" TargetMode="External"/><Relationship Id="rId49" Type="http://schemas.openxmlformats.org/officeDocument/2006/relationships/hyperlink" Target="https://link.springer.com/article/10.1007/s11220-024-00527-9" TargetMode="External"/><Relationship Id="rId114" Type="http://schemas.openxmlformats.org/officeDocument/2006/relationships/hyperlink" Target="https://drive.google.com/drive/folders/1XXteK37Nsz6W4RyyzsWL23vvsnMdXDK_?usp=drive_link" TargetMode="External"/><Relationship Id="rId60" Type="http://schemas.openxmlformats.org/officeDocument/2006/relationships/hyperlink" Target="https://doi.org/10.2991/978-94-6463-738-0_23" TargetMode="External"/><Relationship Id="rId81" Type="http://schemas.openxmlformats.org/officeDocument/2006/relationships/hyperlink" Target="https://drive.google.com/drive/folders/12nxmJ8xNG74D8CoZM4hfVsPofqxe8HYS" TargetMode="External"/><Relationship Id="rId135" Type="http://schemas.openxmlformats.org/officeDocument/2006/relationships/hyperlink" Target="https://drive.google.com/drive/folders/1gnrcBicXxw8Mn1m5Lgq2MXfJw4cf0u6C?usp=drive_link" TargetMode="External"/><Relationship Id="rId156" Type="http://schemas.openxmlformats.org/officeDocument/2006/relationships/hyperlink" Target="https://drive.google.com/file/d/18cTlc7rwjrvPPygGGvr4onXLn80g-8r5/view?usp=drive_link" TargetMode="External"/><Relationship Id="rId177" Type="http://schemas.openxmlformats.org/officeDocument/2006/relationships/hyperlink" Target="https://doi.org/10.1016/bs.coac.2024.08.015" TargetMode="External"/><Relationship Id="rId198" Type="http://schemas.openxmlformats.org/officeDocument/2006/relationships/hyperlink" Target="https://doi.org/10.1016/j.inoche.2024.113620" TargetMode="External"/><Relationship Id="rId202" Type="http://schemas.openxmlformats.org/officeDocument/2006/relationships/hyperlink" Target="https://www.sciencedirect.com/science/article/abs/pii/S0925346725002630" TargetMode="External"/><Relationship Id="rId18" Type="http://schemas.openxmlformats.org/officeDocument/2006/relationships/hyperlink" Target="https://doi.org/10.3390/cryst14070667" TargetMode="External"/><Relationship Id="rId39" Type="http://schemas.openxmlformats.org/officeDocument/2006/relationships/hyperlink" Target="https://doi.org/10.1007/s11276-024-03886-z" TargetMode="External"/><Relationship Id="rId50" Type="http://schemas.openxmlformats.org/officeDocument/2006/relationships/hyperlink" Target="https://drive.google.com/file/d/1fxX6zbkYJTqtx5YTTG14rsRAF925YeR-/view?usp=sharing" TargetMode="External"/><Relationship Id="rId104" Type="http://schemas.openxmlformats.org/officeDocument/2006/relationships/hyperlink" Target="https://drive.google.com/drive/folders/1zeNWglecpScRexRsmQggTwmHEMrZwD0L?usp=drive_link" TargetMode="External"/><Relationship Id="rId125" Type="http://schemas.openxmlformats.org/officeDocument/2006/relationships/hyperlink" Target="https://drive.google.com/file/d/1_QpkKduFpmHhISNM6FXPfQZ3-hm8eS2W/view?usp=drive_link" TargetMode="External"/><Relationship Id="rId146" Type="http://schemas.openxmlformats.org/officeDocument/2006/relationships/hyperlink" Target="https://link.springer.com/article/10.1007/s00170-025-15927-8" TargetMode="External"/><Relationship Id="rId167" Type="http://schemas.openxmlformats.org/officeDocument/2006/relationships/hyperlink" Target="https://ieeexplore.ieee.org/document/10763764" TargetMode="External"/><Relationship Id="rId188" Type="http://schemas.openxmlformats.org/officeDocument/2006/relationships/hyperlink" Target="https://onlinelibrary.wiley.com/doi/book/10.1002/9781394287697" TargetMode="External"/><Relationship Id="rId71" Type="http://schemas.openxmlformats.org/officeDocument/2006/relationships/hyperlink" Target="https://doi.org/10.1201/9781003606208" TargetMode="External"/><Relationship Id="rId92" Type="http://schemas.openxmlformats.org/officeDocument/2006/relationships/hyperlink" Target="https://doi.org/10.1109/ICEARS64219.2025.10941314" TargetMode="External"/><Relationship Id="rId213" Type="http://schemas.openxmlformats.org/officeDocument/2006/relationships/table" Target="../tables/table12.xml"/><Relationship Id="rId2" Type="http://schemas.openxmlformats.org/officeDocument/2006/relationships/hyperlink" Target="https://drive.google.com/file/d/1C2gdujw-v4ImxGKADA8JiSNakPe16gWD/view?usp=drive_link" TargetMode="External"/><Relationship Id="rId29" Type="http://schemas.openxmlformats.org/officeDocument/2006/relationships/hyperlink" Target="https://iopscience.iop.org/article/10.1088/1402-4896/ad8c01/meta" TargetMode="External"/><Relationship Id="rId40" Type="http://schemas.openxmlformats.org/officeDocument/2006/relationships/hyperlink" Target="https://drive.google.com/drive/folders/1O0pNgv3dIPTzERIzrbN1PTOt39IvIfFp?usp=sharing" TargetMode="External"/><Relationship Id="rId115" Type="http://schemas.openxmlformats.org/officeDocument/2006/relationships/hyperlink" Target="https://qtanalytics.in/publications/index.php/books/article/view/639" TargetMode="External"/><Relationship Id="rId136" Type="http://schemas.openxmlformats.org/officeDocument/2006/relationships/hyperlink" Target="https://drive.google.com/drive/folders/1eVNqw7GaUjbcfgss3WbAmUMKgGDtccfa?usp=drive_link" TargetMode="External"/><Relationship Id="rId157" Type="http://schemas.openxmlformats.org/officeDocument/2006/relationships/hyperlink" Target="https://drive.google.com/drive/folders/1Y_wJRXsEi8ucy3DWKCgn5QYHpO3tKZG9?usp=drive_link" TargetMode="External"/><Relationship Id="rId178" Type="http://schemas.openxmlformats.org/officeDocument/2006/relationships/hyperlink" Target="https://doi.org/10.1007/978-981-97-3958-5_13" TargetMode="External"/><Relationship Id="rId61" Type="http://schemas.openxmlformats.org/officeDocument/2006/relationships/hyperlink" Target="https://drive.google.com/file/d/1HzcCQMMB1QkR9sIr2bubBpEnd9Mh8MLF/view?usp=drive_link" TargetMode="External"/><Relationship Id="rId82" Type="http://schemas.openxmlformats.org/officeDocument/2006/relationships/hyperlink" Target="https://drive.google.com/drive/folders/1mFHl19OuLpLOjhKa9WkIm5_knoWAT5MQ" TargetMode="External"/><Relationship Id="rId199" Type="http://schemas.openxmlformats.org/officeDocument/2006/relationships/hyperlink" Target="https://iopscience.iop.org/article/10.1088/1742-6596/2886/1/012010" TargetMode="External"/><Relationship Id="rId203" Type="http://schemas.openxmlformats.org/officeDocument/2006/relationships/hyperlink" Target="https://www.frontiersin.org/journals/toxicology/articles/10.3389/ftox.2025.1477822/full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u/0/folders/1aSYBDYtFpQwp-Hqw2xEcBnPH8o7arzU2" TargetMode="External"/><Relationship Id="rId21" Type="http://schemas.openxmlformats.org/officeDocument/2006/relationships/hyperlink" Target="https://drive.google.com/drive/folders/1RQtwRX3rJWLmYxK8qy5gRt4lqVaA-dFx?usp=drive_link" TargetMode="External"/><Relationship Id="rId42" Type="http://schemas.openxmlformats.org/officeDocument/2006/relationships/hyperlink" Target="https://drive.google.com/drive/u/1/folders/1hIVa7l8CnhptIXFP__T1ulNStelOq77o" TargetMode="External"/><Relationship Id="rId47" Type="http://schemas.openxmlformats.org/officeDocument/2006/relationships/hyperlink" Target="https://drive.google.com/drive/folders/1gBHuYo-kaq4rEFruOfqGzTERZKWuV0_P?usp=sharing" TargetMode="External"/><Relationship Id="rId63" Type="http://schemas.openxmlformats.org/officeDocument/2006/relationships/hyperlink" Target="https://drive.google.com/drive/folders/1RrzNLS0biPwyhpbdqakV86uEjw1pn52K?usp=drive_link" TargetMode="External"/><Relationship Id="rId68" Type="http://schemas.openxmlformats.org/officeDocument/2006/relationships/hyperlink" Target="https://drive.google.com/drive/folders/1BYuHszlV_bebexKEmF_eqz-DEVhklE4t?usp=drive_link" TargetMode="External"/><Relationship Id="rId84" Type="http://schemas.openxmlformats.org/officeDocument/2006/relationships/hyperlink" Target="https://drive.google.com/drive/folders/1vDzAruVRWZJSuXtV7XnWDU-EhPAozPHP?usp=sharing" TargetMode="External"/><Relationship Id="rId89" Type="http://schemas.openxmlformats.org/officeDocument/2006/relationships/hyperlink" Target="https://drive.google.com/file/d/1ABBgJRwUgrc6Uye1cnlqvB01k2x2QXpA/view?usp=sharing" TargetMode="External"/><Relationship Id="rId16" Type="http://schemas.openxmlformats.org/officeDocument/2006/relationships/hyperlink" Target="https://drive.google.com/drive/folders/1natnJWJqYpkprUJzLKDk1VYXMbSHBeBB?usp=drive_link" TargetMode="External"/><Relationship Id="rId107" Type="http://schemas.openxmlformats.org/officeDocument/2006/relationships/hyperlink" Target="https://drive.google.com/file/d/1hLwarIyx57mftX0I03QL1I_9_rCgqt-m/view?usp=sharing" TargetMode="External"/><Relationship Id="rId11" Type="http://schemas.openxmlformats.org/officeDocument/2006/relationships/hyperlink" Target="https://drive.google.com/drive/folders/11mcSR5tFvwCVVyDuTcSkn3vlS_6dvCLe?usp=drive_link" TargetMode="External"/><Relationship Id="rId32" Type="http://schemas.openxmlformats.org/officeDocument/2006/relationships/hyperlink" Target="https://drive.google.com/drive/u/0/folders/1mIi_dpGn1vUNhrTekZ_o-K2wrM7yFht1" TargetMode="External"/><Relationship Id="rId37" Type="http://schemas.openxmlformats.org/officeDocument/2006/relationships/hyperlink" Target="https://drive.google.com/drive/folders/1utV2R9JtQT5wRPkUT4rit-YR4g9joLU6?usp=drive_link" TargetMode="External"/><Relationship Id="rId53" Type="http://schemas.openxmlformats.org/officeDocument/2006/relationships/hyperlink" Target="https://drive.google.com/drive/folders/178dTFC_LGPmChaKnc2mY4I4AGTqm2sZL?usp=sharing" TargetMode="External"/><Relationship Id="rId58" Type="http://schemas.openxmlformats.org/officeDocument/2006/relationships/hyperlink" Target="https://drive.google.com/drive/folders/11CAjg81Rd7N9M1ipAlLKmz3WE37L7ic6?usp=drive_link" TargetMode="External"/><Relationship Id="rId74" Type="http://schemas.openxmlformats.org/officeDocument/2006/relationships/hyperlink" Target="https://drive.google.com/drive/folders/1yvrTzzyT6kyxaXa92jGPjLkCkzmqD23E?usp=drive_link" TargetMode="External"/><Relationship Id="rId79" Type="http://schemas.openxmlformats.org/officeDocument/2006/relationships/hyperlink" Target="https://drive.google.com/drive/u/1/folders/1pUEqqn1oKh5yTXDnpChpX4ZnAUcyFHlV" TargetMode="External"/><Relationship Id="rId102" Type="http://schemas.openxmlformats.org/officeDocument/2006/relationships/hyperlink" Target="https://drive.google.com/file/d/1CApI79OP5_Km8VzVxRXhDa0gwmuzdg7B/view?usp=sharing" TargetMode="External"/><Relationship Id="rId5" Type="http://schemas.openxmlformats.org/officeDocument/2006/relationships/hyperlink" Target="https://drive.google.com/drive/folders/1rNAQVigDS_t5qJGrML_3ccc4i7AIrIii?usp=sharing" TargetMode="External"/><Relationship Id="rId90" Type="http://schemas.openxmlformats.org/officeDocument/2006/relationships/hyperlink" Target="https://drive.google.com/file/d/1DQwY1Io126uYSDmFlfzEusFfBJRten1Y/view?usp=drive_link" TargetMode="External"/><Relationship Id="rId95" Type="http://schemas.openxmlformats.org/officeDocument/2006/relationships/hyperlink" Target="https://drive.google.com/drive/folders/19exb9JZ7Znb6OhKREs585k4bsooMmAOG?usp=drive_link" TargetMode="External"/><Relationship Id="rId22" Type="http://schemas.openxmlformats.org/officeDocument/2006/relationships/hyperlink" Target="https://drive.google.com/drive/u/0/folders/1awCyMKBEuEAWAHZ1q7_RnXIG3u3U0CYU" TargetMode="External"/><Relationship Id="rId27" Type="http://schemas.openxmlformats.org/officeDocument/2006/relationships/hyperlink" Target="https://drive.google.com/drive/u/0/folders/1R500f51SPPxcZfza8-MDdYtT_ksGF2wz" TargetMode="External"/><Relationship Id="rId43" Type="http://schemas.openxmlformats.org/officeDocument/2006/relationships/hyperlink" Target="https://drive.google.com/drive/folders/1zXwpCzJfFHHsPKdV1Wo3D9HOg8xaY1ed?usp=drive_link" TargetMode="External"/><Relationship Id="rId48" Type="http://schemas.openxmlformats.org/officeDocument/2006/relationships/hyperlink" Target="https://drive.google.com/drive/folders/1qx2PYx7B7dlfOQ_Q_CNDhx-la4YK_hKG?usp=sharing" TargetMode="External"/><Relationship Id="rId64" Type="http://schemas.openxmlformats.org/officeDocument/2006/relationships/hyperlink" Target="https://drive.google.com/drive/folders/1nY45tdVHJ2u014XWaqNJDNR7k44GKlza?usp=drive_link" TargetMode="External"/><Relationship Id="rId69" Type="http://schemas.openxmlformats.org/officeDocument/2006/relationships/hyperlink" Target="https://drive.google.com/file/d/1V3k7OmdjbNQC4jqF-nilTmllZQ0L_inL/view?usp=sharing" TargetMode="External"/><Relationship Id="rId80" Type="http://schemas.openxmlformats.org/officeDocument/2006/relationships/hyperlink" Target="https://drive.google.com/file/d/1ynKyLTbAylevaN7go3lY-QGCWwCo6NkY/view?usp=sharing" TargetMode="External"/><Relationship Id="rId85" Type="http://schemas.openxmlformats.org/officeDocument/2006/relationships/hyperlink" Target="https://drive.google.com/drive/folders/16nlmR-qqEglO9husp5CfJPnHYk-B0Z5J?usp=drive_link" TargetMode="External"/><Relationship Id="rId12" Type="http://schemas.openxmlformats.org/officeDocument/2006/relationships/hyperlink" Target="https://drive.google.com/drive/folders/11dJ55EgEPYYtjEPYMLFVLy5aeznDWCAV?usp=drive_link" TargetMode="External"/><Relationship Id="rId17" Type="http://schemas.openxmlformats.org/officeDocument/2006/relationships/hyperlink" Target="https://drive.google.com/drive/folders/1q90_imFpUB3J6EarQpme1tYpsbBPWOlw?usp=drive_link" TargetMode="External"/><Relationship Id="rId33" Type="http://schemas.openxmlformats.org/officeDocument/2006/relationships/hyperlink" Target="https://drive.google.com/drive/u/0/folders/1V4sDRE6s35q4euhUDK-oK932i-hiKlqJ" TargetMode="External"/><Relationship Id="rId38" Type="http://schemas.openxmlformats.org/officeDocument/2006/relationships/hyperlink" Target="https://drive.google.com/file/d/1O74nawh67xpn-wItq2KCfwVaUbXL1Fyn/view?usp=sharing" TargetMode="External"/><Relationship Id="rId59" Type="http://schemas.openxmlformats.org/officeDocument/2006/relationships/hyperlink" Target="https://drive.google.com/drive/folders/1Yep8WhlwbjcvghjVsEQcPQWY7cK5h0Qf?usp=drive_link" TargetMode="External"/><Relationship Id="rId103" Type="http://schemas.openxmlformats.org/officeDocument/2006/relationships/hyperlink" Target="https://drive.google.com/file/d/1suGG7WvrStAjgiVw8je9saIGrTPAciS-/view?usp=drive_link" TargetMode="External"/><Relationship Id="rId108" Type="http://schemas.openxmlformats.org/officeDocument/2006/relationships/hyperlink" Target="https://drive.google.com/file/d/1K22S9APLmzGDrXMm-7z0czTJo-N5-JBn/view?usp=sharing" TargetMode="External"/><Relationship Id="rId54" Type="http://schemas.openxmlformats.org/officeDocument/2006/relationships/hyperlink" Target="https://drive.google.com/drive/folders/1cARSmCQhCy6CXSXJFBTFhXFDNHIEvVIW?usp=drive_link" TargetMode="External"/><Relationship Id="rId70" Type="http://schemas.openxmlformats.org/officeDocument/2006/relationships/hyperlink" Target="https://drive.google.com/drive/folders/1NuZQr-U78w0QBlQG5LKFbYEb1obNhWKm?usp=drive_link" TargetMode="External"/><Relationship Id="rId75" Type="http://schemas.openxmlformats.org/officeDocument/2006/relationships/hyperlink" Target="https://drive.google.com/drive/folders/14OjhQzANeQ-nhAibW06PrGw2f27eKssx?usp=drive_link" TargetMode="External"/><Relationship Id="rId91" Type="http://schemas.openxmlformats.org/officeDocument/2006/relationships/hyperlink" Target="https://drive.google.com/drive/u/0/folders/1VLOVVPF3T_ISiKDlh_SBiZfCvJSempZd" TargetMode="External"/><Relationship Id="rId96" Type="http://schemas.openxmlformats.org/officeDocument/2006/relationships/hyperlink" Target="https://drive.google.com/drive/folders/1HQ6xmK1RiILu3tALsWgrw2ceyD1NoDFU?usp=drive_link" TargetMode="External"/><Relationship Id="rId1" Type="http://schemas.openxmlformats.org/officeDocument/2006/relationships/hyperlink" Target="http://s.no/" TargetMode="External"/><Relationship Id="rId6" Type="http://schemas.openxmlformats.org/officeDocument/2006/relationships/hyperlink" Target="https://drive.google.com/drive/folders/19FkNsIk50pokCA4BY4J0YQMd21uMxJ1T?usp=sharing" TargetMode="External"/><Relationship Id="rId15" Type="http://schemas.openxmlformats.org/officeDocument/2006/relationships/hyperlink" Target="https://drive.google.com/drive/folders/1BpFs5wVNO5Z3iHrfMHEh37pwg9TRS0k7?usp=drive_link" TargetMode="External"/><Relationship Id="rId23" Type="http://schemas.openxmlformats.org/officeDocument/2006/relationships/hyperlink" Target="https://drive.google.com/drive/folders/1iVseuRNRbdfo_6p0-MC42sY9EXbfMwL8?usp=sharing" TargetMode="External"/><Relationship Id="rId28" Type="http://schemas.openxmlformats.org/officeDocument/2006/relationships/hyperlink" Target="https://drive.google.com/drive/u/0/folders/1WGmCEeC_cPweGTsnMP6JeJk5krBgPQIh" TargetMode="External"/><Relationship Id="rId36" Type="http://schemas.openxmlformats.org/officeDocument/2006/relationships/hyperlink" Target="https://drive.google.com/file/d/1XcEmkTvuDZOOf2YrJW9_0nfrGkcCDuUz/view?usp=drive_link" TargetMode="External"/><Relationship Id="rId49" Type="http://schemas.openxmlformats.org/officeDocument/2006/relationships/hyperlink" Target="https://drive.google.com/drive/folders/1QvKhchZgU5kRBVtWid9ULfZD-2jDXtgR?usp=drive_link" TargetMode="External"/><Relationship Id="rId57" Type="http://schemas.openxmlformats.org/officeDocument/2006/relationships/hyperlink" Target="https://drive.google.com/drive/folders/1-gzNJec5Ggc5u7p_QXoaZFpGY4gh4Hve?usp=drive_link" TargetMode="External"/><Relationship Id="rId106" Type="http://schemas.openxmlformats.org/officeDocument/2006/relationships/hyperlink" Target="https://drive.google.com/drive/folders/1EsKp8TY5vx4nUq-yYPf6nsAbAuIm4fWM?usp=sharing" TargetMode="External"/><Relationship Id="rId10" Type="http://schemas.openxmlformats.org/officeDocument/2006/relationships/hyperlink" Target="https://drive.google.com/drive/folders/1JZ5j_zX4rRXCiTimjyJEqlWf-md_3Nz-" TargetMode="External"/><Relationship Id="rId31" Type="http://schemas.openxmlformats.org/officeDocument/2006/relationships/hyperlink" Target="https://drive.google.com/drive/folders/1ygwWb8WQWx0lPM9580xbg3CUzzDroMJZ?usp=drive_link" TargetMode="External"/><Relationship Id="rId44" Type="http://schemas.openxmlformats.org/officeDocument/2006/relationships/hyperlink" Target="https://drive.google.com/drive/folders/1eJcLPtybOZdeuiVc0RiPcgLEY2eXXu3A?usp=drive_link" TargetMode="External"/><Relationship Id="rId52" Type="http://schemas.openxmlformats.org/officeDocument/2006/relationships/hyperlink" Target="https://drive.google.com/drive/folders/1b6u4yBeNnXd6W9yT6UdrQTigcpaC93Ia?usp=drive_link" TargetMode="External"/><Relationship Id="rId60" Type="http://schemas.openxmlformats.org/officeDocument/2006/relationships/hyperlink" Target="https://drive.google.com/file/d/158sdTkcCf4bguSCtaia1LsRa3tKY21sC/view?usp=sharing" TargetMode="External"/><Relationship Id="rId65" Type="http://schemas.openxmlformats.org/officeDocument/2006/relationships/hyperlink" Target="https://drive.google.com/drive/folders/1L-mHPN4vS69N4u34RPpAcsZ8CPsi0zeG?usp=sharing" TargetMode="External"/><Relationship Id="rId73" Type="http://schemas.openxmlformats.org/officeDocument/2006/relationships/hyperlink" Target="https://drive.google.com/drive/folders/1YTGmwIxuBnX3aMmm5G8dLLZsK9aXHHnZ?usp=drive_link" TargetMode="External"/><Relationship Id="rId78" Type="http://schemas.openxmlformats.org/officeDocument/2006/relationships/hyperlink" Target="https://drive.google.com/drive/folders/1eIDLJRgEB5v0MYjVaWKHpiO6zYZMC1H3?usp=drive_link" TargetMode="External"/><Relationship Id="rId81" Type="http://schemas.openxmlformats.org/officeDocument/2006/relationships/hyperlink" Target="https://drive.google.com/file/d/1y3nVR5tEDSQdQkHZuyQmw-H607szXwl1/view?usp=sharing" TargetMode="External"/><Relationship Id="rId86" Type="http://schemas.openxmlformats.org/officeDocument/2006/relationships/hyperlink" Target="https://drive.google.com/drive/folders/1M99VOHowAxgjJaE-ywOcMjx85hIiG2uB?usp=drive_link" TargetMode="External"/><Relationship Id="rId94" Type="http://schemas.openxmlformats.org/officeDocument/2006/relationships/hyperlink" Target="https://drive.google.com/file/d/1m6v1SGrjOsK69DfQoMOrp2CewszhCqsQ/view?usp=sharing" TargetMode="External"/><Relationship Id="rId99" Type="http://schemas.openxmlformats.org/officeDocument/2006/relationships/hyperlink" Target="https://drive.google.com/drive/folders/14xrbbWcrmn-kgcTplt9eC_1DztaF030w?usp=drive_link" TargetMode="External"/><Relationship Id="rId101" Type="http://schemas.openxmlformats.org/officeDocument/2006/relationships/hyperlink" Target="https://drive.google.com/file/d/1gwk-h3Yukj1AeoEwJrBsOhQaKUynlHCT/view?usp=sharing" TargetMode="External"/><Relationship Id="rId4" Type="http://schemas.openxmlformats.org/officeDocument/2006/relationships/hyperlink" Target="https://drive.google.com/file/d/1Wdt3kVOAWrNxxvh8mYOUhXsK8WThjnMf/view?usp=sharing" TargetMode="External"/><Relationship Id="rId9" Type="http://schemas.openxmlformats.org/officeDocument/2006/relationships/hyperlink" Target="https://drive.google.com/drive/folders/1vxdfjV6yoRSo8RxpdWkTogccxP5d655p?usp=sharing" TargetMode="External"/><Relationship Id="rId13" Type="http://schemas.openxmlformats.org/officeDocument/2006/relationships/hyperlink" Target="https://drive.google.com/drive/folders/1yEApE_kfoEbmdBNnHylufC3J7ZMO2dDz?usp=drive_link" TargetMode="External"/><Relationship Id="rId18" Type="http://schemas.openxmlformats.org/officeDocument/2006/relationships/hyperlink" Target="https://drive.google.com/drive/folders/172Z_Exwhj9I5Gd3w9debFNz626Ai09m7?usp=drive_link" TargetMode="External"/><Relationship Id="rId39" Type="http://schemas.openxmlformats.org/officeDocument/2006/relationships/hyperlink" Target="https://drive.google.com/file/d/1vbqt_-tTyQQ38vN2ZgvY11ryAOGrNN0Z/view?usp=sharing" TargetMode="External"/><Relationship Id="rId109" Type="http://schemas.openxmlformats.org/officeDocument/2006/relationships/hyperlink" Target="https://drive.google.com/file/d/1K22S9APLmzGDrXMm-7z0czTJo-N5-JBn/view?usp=sharing" TargetMode="External"/><Relationship Id="rId34" Type="http://schemas.openxmlformats.org/officeDocument/2006/relationships/hyperlink" Target="https://drive.google.com/drive/folders/1X5eaOHdWGmIpir-7btwPsO8iwiYudDl0?usp=drive_link" TargetMode="External"/><Relationship Id="rId50" Type="http://schemas.openxmlformats.org/officeDocument/2006/relationships/hyperlink" Target="https://drive.google.com/drive/u/0/folders/1SnNTGL-UpWZXCDKYGANOrdqGaqhhHD09" TargetMode="External"/><Relationship Id="rId55" Type="http://schemas.openxmlformats.org/officeDocument/2006/relationships/hyperlink" Target="https://drive.google.com/drive/folders/11_vi07BPgqnx5Haw8NvLIywrj8fJOO9H?usp=drive_link" TargetMode="External"/><Relationship Id="rId76" Type="http://schemas.openxmlformats.org/officeDocument/2006/relationships/hyperlink" Target="https://drive.google.com/drive/folders/1ENgVyPbS77370SyTXeA-iqPuR3bRuXYn?usp=drive_link" TargetMode="External"/><Relationship Id="rId97" Type="http://schemas.openxmlformats.org/officeDocument/2006/relationships/hyperlink" Target="https://drive.google.com/drive/folders/1F4y_riLy_yoRMYleutJA4GPEjf9aXjIL?usp=drive_link" TargetMode="External"/><Relationship Id="rId104" Type="http://schemas.openxmlformats.org/officeDocument/2006/relationships/hyperlink" Target="https://drive.google.com/file/d/1okzEzkDHpFqSAVKg7IHFuZGlsCdzkC51/view?usp=drive_link" TargetMode="External"/><Relationship Id="rId7" Type="http://schemas.openxmlformats.org/officeDocument/2006/relationships/hyperlink" Target="https://drive.google.com/drive/folders/10prUiKclaQ7M-J4hO8coX9BdTkha5VdM?usp=drive_link" TargetMode="External"/><Relationship Id="rId71" Type="http://schemas.openxmlformats.org/officeDocument/2006/relationships/hyperlink" Target="https://drive.google.com/drive/folders/1yJGdd3mXQtm8L-fuTD5anakKef-oqbyD?usp=drive_link" TargetMode="External"/><Relationship Id="rId92" Type="http://schemas.openxmlformats.org/officeDocument/2006/relationships/hyperlink" Target="https://iprsearch.ipindia.gov.in/RQStatus/CBR_Viewer.aspx?DocketNo=NDYyNDg=&amp;Date=MDcvMDUvMjAyNQ==&amp;Ipo=SVBPMg==" TargetMode="External"/><Relationship Id="rId2" Type="http://schemas.openxmlformats.org/officeDocument/2006/relationships/hyperlink" Target="https://drive.google.com/file/d/1_acHJucvUnNODfV7RmoN_vCDEEQ2-ByU/view?usp=sharing" TargetMode="External"/><Relationship Id="rId29" Type="http://schemas.openxmlformats.org/officeDocument/2006/relationships/hyperlink" Target="https://drive.google.com/drive/u/0/folders/1dVsUk8rDOFsrhxfY9fz5dqM3pNWlZkOG" TargetMode="External"/><Relationship Id="rId24" Type="http://schemas.openxmlformats.org/officeDocument/2006/relationships/hyperlink" Target="https://drive.google.com/drive/folders/1q0vH92EzQgwStlMeDEL9RtrorKR3l13p?usp=drive_link" TargetMode="External"/><Relationship Id="rId40" Type="http://schemas.openxmlformats.org/officeDocument/2006/relationships/hyperlink" Target="https://drive.google.com/file/d/1VsXZR2mU_ODkwR7LWFyN0yFEtPCMf8IO/view?usp=sharing" TargetMode="External"/><Relationship Id="rId45" Type="http://schemas.openxmlformats.org/officeDocument/2006/relationships/hyperlink" Target="https://drive.google.com/drive/folders/189iG4zLU91YhdS207sOqfXKp3whWSCJQ?usp=drive_link" TargetMode="External"/><Relationship Id="rId66" Type="http://schemas.openxmlformats.org/officeDocument/2006/relationships/hyperlink" Target="https://drive.google.com/drive/folders/1vSUhp-kk63TLsVyRN-7rxwWqd4EBJBDh?usp=sharing" TargetMode="External"/><Relationship Id="rId87" Type="http://schemas.openxmlformats.org/officeDocument/2006/relationships/hyperlink" Target="https://drive.google.com/drive/folders/1FpnQHYsMEp_5UZrlsTBHwUlfOsaDU-qg?usp=drive_link" TargetMode="External"/><Relationship Id="rId110" Type="http://schemas.openxmlformats.org/officeDocument/2006/relationships/table" Target="../tables/table13.xml"/><Relationship Id="rId61" Type="http://schemas.openxmlformats.org/officeDocument/2006/relationships/hyperlink" Target="https://drive.google.com/drive/folders/1Tuxp1QTl3RPNLoK2W_HbjtRiFBCgpg61" TargetMode="External"/><Relationship Id="rId82" Type="http://schemas.openxmlformats.org/officeDocument/2006/relationships/hyperlink" Target="https://drive.google.com/drive/u/1/folders/1c_ia1zMrJhzZ2TOSnKIPt8gZA1cIIK-W" TargetMode="External"/><Relationship Id="rId19" Type="http://schemas.openxmlformats.org/officeDocument/2006/relationships/hyperlink" Target="https://drive.google.com/drive/folders/1b1rgE8UtTI-LwziDnCwLnUNGHp-MvUrE?usp=drive_link" TargetMode="External"/><Relationship Id="rId14" Type="http://schemas.openxmlformats.org/officeDocument/2006/relationships/hyperlink" Target="https://drive.google.com/drive/u/1/folders/1AWvfhGWIQQcdRhZCfld41Cdv6Ko4pjHF" TargetMode="External"/><Relationship Id="rId30" Type="http://schemas.openxmlformats.org/officeDocument/2006/relationships/hyperlink" Target="https://drive.google.com/drive/folders/1kT6Ym5Bd5M0MDGxOKqGAhKGsl35fj3EE?usp=drive_link" TargetMode="External"/><Relationship Id="rId35" Type="http://schemas.openxmlformats.org/officeDocument/2006/relationships/hyperlink" Target="https://drive.google.com/file/d/1VgyLPrjylvRSCvSvrMQUPMhE2GmfTAKx/view?usp=drive_link" TargetMode="External"/><Relationship Id="rId56" Type="http://schemas.openxmlformats.org/officeDocument/2006/relationships/hyperlink" Target="https://drive.google.com/drive/folders/1-QOkrnw6Fylal4qT0exIM94chV5enAtN?usp=drive_link" TargetMode="External"/><Relationship Id="rId77" Type="http://schemas.openxmlformats.org/officeDocument/2006/relationships/hyperlink" Target="https://drive.google.com/drive/folders/1hwi6Z5yEzeLkBs6dKlZ1ijiVKiXZJrp1?usp=drive_link" TargetMode="External"/><Relationship Id="rId100" Type="http://schemas.openxmlformats.org/officeDocument/2006/relationships/hyperlink" Target="https://drive.google.com/file/d/1pJgTkyO6eaDUjX6suSaE6xfiG9DJNPBz/view?usp=sharing" TargetMode="External"/><Relationship Id="rId105" Type="http://schemas.openxmlformats.org/officeDocument/2006/relationships/hyperlink" Target="https://drive.google.com/file/d/19TFk8II9Lh930gs3wqkyS0FvzBdq5b9K/view?usp=drive_link" TargetMode="External"/><Relationship Id="rId8" Type="http://schemas.openxmlformats.org/officeDocument/2006/relationships/hyperlink" Target="https://drive.google.com/drive/folders/1GNPti1g5ixRy9ml7w0QAqCPKxBDHHV76?usp=sharing" TargetMode="External"/><Relationship Id="rId51" Type="http://schemas.openxmlformats.org/officeDocument/2006/relationships/hyperlink" Target="https://drive.google.com/file/d/1-FwfKyrLJPh_4xIq8VjAKyBKq-vDyy01/view?usp=sharing" TargetMode="External"/><Relationship Id="rId72" Type="http://schemas.openxmlformats.org/officeDocument/2006/relationships/hyperlink" Target="https://drive.google.com/file/d/1PYLhjE34ZWITP51c-bVK-3Qf1Bbzf-Kf/view?usp=drive_link" TargetMode="External"/><Relationship Id="rId93" Type="http://schemas.openxmlformats.org/officeDocument/2006/relationships/hyperlink" Target="https://drive.google.com/drive/folders/1VC9dsnU22Z3KBqG_dgZaXccgS_UuodP-?usp=drive_link" TargetMode="External"/><Relationship Id="rId98" Type="http://schemas.openxmlformats.org/officeDocument/2006/relationships/hyperlink" Target="https://drive.google.com/drive/folders/1SMzbWA4AhyDuEkbGiUHvo5mBzBGbPuhL?usp=drive_link" TargetMode="External"/><Relationship Id="rId3" Type="http://schemas.openxmlformats.org/officeDocument/2006/relationships/hyperlink" Target="https://drive.google.com/file/d/1owEMsOp4u_tHNjWVaHNDJYz_xMo23hUY/view?usp=drive_link" TargetMode="External"/><Relationship Id="rId25" Type="http://schemas.openxmlformats.org/officeDocument/2006/relationships/hyperlink" Target="https://drive.google.com/file/d/1F9UbftsNTsMmfLZF07hF2l5aATzKfoIR/view?usp=drive_link" TargetMode="External"/><Relationship Id="rId46" Type="http://schemas.openxmlformats.org/officeDocument/2006/relationships/hyperlink" Target="https://drive.google.com/drive/folders/1R9T6jS4GRNVwWZ96bv0YPzH_HtCavPIL?usp=drive_link" TargetMode="External"/><Relationship Id="rId67" Type="http://schemas.openxmlformats.org/officeDocument/2006/relationships/hyperlink" Target="https://drive.google.com/drive/folders/14SO_qjAunfZgUDyD2fzebxpq67AaJkbv?usp=drive_link" TargetMode="External"/><Relationship Id="rId20" Type="http://schemas.openxmlformats.org/officeDocument/2006/relationships/hyperlink" Target="https://drive.google.com/drive/folders/1_4GvqQxRF03lHMlxmZ-H9bYbDqWVMudA?usp=drive_link" TargetMode="External"/><Relationship Id="rId41" Type="http://schemas.openxmlformats.org/officeDocument/2006/relationships/hyperlink" Target="https://drive.google.com/file/d/1-ds4bqycDFOG2oEP8hu01ut4ENUSIW19/view?usp=sharing" TargetMode="External"/><Relationship Id="rId62" Type="http://schemas.openxmlformats.org/officeDocument/2006/relationships/hyperlink" Target="https://drive.google.com/drive/folders/1mNTAalKXQCs-PSNal6Zq1hp05b1UusYc" TargetMode="External"/><Relationship Id="rId83" Type="http://schemas.openxmlformats.org/officeDocument/2006/relationships/hyperlink" Target="https://drive.google.com/drive/u/1/folders/1TkhcaS8SSkbPkiAhZKM36EVNRDamrzZI" TargetMode="External"/><Relationship Id="rId88" Type="http://schemas.openxmlformats.org/officeDocument/2006/relationships/hyperlink" Target="https://drive.google.com/file/d/1M6pVzPrqcjgXbBQRNe6NS7Z6p-c9NWrE/view?usp=sharing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igrasp.isro.gov.in/igrasp/res-sac-2024-020-advanced-persistent-threats-breach-and-botnet-detection-system-using-network" TargetMode="External"/><Relationship Id="rId2" Type="http://schemas.openxmlformats.org/officeDocument/2006/relationships/hyperlink" Target="https://www.kscst.org.in/spp/48_series/08_48S_SPP_sanctioned_projects_26March2025.pdf" TargetMode="External"/><Relationship Id="rId1" Type="http://schemas.openxmlformats.org/officeDocument/2006/relationships/hyperlink" Target="http://s.no/" TargetMode="External"/><Relationship Id="rId5" Type="http://schemas.openxmlformats.org/officeDocument/2006/relationships/table" Target="../tables/table16.xml"/><Relationship Id="rId4" Type="http://schemas.openxmlformats.org/officeDocument/2006/relationships/hyperlink" Target="https://drive.google.com/file/d/1RlTPmlmGsvHtBkMM45EJOEWVmscXm7WS/view?usp=sharing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7MRWpqZoGhFM0p02PwfAllwBAe26Qh6N?usp=drive_link" TargetMode="External"/><Relationship Id="rId18" Type="http://schemas.openxmlformats.org/officeDocument/2006/relationships/hyperlink" Target="https://drive.google.com/file/d/1epFpRDEtwdWgCD23l83N3VHII4qCDs7v/view?usp=sharing" TargetMode="External"/><Relationship Id="rId26" Type="http://schemas.openxmlformats.org/officeDocument/2006/relationships/hyperlink" Target="https://drive.google.com/file/d/1oTHtlFtOkEviH7V2YCQFKgtjUKr2ugdd/view?usp=sharing" TargetMode="External"/><Relationship Id="rId39" Type="http://schemas.openxmlformats.org/officeDocument/2006/relationships/hyperlink" Target="https://drive.google.com/drive/folders/1MIz8BV1NYax0cZVHS36FWhUYP8efA9Sn?usp=drive_link" TargetMode="External"/><Relationship Id="rId21" Type="http://schemas.openxmlformats.org/officeDocument/2006/relationships/hyperlink" Target="https://drive.google.com/file/d/1FURHyqSX4iscx5U1gbnHgMf4CVgYGmNe/view?usp=sharing" TargetMode="External"/><Relationship Id="rId34" Type="http://schemas.openxmlformats.org/officeDocument/2006/relationships/hyperlink" Target="https://drive.google.com/file/d/1N9snmUsK2611mCIbvAvQgQURXGZ2s4Uz/view?usp=sharing" TargetMode="External"/><Relationship Id="rId42" Type="http://schemas.openxmlformats.org/officeDocument/2006/relationships/hyperlink" Target="https://drive.google.com/drive/folders/1Qc-TEL5o4UBrQkhAE4dl2UIWfgQ0sKVi?usp=sharing" TargetMode="External"/><Relationship Id="rId47" Type="http://schemas.openxmlformats.org/officeDocument/2006/relationships/hyperlink" Target="https://drive.google.com/drive/folders/136nM5WP6SJvI5JKrlQK5NqgNi2oHBnm3?usp=sharing" TargetMode="External"/><Relationship Id="rId50" Type="http://schemas.openxmlformats.org/officeDocument/2006/relationships/hyperlink" Target="https://drive.google.com/file/d/1nbraCpoWHbgg8w6YI8p1zJZEy7azODJj/view?usp=drive_link" TargetMode="External"/><Relationship Id="rId55" Type="http://schemas.openxmlformats.org/officeDocument/2006/relationships/hyperlink" Target="https://drive.google.com/file/d/1xidfaWdYd7PkCofDqVT3MWsJULFV81Cn/view?usp=sharing" TargetMode="External"/><Relationship Id="rId63" Type="http://schemas.openxmlformats.org/officeDocument/2006/relationships/hyperlink" Target="https://drive.google.com/file/d/1_phvlSyCXIqbPAAxSJI2fjmDx8FZVLz6/view?usp=drive_link" TargetMode="External"/><Relationship Id="rId7" Type="http://schemas.openxmlformats.org/officeDocument/2006/relationships/hyperlink" Target="https://drive.google.com/drive/folders/1kSK7hjC8p1XL7pSuiu06zpkvLgj53Pyd" TargetMode="External"/><Relationship Id="rId2" Type="http://schemas.openxmlformats.org/officeDocument/2006/relationships/hyperlink" Target="https://drive.google.com/file/d/19VmAhHGER0dnEiFQvEOm9NisTBdfkJHr/view?usp=sharing" TargetMode="External"/><Relationship Id="rId16" Type="http://schemas.openxmlformats.org/officeDocument/2006/relationships/hyperlink" Target="https://drive.google.com/drive/folders/1BFiWaF_Ch3fw_SmLxYdreK-AZ3EA-eJ3?usp=drive_link" TargetMode="External"/><Relationship Id="rId29" Type="http://schemas.openxmlformats.org/officeDocument/2006/relationships/hyperlink" Target="https://drive.google.com/drive/folders/1wFe04-3kP76ZmyrbM91eY4r5K2j3bsqX?usp=sharing" TargetMode="External"/><Relationship Id="rId11" Type="http://schemas.openxmlformats.org/officeDocument/2006/relationships/hyperlink" Target="https://drive.google.com/drive/folders/1-jc3Q5gFvNUhfgU8q8shBbUDMtTj9I7F?usp=drive_link" TargetMode="External"/><Relationship Id="rId24" Type="http://schemas.openxmlformats.org/officeDocument/2006/relationships/hyperlink" Target="https://drive.google.com/file/d/1YTKMani05R5GYwtBKfJBKyhuNTeNyLqJ/view?usp=drive_link" TargetMode="External"/><Relationship Id="rId32" Type="http://schemas.openxmlformats.org/officeDocument/2006/relationships/hyperlink" Target="https://drive.google.com/drive/folders/1zIrHTsvmRy4IMGmLmfdhZjVDrdx_7QU2?usp=drive_link" TargetMode="External"/><Relationship Id="rId37" Type="http://schemas.openxmlformats.org/officeDocument/2006/relationships/hyperlink" Target="https://drive.google.com/drive/folders/19iRnko_KHSL9ufF9G71yEaj1uH4Zw23N?usp=drive_link" TargetMode="External"/><Relationship Id="rId40" Type="http://schemas.openxmlformats.org/officeDocument/2006/relationships/hyperlink" Target="https://drive.google.com/file/d/1atmf_uPmmHBHGNSWvzOXW5KQUb_4biAD/view?usp=sharing" TargetMode="External"/><Relationship Id="rId45" Type="http://schemas.openxmlformats.org/officeDocument/2006/relationships/hyperlink" Target="https://drive.google.com/file/d/11AZrcU3OIR2NM0QHIhleom2qYUlt50Hv/view?usp=sharing" TargetMode="External"/><Relationship Id="rId53" Type="http://schemas.openxmlformats.org/officeDocument/2006/relationships/hyperlink" Target="https://drive.google.com/file/d/1IuL3Pb-5Yp9pddjq89oLiXMJlx117hXV/view?usp=drive_link" TargetMode="External"/><Relationship Id="rId58" Type="http://schemas.openxmlformats.org/officeDocument/2006/relationships/hyperlink" Target="https://drive.google.com/file/d/1J-6jE4M3rI-kvbq8xNxfDZAqwhyX9irZ/view?usp=sharing" TargetMode="External"/><Relationship Id="rId5" Type="http://schemas.openxmlformats.org/officeDocument/2006/relationships/hyperlink" Target="https://drive.google.com/file/d/1LO5VQD5IWWOuEWPQkwp8w0atSk9zfAYt/view?usp=sharing" TargetMode="External"/><Relationship Id="rId61" Type="http://schemas.openxmlformats.org/officeDocument/2006/relationships/hyperlink" Target="https://drive.google.com/file/d/1JH4CrDrY-Vgl6_xyD5QhchcVyHKtwdgW/view?usp=drive_link" TargetMode="External"/><Relationship Id="rId19" Type="http://schemas.openxmlformats.org/officeDocument/2006/relationships/hyperlink" Target="https://drive.google.com/file/d/1sYf-hKdnAXPa_socW0Zqit0nvrIBoQWa/view?usp=sharing" TargetMode="External"/><Relationship Id="rId14" Type="http://schemas.openxmlformats.org/officeDocument/2006/relationships/hyperlink" Target="https://drive.google.com/drive/folders/1Xf1aFAhskdkazGzGjT_k0nsPP8eLdOvU?usp=drive_link" TargetMode="External"/><Relationship Id="rId22" Type="http://schemas.openxmlformats.org/officeDocument/2006/relationships/hyperlink" Target="https://drive.google.com/file/d/117CfPMibRY1tn-LlfY1sOK_GIgvi2g5m/view?usp=drive_link" TargetMode="External"/><Relationship Id="rId27" Type="http://schemas.openxmlformats.org/officeDocument/2006/relationships/hyperlink" Target="https://drive.google.com/file/d/1exowLMPFgJbaO0Eb5VUCI3bw8PQ8Vo59/view?usp=sharing" TargetMode="External"/><Relationship Id="rId30" Type="http://schemas.openxmlformats.org/officeDocument/2006/relationships/hyperlink" Target="https://drive.google.com/drive/folders/1hRo9EnMIprirAgCMXhbqKe9f94_-kA6A?usp=drive_link" TargetMode="External"/><Relationship Id="rId35" Type="http://schemas.openxmlformats.org/officeDocument/2006/relationships/hyperlink" Target="https://drive.google.com/drive/folders/1-AF18areQj1R3MxnCT7-Yo__0uuHO6N_?usp=drive_link" TargetMode="External"/><Relationship Id="rId43" Type="http://schemas.openxmlformats.org/officeDocument/2006/relationships/hyperlink" Target="https://drive.google.com/file/d/1NV3WV4u-XO1iVLuIBVSZXeb-_mMlSO6i/view?usp=sharing" TargetMode="External"/><Relationship Id="rId48" Type="http://schemas.openxmlformats.org/officeDocument/2006/relationships/hyperlink" Target="https://drive.google.com/drive/folders/1XFTfhdWKiP1qfyjRwS98fifXPcTFx9E0?usp=drive_link" TargetMode="External"/><Relationship Id="rId56" Type="http://schemas.openxmlformats.org/officeDocument/2006/relationships/hyperlink" Target="https://drive.google.com/file/d/134g-5bUJeyVeNTffYsZPwLsfy7Vq5Sc8/view?usp=sharing" TargetMode="External"/><Relationship Id="rId64" Type="http://schemas.openxmlformats.org/officeDocument/2006/relationships/table" Target="../tables/table17.xml"/><Relationship Id="rId8" Type="http://schemas.openxmlformats.org/officeDocument/2006/relationships/hyperlink" Target="https://drive.google.com/drive/folders/1X8sUfn44i7igpqJGWYGoJyRUddho5BV6?usp=drive_link" TargetMode="External"/><Relationship Id="rId51" Type="http://schemas.openxmlformats.org/officeDocument/2006/relationships/hyperlink" Target="https://drive.google.com/file/d/1_cFZB6TWw_EBsYTPcGDBOJ_5dsjUiwpT/view?usp=sharing" TargetMode="External"/><Relationship Id="rId3" Type="http://schemas.openxmlformats.org/officeDocument/2006/relationships/hyperlink" Target="https://drive.google.com/file/d/1jxcFfiprc_3AtgTno_r3-Hm8vkZOBllo/view?usp=sharing" TargetMode="External"/><Relationship Id="rId12" Type="http://schemas.openxmlformats.org/officeDocument/2006/relationships/hyperlink" Target="https://drive.google.com/file/d/1abTTcI3m9BSk01jhdaiRMd8TBYe2s9Gt/view?usp=sharing" TargetMode="External"/><Relationship Id="rId17" Type="http://schemas.openxmlformats.org/officeDocument/2006/relationships/hyperlink" Target="https://drive.google.com/file/d/1LC_XwrUYxhOM2pAT7IwvK-xQDCaamPz2/view?usp=drive_link" TargetMode="External"/><Relationship Id="rId25" Type="http://schemas.openxmlformats.org/officeDocument/2006/relationships/hyperlink" Target="https://drive.google.com/drive/folders/1eFNoMP6BLrhdPBJtgJ_-mocuzwNAHccj?usp=sharing" TargetMode="External"/><Relationship Id="rId33" Type="http://schemas.openxmlformats.org/officeDocument/2006/relationships/hyperlink" Target="https://drive.google.com/drive/folders/1rTgztpc4fYy3v4OGu9iM5vHet4l6Eh8F?usp=drive_link" TargetMode="External"/><Relationship Id="rId38" Type="http://schemas.openxmlformats.org/officeDocument/2006/relationships/hyperlink" Target="https://drive.google.com/file/d/1Z-oM2LXKj5UTpjJHkJ7aOhmekjQgIwpX/view?usp=drive_link" TargetMode="External"/><Relationship Id="rId46" Type="http://schemas.openxmlformats.org/officeDocument/2006/relationships/hyperlink" Target="https://drive.google.com/drive/folders/12a70QeF899MIdmUuSDZAARSKkffEScWX?usp=drive_link" TargetMode="External"/><Relationship Id="rId59" Type="http://schemas.openxmlformats.org/officeDocument/2006/relationships/hyperlink" Target="https://drive.google.com/drive/folders/13-JrZ5-5-j0Zbh6Am2syD9OcvXxcVHh1?usp=drive_link" TargetMode="External"/><Relationship Id="rId20" Type="http://schemas.openxmlformats.org/officeDocument/2006/relationships/hyperlink" Target="https://drive.google.com/file/d/1Ds4HPvYVbIIQXkMnB5CHLUpTHdmFJId6/view?usp=drive_link" TargetMode="External"/><Relationship Id="rId41" Type="http://schemas.openxmlformats.org/officeDocument/2006/relationships/hyperlink" Target="https://drive.google.com/drive/folders/1lTzAwohzLW1SvrF4xMQQpW4PfzU-r-8J?usp=sharing" TargetMode="External"/><Relationship Id="rId54" Type="http://schemas.openxmlformats.org/officeDocument/2006/relationships/hyperlink" Target="https://drive.google.com/file/d/1HKIldf4KmKQrc7M7KMTW6os9FM8Nn1HR/view?usp=drive_link" TargetMode="External"/><Relationship Id="rId62" Type="http://schemas.openxmlformats.org/officeDocument/2006/relationships/hyperlink" Target="https://drive.google.com/file/d/19DxYQ9fhQGwqNt0xUqNQehFCakRqlPMC/view?usp=drive_link" TargetMode="External"/><Relationship Id="rId1" Type="http://schemas.openxmlformats.org/officeDocument/2006/relationships/hyperlink" Target="http://s.no/" TargetMode="External"/><Relationship Id="rId6" Type="http://schemas.openxmlformats.org/officeDocument/2006/relationships/hyperlink" Target="https://drive.google.com/file/d/1EZhVCXs2UnrdTsJCuMb_KjUXSRhPUOFN/view?usp=drive_link" TargetMode="External"/><Relationship Id="rId15" Type="http://schemas.openxmlformats.org/officeDocument/2006/relationships/hyperlink" Target="https://drive.google.com/file/d/1HT0hpIzTKtHrl7SqYrDPrzPrjcLBYIH0/view?usp=drive_link" TargetMode="External"/><Relationship Id="rId23" Type="http://schemas.openxmlformats.org/officeDocument/2006/relationships/hyperlink" Target="https://drive.google.com/file/d/10vydXNhGYlFg5bQFiIj4qKwxVZ41tF1z/view?usp=drive_link" TargetMode="External"/><Relationship Id="rId28" Type="http://schemas.openxmlformats.org/officeDocument/2006/relationships/hyperlink" Target="https://drive.google.com/drive/folders/1rclWVAY0tpz6nrctgDXLrgnaqQX1agUR?usp=drive_link" TargetMode="External"/><Relationship Id="rId36" Type="http://schemas.openxmlformats.org/officeDocument/2006/relationships/hyperlink" Target="https://drive.google.com/drive/folders/19Lh2W-EZOSHtlCM8N8nAQzATlwL6kMfx?usp=sharing" TargetMode="External"/><Relationship Id="rId49" Type="http://schemas.openxmlformats.org/officeDocument/2006/relationships/hyperlink" Target="https://drive.google.com/file/d/1rLov6oLG0U34dWFP-IWpMV_PqvYdhKj-/view?usp=drive_link" TargetMode="External"/><Relationship Id="rId57" Type="http://schemas.openxmlformats.org/officeDocument/2006/relationships/hyperlink" Target="https://drive.google.com/file/d/1_4iDK0dE631JtpO1FeuNApt8LVoZtstB/view?usp=drive_link" TargetMode="External"/><Relationship Id="rId10" Type="http://schemas.openxmlformats.org/officeDocument/2006/relationships/hyperlink" Target="https://drive.google.com/drive/folders/13yZzJZfYLjnUXuolLrsS7vzAAWkx47uu?usp=drive_link" TargetMode="External"/><Relationship Id="rId31" Type="http://schemas.openxmlformats.org/officeDocument/2006/relationships/hyperlink" Target="http://mergenlab.ai/" TargetMode="External"/><Relationship Id="rId44" Type="http://schemas.openxmlformats.org/officeDocument/2006/relationships/hyperlink" Target="https://drive.google.com/drive/folders/1Sgv6aXuhiA7mll-jWVXEdUo7gtjl4amh?usp=sharing" TargetMode="External"/><Relationship Id="rId52" Type="http://schemas.openxmlformats.org/officeDocument/2006/relationships/hyperlink" Target="https://drive.google.com/file/d/1uuF_eQhEmhC3mchl_1jFn0kR7dQfXdmV/view?usp=drive_link" TargetMode="External"/><Relationship Id="rId60" Type="http://schemas.openxmlformats.org/officeDocument/2006/relationships/hyperlink" Target="https://drive.google.com/file/d/1qIM4Bre3woUuSNVencAcnc8FqLEddSCK/view?usp=drive_link" TargetMode="External"/><Relationship Id="rId4" Type="http://schemas.openxmlformats.org/officeDocument/2006/relationships/hyperlink" Target="https://drive.google.com/file/d/1JFRB9hiX_m60Y9mb6R8umbW-y4Uwj9bI/view?usp=sharing" TargetMode="External"/><Relationship Id="rId9" Type="http://schemas.openxmlformats.org/officeDocument/2006/relationships/hyperlink" Target="https://drive.google.com/file/d/1bCUVXM4FkbLOfCfcS4ZcrVFmFjQk95Ob/view?usp=sharing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u/0/folders/1TdLfzDkBBe7UxZW_g5M89jNWVyvzn2KT" TargetMode="External"/><Relationship Id="rId18" Type="http://schemas.openxmlformats.org/officeDocument/2006/relationships/hyperlink" Target="https://drive.google.com/drive/folders/1dE8KOL_iJB5vJoETVxmltkzwbXiy6S-r?usp=drive_link" TargetMode="External"/><Relationship Id="rId26" Type="http://schemas.openxmlformats.org/officeDocument/2006/relationships/hyperlink" Target="https://drive.google.com/drive/folders/1c03mAvmMB6vuu5UIIyc25DN-m1n9kgFz?usp=drive_link" TargetMode="External"/><Relationship Id="rId39" Type="http://schemas.openxmlformats.org/officeDocument/2006/relationships/hyperlink" Target="https://drive.google.com/file/d/1D7s4s0yLhpMBDyTudiQ6zgvlpvVOyWuR/view?usp=drive_link" TargetMode="External"/><Relationship Id="rId21" Type="http://schemas.openxmlformats.org/officeDocument/2006/relationships/hyperlink" Target="https://drive.google.com/drive/folders/1tIOUskm7EsYEmYflesN7imM0Q4I12lJ_?usp=sharing" TargetMode="External"/><Relationship Id="rId34" Type="http://schemas.openxmlformats.org/officeDocument/2006/relationships/hyperlink" Target="https://drive.google.com/file/d/14ugXa3J6ofageIYTTsG_SYqC93UgOH3K/view?usp=drive_link" TargetMode="External"/><Relationship Id="rId7" Type="http://schemas.openxmlformats.org/officeDocument/2006/relationships/hyperlink" Target="https://drive.google.com/drive/folders/1XkhxD7hp58IPI21oqHzGJ2PpnPcC6nmz?usp=drive_link" TargetMode="External"/><Relationship Id="rId2" Type="http://schemas.openxmlformats.org/officeDocument/2006/relationships/hyperlink" Target="https://drive.google.com/drive/folders/1PLRhVSSCZco4J08ri0NUzQI8WALZvImm?usp=drive_link" TargetMode="External"/><Relationship Id="rId16" Type="http://schemas.openxmlformats.org/officeDocument/2006/relationships/hyperlink" Target="https://drive.google.com/drive/folders/1DfhaNU-0xTfoGxjNjSKLu6p5GsGT9wU9?usp=drive_link" TargetMode="External"/><Relationship Id="rId20" Type="http://schemas.openxmlformats.org/officeDocument/2006/relationships/hyperlink" Target="https://drive.google.com/drive/folders/1PQIVkvFYOGYGLJkH5fMXPAFeyhbcg0-e?usp=drive_link" TargetMode="External"/><Relationship Id="rId29" Type="http://schemas.openxmlformats.org/officeDocument/2006/relationships/hyperlink" Target="https://drive.google.com/file/d/1ejaliyp7mRgxq3uKGG2h8M0rV3DxcK35/view?usp=sharing" TargetMode="External"/><Relationship Id="rId41" Type="http://schemas.openxmlformats.org/officeDocument/2006/relationships/table" Target="../tables/table18.xml"/><Relationship Id="rId1" Type="http://schemas.openxmlformats.org/officeDocument/2006/relationships/hyperlink" Target="http://s.no/" TargetMode="External"/><Relationship Id="rId6" Type="http://schemas.openxmlformats.org/officeDocument/2006/relationships/hyperlink" Target="https://drive.google.com/drive/folders/1lHno-NW9ui4ACVGofg0W1UOocMEpIXav?usp=drive_link" TargetMode="External"/><Relationship Id="rId11" Type="http://schemas.openxmlformats.org/officeDocument/2006/relationships/hyperlink" Target="https://drive.google.com/file/d/14TGQoUMpOWm2PfRbdfYgA0NsxdnPTrr3/view?usp=drive_link" TargetMode="External"/><Relationship Id="rId24" Type="http://schemas.openxmlformats.org/officeDocument/2006/relationships/hyperlink" Target="https://drive.google.com/file/d/1oVRUFYoMr0weTMy25jamZYYeHYf5UWig/view?usp=sharing" TargetMode="External"/><Relationship Id="rId32" Type="http://schemas.openxmlformats.org/officeDocument/2006/relationships/hyperlink" Target="https://drive.google.com/drive/folders/1_HKiGDLgw004091aMamFFa57fG7guQ3h" TargetMode="External"/><Relationship Id="rId37" Type="http://schemas.openxmlformats.org/officeDocument/2006/relationships/hyperlink" Target="https://drive.google.com/file/d/12QaKaPRcik8f4wuRdbQRZfGtGsJHaJr0/view?usp=drive_link" TargetMode="External"/><Relationship Id="rId40" Type="http://schemas.openxmlformats.org/officeDocument/2006/relationships/hyperlink" Target="https://drive.google.com/file/d/1WfIQE7PVYhX0RSqoqapPLudXbVlYXW7e/view?usp=drive_link" TargetMode="External"/><Relationship Id="rId5" Type="http://schemas.openxmlformats.org/officeDocument/2006/relationships/hyperlink" Target="https://drive.google.com/file/d/1VaX7NtjCj9k_43d5NQwiDT3v3u9eA4xT/view?usp=drive_link" TargetMode="External"/><Relationship Id="rId15" Type="http://schemas.openxmlformats.org/officeDocument/2006/relationships/hyperlink" Target="https://drive.google.com/drive/folders/1PSTj5SMs2OCdjipwIkA5NJHeqOvbj448?usp=drive_link" TargetMode="External"/><Relationship Id="rId23" Type="http://schemas.openxmlformats.org/officeDocument/2006/relationships/hyperlink" Target="https://drive.google.com/drive/folders/103Dm1N98Rqyvewpdg7HRrAr3ad1NfO8b?usp=sharing" TargetMode="External"/><Relationship Id="rId28" Type="http://schemas.openxmlformats.org/officeDocument/2006/relationships/hyperlink" Target="https://drive.google.com/file/d/1oFare2iRxVs1AeuRuHPf-gKGlePjztp0/view?usp=drive_link" TargetMode="External"/><Relationship Id="rId36" Type="http://schemas.openxmlformats.org/officeDocument/2006/relationships/hyperlink" Target="https://drive.google.com/file/d/19ex67vx00jchzm9kkMoIZp1OO_Q3rjgx/view?usp=sharing" TargetMode="External"/><Relationship Id="rId10" Type="http://schemas.openxmlformats.org/officeDocument/2006/relationships/hyperlink" Target="https://drive.google.com/file/d/1ZG2giB55FCJzlni45L3CgVE_Ms1hvRMB/view?usp=sharing" TargetMode="External"/><Relationship Id="rId19" Type="http://schemas.openxmlformats.org/officeDocument/2006/relationships/hyperlink" Target="https://drive.google.com/drive/folders/1mWKDnFR2iJszSCrWhABA76sk1gu9pLTA?usp=drive_link" TargetMode="External"/><Relationship Id="rId31" Type="http://schemas.openxmlformats.org/officeDocument/2006/relationships/hyperlink" Target="https://drive.google.com/file/d/1Sa_-ZapzGb-2dJgN84PQbAliUgYMzGcD/view?usp=sharing" TargetMode="External"/><Relationship Id="rId4" Type="http://schemas.openxmlformats.org/officeDocument/2006/relationships/hyperlink" Target="https://drive.google.com/file/d/13fmYwwqegJYLxouL5JUADOqokRrNkfdT/view?usp=sharing" TargetMode="External"/><Relationship Id="rId9" Type="http://schemas.openxmlformats.org/officeDocument/2006/relationships/hyperlink" Target="https://drive.google.com/file/d/1GNWjyM0Yxzc2IP90ij9PzVpHyriGd7W_/view?usp=drive_link" TargetMode="External"/><Relationship Id="rId14" Type="http://schemas.openxmlformats.org/officeDocument/2006/relationships/hyperlink" Target="https://drive.google.com/drive/folders/1PLVgPUi5ud0mM7IOXoYelwwJ4EVEV8_l?usp=sharing" TargetMode="External"/><Relationship Id="rId22" Type="http://schemas.openxmlformats.org/officeDocument/2006/relationships/hyperlink" Target="https://drive.google.com/drive/folders/1gW-vh_bC3Y-y_wfUq4O7hZ0F2ReXbjya?usp=drive_link" TargetMode="External"/><Relationship Id="rId27" Type="http://schemas.openxmlformats.org/officeDocument/2006/relationships/hyperlink" Target="https://drive.google.com/drive/u/1/folders/1x2DYVdDkKOL3Nn1YxDVK9xirlpbeY-8b" TargetMode="External"/><Relationship Id="rId30" Type="http://schemas.openxmlformats.org/officeDocument/2006/relationships/hyperlink" Target="https://drive.google.com/file/d/1-2AHzLe5ZcGOPJ0NbzUjTVpuGWnzsr7k/view?usp=sharing" TargetMode="External"/><Relationship Id="rId35" Type="http://schemas.openxmlformats.org/officeDocument/2006/relationships/hyperlink" Target="https://drive.google.com/drive/folders/10uLgNQmaOQo8V4tYwkbFgM8fheW8Luse?usp=drive_link" TargetMode="External"/><Relationship Id="rId8" Type="http://schemas.openxmlformats.org/officeDocument/2006/relationships/hyperlink" Target="https://drive.google.com/drive/folders/1NjF6g45t-R7MRoKITlxFs8qVO3GoR90O?usp=drive_link" TargetMode="External"/><Relationship Id="rId3" Type="http://schemas.openxmlformats.org/officeDocument/2006/relationships/hyperlink" Target="https://drive.google.com/file/d/18it-yoKJtilKEQUmopj6v6KlTCu0lGwC/view?usp=sharing" TargetMode="External"/><Relationship Id="rId12" Type="http://schemas.openxmlformats.org/officeDocument/2006/relationships/hyperlink" Target="https://drive.google.com/drive/u/0/folders/1doT61d7uUdsaBl-qjFiJLYvsZCDZBzMY" TargetMode="External"/><Relationship Id="rId17" Type="http://schemas.openxmlformats.org/officeDocument/2006/relationships/hyperlink" Target="https://drive.google.com/drive/folders/175QCPWKyc-e0CTe8559DILK2borN6FJf?usp=drive_link" TargetMode="External"/><Relationship Id="rId25" Type="http://schemas.openxmlformats.org/officeDocument/2006/relationships/hyperlink" Target="https://drive.google.com/drive/folders/1tPHZqNadbv0Ju6oC5J8Of5aCPIwL8hjh?usp=drive_link" TargetMode="External"/><Relationship Id="rId33" Type="http://schemas.openxmlformats.org/officeDocument/2006/relationships/hyperlink" Target="https://drive.google.com/file/d/1_NcXVEDyL5NI3qci8LOCmU7_0f30QrHw/view?usp=sharing" TargetMode="External"/><Relationship Id="rId38" Type="http://schemas.openxmlformats.org/officeDocument/2006/relationships/hyperlink" Target="https://drive.google.com/drive/folders/14D0SF1TnN_z4QWtqkPd6gzvj_8PIyo0u?usp=drive_link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AB9BD-C45A-43C7-AFBB-436E98144349}">
  <dimension ref="A1:AF82"/>
  <sheetViews>
    <sheetView workbookViewId="0">
      <selection activeCell="H74" sqref="H74"/>
    </sheetView>
  </sheetViews>
  <sheetFormatPr defaultColWidth="12.6640625" defaultRowHeight="13.2"/>
  <cols>
    <col min="1" max="1" width="15.44140625" customWidth="1"/>
    <col min="8" max="8" width="14" customWidth="1"/>
    <col min="9" max="9" width="5.44140625" customWidth="1"/>
    <col min="17" max="17" width="3" customWidth="1"/>
    <col min="25" max="25" width="3.33203125" customWidth="1"/>
  </cols>
  <sheetData>
    <row r="1" spans="1:25">
      <c r="A1" s="35" t="s">
        <v>0</v>
      </c>
    </row>
    <row r="2" spans="1:25" ht="13.8">
      <c r="A2" s="35" t="s">
        <v>1</v>
      </c>
      <c r="Q2" s="1"/>
      <c r="Y2" s="1"/>
    </row>
    <row r="3" spans="1:25" ht="13.8">
      <c r="A3" s="26" t="s">
        <v>5</v>
      </c>
      <c r="B3" s="26" t="s">
        <v>6</v>
      </c>
      <c r="C3" s="26" t="s">
        <v>7</v>
      </c>
      <c r="D3" s="26" t="s">
        <v>8</v>
      </c>
      <c r="E3" s="26" t="s">
        <v>9</v>
      </c>
      <c r="F3" s="26" t="s">
        <v>10</v>
      </c>
      <c r="G3" s="26" t="s">
        <v>11</v>
      </c>
      <c r="H3" s="26" t="s">
        <v>12</v>
      </c>
      <c r="Q3" s="1"/>
      <c r="Y3" s="1"/>
    </row>
    <row r="4" spans="1:25" ht="13.8">
      <c r="A4" s="16" t="s">
        <v>14</v>
      </c>
      <c r="B4" s="16">
        <v>15.290000000000001</v>
      </c>
      <c r="C4" s="16">
        <v>3.3400000000000003</v>
      </c>
      <c r="D4" s="16">
        <v>3.78</v>
      </c>
      <c r="E4" s="16">
        <v>1.32</v>
      </c>
      <c r="F4" s="16">
        <v>2.08</v>
      </c>
      <c r="G4" s="16">
        <v>36.75</v>
      </c>
      <c r="H4" s="16">
        <v>36.049999999999997</v>
      </c>
      <c r="Q4" s="1"/>
      <c r="Y4" s="1"/>
    </row>
    <row r="5" spans="1:25" ht="13.8">
      <c r="A5" s="16" t="s">
        <v>15</v>
      </c>
      <c r="B5" s="16">
        <v>14.200000000000001</v>
      </c>
      <c r="C5" s="16">
        <v>2.8400000000000003</v>
      </c>
      <c r="D5" s="16">
        <v>2.83</v>
      </c>
      <c r="E5" s="16">
        <v>1.31</v>
      </c>
      <c r="F5" s="16">
        <v>1.85</v>
      </c>
      <c r="G5" s="16">
        <v>26.75</v>
      </c>
      <c r="H5" s="16">
        <v>26.75</v>
      </c>
      <c r="Q5" s="1"/>
      <c r="Y5" s="1"/>
    </row>
    <row r="6" spans="1:25" ht="13.8">
      <c r="A6" s="16" t="s">
        <v>16</v>
      </c>
      <c r="B6" s="16">
        <v>12.610000000000001</v>
      </c>
      <c r="C6" s="16">
        <v>1.5400000000000003</v>
      </c>
      <c r="D6" s="16">
        <v>2.669999999999999</v>
      </c>
      <c r="E6" s="16">
        <v>1.6300000000000001</v>
      </c>
      <c r="F6" s="16">
        <v>1.18</v>
      </c>
      <c r="G6" s="16">
        <v>25.75</v>
      </c>
      <c r="H6" s="16">
        <v>25.08</v>
      </c>
      <c r="Q6" s="1"/>
      <c r="Y6" s="1"/>
    </row>
    <row r="7" spans="1:25" ht="13.8">
      <c r="A7" s="16" t="s">
        <v>17</v>
      </c>
      <c r="B7" s="16">
        <v>2.9</v>
      </c>
      <c r="C7" s="16">
        <v>0.64</v>
      </c>
      <c r="D7" s="16">
        <v>0.55000000000000004</v>
      </c>
      <c r="E7" s="16">
        <v>0</v>
      </c>
      <c r="F7" s="16">
        <v>0.02</v>
      </c>
      <c r="G7" s="16">
        <v>6</v>
      </c>
      <c r="H7" s="16">
        <v>5</v>
      </c>
      <c r="Q7" s="1"/>
      <c r="Y7" s="1"/>
    </row>
    <row r="8" spans="1:25" ht="13.8">
      <c r="A8" s="16" t="s">
        <v>18</v>
      </c>
      <c r="B8" s="16">
        <v>3.31</v>
      </c>
      <c r="C8" s="16">
        <v>0.83000000000000007</v>
      </c>
      <c r="D8" s="16">
        <v>0.77</v>
      </c>
      <c r="E8" s="16">
        <v>0.56999999999999995</v>
      </c>
      <c r="F8" s="16">
        <v>0.4</v>
      </c>
      <c r="G8" s="16">
        <v>8</v>
      </c>
      <c r="H8" s="16">
        <v>6.67</v>
      </c>
      <c r="Q8" s="1"/>
      <c r="Y8" s="1"/>
    </row>
    <row r="9" spans="1:25" ht="13.8">
      <c r="A9" s="16" t="s">
        <v>19</v>
      </c>
      <c r="B9" s="16">
        <v>3.3600000000000003</v>
      </c>
      <c r="C9" s="16">
        <v>0.81</v>
      </c>
      <c r="D9" s="16">
        <v>0.8</v>
      </c>
      <c r="E9" s="16">
        <v>0.40999999999999992</v>
      </c>
      <c r="F9" s="16">
        <v>0.4</v>
      </c>
      <c r="G9" s="16">
        <v>7.25</v>
      </c>
      <c r="H9" s="16">
        <v>7.25</v>
      </c>
      <c r="Q9" s="1"/>
      <c r="Y9" s="1"/>
    </row>
    <row r="10" spans="1:25" ht="13.8">
      <c r="A10" s="16" t="s">
        <v>20</v>
      </c>
      <c r="B10" s="16">
        <v>9.5799999999999983</v>
      </c>
      <c r="C10" s="16">
        <v>2.13</v>
      </c>
      <c r="D10" s="16">
        <v>2.14</v>
      </c>
      <c r="E10" s="16">
        <v>1.03</v>
      </c>
      <c r="F10" s="16">
        <v>1.06</v>
      </c>
      <c r="G10" s="16">
        <v>16.149999999999999</v>
      </c>
      <c r="H10" s="16">
        <v>15.82</v>
      </c>
      <c r="Q10" s="1"/>
      <c r="Y10" s="1"/>
    </row>
    <row r="11" spans="1:25">
      <c r="A11" s="16" t="s">
        <v>21</v>
      </c>
      <c r="B11" s="16">
        <v>6.7399999999999993</v>
      </c>
      <c r="C11" s="16">
        <v>1.9600000000000002</v>
      </c>
      <c r="D11" s="16">
        <v>1.8200000000000003</v>
      </c>
      <c r="E11" s="16">
        <v>1.02</v>
      </c>
      <c r="F11" s="16">
        <v>1.07</v>
      </c>
      <c r="G11" s="16">
        <v>16.740000000000002</v>
      </c>
      <c r="H11" s="16">
        <v>16.740000000000002</v>
      </c>
    </row>
    <row r="12" spans="1:25">
      <c r="A12" s="16" t="s">
        <v>22</v>
      </c>
      <c r="B12" s="16">
        <v>5.3</v>
      </c>
      <c r="C12" s="16">
        <v>1.5200000000000002</v>
      </c>
      <c r="D12" s="16">
        <v>1.6999999999999997</v>
      </c>
      <c r="E12" s="16">
        <v>0.8600000000000001</v>
      </c>
      <c r="F12" s="16">
        <v>0.77</v>
      </c>
      <c r="G12" s="16">
        <v>13.83</v>
      </c>
      <c r="H12" s="16">
        <v>12.33</v>
      </c>
    </row>
    <row r="13" spans="1:25">
      <c r="A13" s="16" t="s">
        <v>23</v>
      </c>
      <c r="B13" s="16">
        <v>9.9499999999999993</v>
      </c>
      <c r="C13" s="16">
        <v>0.67999999999999994</v>
      </c>
      <c r="D13" s="16">
        <v>1.0900000000000001</v>
      </c>
      <c r="E13" s="16">
        <v>3.34</v>
      </c>
      <c r="F13" s="16">
        <v>0.82</v>
      </c>
      <c r="G13" s="16">
        <v>10</v>
      </c>
      <c r="H13" s="16">
        <v>9.67</v>
      </c>
    </row>
    <row r="14" spans="1:25">
      <c r="A14" s="16" t="s">
        <v>24</v>
      </c>
      <c r="B14" s="16">
        <v>11.13</v>
      </c>
      <c r="C14" s="16">
        <v>0.87</v>
      </c>
      <c r="D14" s="16">
        <v>0.55000000000000004</v>
      </c>
      <c r="E14" s="16">
        <v>0.6</v>
      </c>
      <c r="F14" s="16">
        <v>0.6</v>
      </c>
      <c r="G14" s="16">
        <v>8.92</v>
      </c>
      <c r="H14" s="16">
        <v>8.92</v>
      </c>
    </row>
    <row r="15" spans="1:25">
      <c r="A15" s="16" t="s">
        <v>25</v>
      </c>
      <c r="B15" s="16">
        <v>1.4300000000000004</v>
      </c>
      <c r="C15" s="16">
        <v>0.51</v>
      </c>
      <c r="D15" s="16">
        <v>1.1499999999999999</v>
      </c>
      <c r="E15" s="16">
        <v>0.41</v>
      </c>
      <c r="F15" s="16">
        <v>0.47000000000000008</v>
      </c>
      <c r="G15" s="16">
        <v>7</v>
      </c>
      <c r="H15" s="16">
        <v>7</v>
      </c>
    </row>
    <row r="16" spans="1:25">
      <c r="A16" s="16" t="s">
        <v>26</v>
      </c>
      <c r="B16" s="16">
        <f t="shared" ref="B16:H16" si="0">SUM(B4:B15)</f>
        <v>95.8</v>
      </c>
      <c r="C16" s="16">
        <f t="shared" si="0"/>
        <v>17.670000000000005</v>
      </c>
      <c r="D16" s="16">
        <f t="shared" si="0"/>
        <v>19.849999999999998</v>
      </c>
      <c r="E16" s="16">
        <f t="shared" si="0"/>
        <v>12.5</v>
      </c>
      <c r="F16" s="16">
        <f t="shared" si="0"/>
        <v>10.72</v>
      </c>
      <c r="G16" s="16">
        <f t="shared" si="0"/>
        <v>183.14000000000001</v>
      </c>
      <c r="H16" s="16">
        <f t="shared" si="0"/>
        <v>177.28</v>
      </c>
    </row>
    <row r="17" spans="1:32" ht="13.8">
      <c r="Z17" s="1"/>
      <c r="AA17" s="1"/>
      <c r="AB17" s="1"/>
      <c r="AC17" s="1"/>
      <c r="AD17" s="1"/>
      <c r="AE17" s="1"/>
      <c r="AF17" s="1"/>
    </row>
    <row r="18" spans="1:32" ht="13.8">
      <c r="A18" s="35" t="s">
        <v>2</v>
      </c>
      <c r="B18" s="35"/>
      <c r="C18" s="35"/>
      <c r="Z18" s="1"/>
      <c r="AA18" s="1"/>
      <c r="AB18" s="1"/>
      <c r="AC18" s="1"/>
      <c r="AD18" s="1"/>
      <c r="AE18" s="1"/>
      <c r="AF18" s="1"/>
    </row>
    <row r="19" spans="1:32" ht="13.8">
      <c r="A19" s="26" t="s">
        <v>5</v>
      </c>
      <c r="B19" s="26" t="s">
        <v>6</v>
      </c>
      <c r="C19" s="26" t="s">
        <v>7</v>
      </c>
      <c r="D19" s="26" t="s">
        <v>8</v>
      </c>
      <c r="E19" s="26" t="s">
        <v>9</v>
      </c>
      <c r="F19" s="26" t="s">
        <v>10</v>
      </c>
      <c r="G19" s="26" t="s">
        <v>13</v>
      </c>
      <c r="H19" s="46" t="s">
        <v>12</v>
      </c>
      <c r="Z19" s="1"/>
      <c r="AA19" s="1"/>
      <c r="AB19" s="1"/>
      <c r="AC19" s="1"/>
      <c r="AD19" s="1"/>
      <c r="AE19" s="1"/>
      <c r="AF19" s="1"/>
    </row>
    <row r="20" spans="1:32" ht="13.8">
      <c r="A20" s="16" t="s">
        <v>14</v>
      </c>
      <c r="B20" s="16">
        <v>20.696999999999999</v>
      </c>
      <c r="C20" s="16">
        <v>4.4160000000000004</v>
      </c>
      <c r="D20" s="16">
        <v>3.6940000000000004</v>
      </c>
      <c r="E20" s="16">
        <v>2.67</v>
      </c>
      <c r="F20" s="16">
        <v>1.637</v>
      </c>
      <c r="G20" s="16">
        <v>33</v>
      </c>
      <c r="H20" s="16">
        <v>37</v>
      </c>
      <c r="Z20" s="1"/>
      <c r="AA20" s="1"/>
      <c r="AB20" s="1"/>
      <c r="AC20" s="1"/>
      <c r="AD20" s="1"/>
      <c r="AE20" s="1"/>
      <c r="AF20" s="1"/>
    </row>
    <row r="21" spans="1:32" ht="13.8">
      <c r="A21" s="16" t="s">
        <v>15</v>
      </c>
      <c r="B21" s="16">
        <v>12.916</v>
      </c>
      <c r="C21" s="16">
        <v>2.419</v>
      </c>
      <c r="D21" s="16">
        <v>1.6800000000000004</v>
      </c>
      <c r="E21" s="16">
        <v>0.33</v>
      </c>
      <c r="F21" s="16">
        <v>0.60000000000000009</v>
      </c>
      <c r="G21" s="16">
        <v>20</v>
      </c>
      <c r="H21" s="16">
        <v>20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ht="13.8">
      <c r="A22" s="16" t="s">
        <v>16</v>
      </c>
      <c r="B22" s="16">
        <v>12.976000000000001</v>
      </c>
      <c r="C22" s="16">
        <v>0.37</v>
      </c>
      <c r="D22" s="16">
        <v>2.4800000000000004</v>
      </c>
      <c r="E22" s="16">
        <v>1.9800000000000002</v>
      </c>
      <c r="F22" s="16">
        <v>1.2999999999999998</v>
      </c>
      <c r="G22" s="16">
        <v>19</v>
      </c>
      <c r="H22" s="16">
        <v>25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ht="13.8">
      <c r="A23" s="16" t="s">
        <v>17</v>
      </c>
      <c r="B23" s="16">
        <v>1.5</v>
      </c>
      <c r="C23" s="16">
        <v>0.51</v>
      </c>
      <c r="D23" s="16">
        <v>0.65</v>
      </c>
      <c r="E23" s="16">
        <v>0</v>
      </c>
      <c r="F23" s="16">
        <v>0</v>
      </c>
      <c r="G23" s="16">
        <v>5</v>
      </c>
      <c r="H23" s="16">
        <v>4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ht="13.8">
      <c r="A24" s="16" t="s">
        <v>18</v>
      </c>
      <c r="B24" s="16">
        <v>2.75</v>
      </c>
      <c r="C24" s="16">
        <v>0.17199999999999999</v>
      </c>
      <c r="D24" s="16">
        <v>0.3</v>
      </c>
      <c r="E24" s="16">
        <v>0.66</v>
      </c>
      <c r="F24" s="16">
        <v>0</v>
      </c>
      <c r="G24" s="16">
        <v>5</v>
      </c>
      <c r="H24" s="16">
        <v>9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ht="13.8">
      <c r="A25" s="16" t="s">
        <v>19</v>
      </c>
      <c r="B25" s="16">
        <v>2.25</v>
      </c>
      <c r="C25" s="16">
        <v>0</v>
      </c>
      <c r="D25" s="16">
        <v>0.3</v>
      </c>
      <c r="E25" s="16">
        <v>0.33</v>
      </c>
      <c r="F25" s="16">
        <v>0</v>
      </c>
      <c r="G25" s="16">
        <v>3.5</v>
      </c>
      <c r="H25" s="16">
        <v>7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ht="13.8">
      <c r="A26" s="16" t="s">
        <v>20</v>
      </c>
      <c r="B26" s="16">
        <v>5.1660000000000004</v>
      </c>
      <c r="C26" s="16">
        <v>0</v>
      </c>
      <c r="D26" s="16">
        <v>0.6</v>
      </c>
      <c r="E26" s="16">
        <v>0.66</v>
      </c>
      <c r="F26" s="16">
        <v>2.9000000000000001E-2</v>
      </c>
      <c r="G26" s="16">
        <v>6</v>
      </c>
      <c r="H26" s="16">
        <v>8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3.8">
      <c r="A27" s="16" t="s">
        <v>21</v>
      </c>
      <c r="B27" s="16">
        <v>3.75</v>
      </c>
      <c r="C27" s="16">
        <v>0.84000000000000008</v>
      </c>
      <c r="D27" s="16">
        <v>0.3</v>
      </c>
      <c r="E27" s="16">
        <v>0</v>
      </c>
      <c r="F27" s="16">
        <v>0.95</v>
      </c>
      <c r="G27" s="16">
        <v>11</v>
      </c>
      <c r="H27" s="16">
        <v>7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3.8">
      <c r="A28" s="16" t="s">
        <v>22</v>
      </c>
      <c r="B28" s="16">
        <v>2.58</v>
      </c>
      <c r="C28" s="16">
        <v>0.53</v>
      </c>
      <c r="D28" s="16">
        <v>1</v>
      </c>
      <c r="E28" s="16">
        <v>0.99</v>
      </c>
      <c r="F28" s="16">
        <v>0.38700000000000001</v>
      </c>
      <c r="G28" s="16">
        <v>7.83</v>
      </c>
      <c r="H28" s="16">
        <v>13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3.8">
      <c r="A29" s="16" t="s">
        <v>23</v>
      </c>
      <c r="B29" s="16">
        <v>11.28</v>
      </c>
      <c r="C29" s="16">
        <v>0.67999999999999994</v>
      </c>
      <c r="D29" s="16">
        <v>1.32</v>
      </c>
      <c r="E29" s="16">
        <v>3.9800000000000004</v>
      </c>
      <c r="F29" s="16">
        <v>0.67599999999999993</v>
      </c>
      <c r="G29" s="16">
        <v>9</v>
      </c>
      <c r="H29" s="16">
        <v>11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3.8">
      <c r="A30" s="16" t="s">
        <v>24</v>
      </c>
      <c r="B30" s="16">
        <v>4.5</v>
      </c>
      <c r="C30" s="16">
        <v>0.56000000000000005</v>
      </c>
      <c r="D30" s="16">
        <v>0.1</v>
      </c>
      <c r="E30" s="16">
        <v>0</v>
      </c>
      <c r="F30" s="16">
        <v>0</v>
      </c>
      <c r="G30" s="16">
        <v>1.5</v>
      </c>
      <c r="H30" s="16">
        <v>0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3.8">
      <c r="A31" s="16" t="s">
        <v>25</v>
      </c>
      <c r="B31" s="16">
        <v>1</v>
      </c>
      <c r="C31" s="16">
        <v>0</v>
      </c>
      <c r="D31" s="16">
        <v>0.90000000000000013</v>
      </c>
      <c r="E31" s="16">
        <v>0.66</v>
      </c>
      <c r="F31" s="16">
        <v>0.08</v>
      </c>
      <c r="G31" s="16">
        <v>2</v>
      </c>
      <c r="H31" s="16">
        <v>5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3.8">
      <c r="A32" s="16" t="s">
        <v>26</v>
      </c>
      <c r="B32" s="16">
        <f t="shared" ref="B32:H32" si="1">SUM(B20:B31)</f>
        <v>81.364999999999995</v>
      </c>
      <c r="C32" s="16">
        <f t="shared" si="1"/>
        <v>10.497</v>
      </c>
      <c r="D32" s="16">
        <f t="shared" si="1"/>
        <v>13.324000000000003</v>
      </c>
      <c r="E32" s="16">
        <f t="shared" si="1"/>
        <v>12.260000000000002</v>
      </c>
      <c r="F32" s="16">
        <f t="shared" si="1"/>
        <v>5.6590000000000007</v>
      </c>
      <c r="G32" s="16">
        <f t="shared" si="1"/>
        <v>122.83</v>
      </c>
      <c r="H32" s="16">
        <f t="shared" si="1"/>
        <v>146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4" spans="1:8">
      <c r="A34" s="35" t="s">
        <v>3</v>
      </c>
      <c r="B34" s="35"/>
      <c r="C34" s="35"/>
    </row>
    <row r="35" spans="1:8" ht="15.6">
      <c r="A35" s="24" t="s">
        <v>5</v>
      </c>
      <c r="B35" s="18" t="s">
        <v>6</v>
      </c>
      <c r="C35" s="2" t="s">
        <v>7</v>
      </c>
      <c r="D35" s="2" t="s">
        <v>8</v>
      </c>
      <c r="E35" s="2" t="s">
        <v>9</v>
      </c>
      <c r="F35" s="2" t="s">
        <v>10</v>
      </c>
      <c r="G35" s="2" t="s">
        <v>13</v>
      </c>
      <c r="H35" s="47" t="s">
        <v>12</v>
      </c>
    </row>
    <row r="36" spans="1:8" ht="15.6">
      <c r="A36" s="25" t="s">
        <v>14</v>
      </c>
      <c r="B36" s="19">
        <f t="shared" ref="B36:H38" si="2">(B20/B4)*100</f>
        <v>135.36298234139957</v>
      </c>
      <c r="C36" s="3">
        <f t="shared" si="2"/>
        <v>132.21556886227546</v>
      </c>
      <c r="D36" s="4">
        <f t="shared" si="2"/>
        <v>97.724867724867735</v>
      </c>
      <c r="E36" s="3">
        <f t="shared" si="2"/>
        <v>202.27272727272725</v>
      </c>
      <c r="F36" s="5">
        <f t="shared" si="2"/>
        <v>78.70192307692308</v>
      </c>
      <c r="G36" s="4">
        <f t="shared" si="2"/>
        <v>89.795918367346943</v>
      </c>
      <c r="H36" s="3">
        <f t="shared" si="2"/>
        <v>102.63522884882109</v>
      </c>
    </row>
    <row r="37" spans="1:8" ht="15.6">
      <c r="A37" s="25" t="s">
        <v>15</v>
      </c>
      <c r="B37" s="20">
        <f t="shared" si="2"/>
        <v>90.957746478873233</v>
      </c>
      <c r="C37" s="4">
        <f t="shared" si="2"/>
        <v>85.176056338028161</v>
      </c>
      <c r="D37" s="5">
        <f t="shared" si="2"/>
        <v>59.363957597173155</v>
      </c>
      <c r="E37" s="6">
        <f t="shared" si="2"/>
        <v>25.190839694656486</v>
      </c>
      <c r="F37" s="6">
        <f t="shared" si="2"/>
        <v>32.432432432432435</v>
      </c>
      <c r="G37" s="5">
        <f t="shared" si="2"/>
        <v>74.766355140186917</v>
      </c>
      <c r="H37" s="5">
        <f t="shared" si="2"/>
        <v>74.766355140186917</v>
      </c>
    </row>
    <row r="38" spans="1:8" ht="15.6">
      <c r="A38" s="25" t="s">
        <v>16</v>
      </c>
      <c r="B38" s="19">
        <f t="shared" si="2"/>
        <v>102.90245836637588</v>
      </c>
      <c r="C38" s="6">
        <f t="shared" si="2"/>
        <v>24.025974025974023</v>
      </c>
      <c r="D38" s="4">
        <f t="shared" si="2"/>
        <v>92.883895131086192</v>
      </c>
      <c r="E38" s="3">
        <f t="shared" si="2"/>
        <v>121.47239263803682</v>
      </c>
      <c r="F38" s="3">
        <f t="shared" si="2"/>
        <v>110.16949152542372</v>
      </c>
      <c r="G38" s="5">
        <f t="shared" si="2"/>
        <v>73.786407766990294</v>
      </c>
      <c r="H38" s="3">
        <f t="shared" si="2"/>
        <v>99.681020733652318</v>
      </c>
    </row>
    <row r="39" spans="1:8" ht="15.6">
      <c r="A39" s="25" t="s">
        <v>17</v>
      </c>
      <c r="B39" s="21">
        <f t="shared" ref="B39:D47" si="3">(B23/B7)*100</f>
        <v>51.724137931034484</v>
      </c>
      <c r="C39" s="4">
        <f t="shared" si="3"/>
        <v>79.6875</v>
      </c>
      <c r="D39" s="3">
        <f t="shared" si="3"/>
        <v>118.18181818181816</v>
      </c>
      <c r="E39" s="7">
        <v>0</v>
      </c>
      <c r="F39" s="8">
        <f t="shared" ref="F39:H47" si="4">(F23/F7)*100</f>
        <v>0</v>
      </c>
      <c r="G39" s="4">
        <f t="shared" si="4"/>
        <v>83.333333333333343</v>
      </c>
      <c r="H39" s="4">
        <f t="shared" si="4"/>
        <v>80</v>
      </c>
    </row>
    <row r="40" spans="1:8" ht="15.6">
      <c r="A40" s="25" t="s">
        <v>18</v>
      </c>
      <c r="B40" s="20">
        <f t="shared" si="3"/>
        <v>83.081570996978854</v>
      </c>
      <c r="C40" s="6">
        <f t="shared" si="3"/>
        <v>20.722891566265055</v>
      </c>
      <c r="D40" s="6">
        <f t="shared" si="3"/>
        <v>38.961038961038959</v>
      </c>
      <c r="E40" s="3">
        <f t="shared" ref="E40:E47" si="5">(E24/E8)*100</f>
        <v>115.78947368421053</v>
      </c>
      <c r="F40" s="8">
        <f t="shared" si="4"/>
        <v>0</v>
      </c>
      <c r="G40" s="5">
        <f t="shared" si="4"/>
        <v>62.5</v>
      </c>
      <c r="H40" s="3">
        <f t="shared" si="4"/>
        <v>134.93253373313343</v>
      </c>
    </row>
    <row r="41" spans="1:8" ht="15.6">
      <c r="A41" s="25" t="s">
        <v>19</v>
      </c>
      <c r="B41" s="21">
        <f t="shared" si="3"/>
        <v>66.964285714285708</v>
      </c>
      <c r="C41" s="8">
        <f t="shared" si="3"/>
        <v>0</v>
      </c>
      <c r="D41" s="6">
        <f t="shared" si="3"/>
        <v>37.499999999999993</v>
      </c>
      <c r="E41" s="4">
        <f t="shared" si="5"/>
        <v>80.487804878048792</v>
      </c>
      <c r="F41" s="8">
        <f t="shared" si="4"/>
        <v>0</v>
      </c>
      <c r="G41" s="6">
        <f t="shared" si="4"/>
        <v>48.275862068965516</v>
      </c>
      <c r="H41" s="4">
        <f t="shared" si="4"/>
        <v>96.551724137931032</v>
      </c>
    </row>
    <row r="42" spans="1:8" ht="15.6">
      <c r="A42" s="25" t="s">
        <v>20</v>
      </c>
      <c r="B42" s="21">
        <f t="shared" si="3"/>
        <v>53.924843423799594</v>
      </c>
      <c r="C42" s="8">
        <f t="shared" si="3"/>
        <v>0</v>
      </c>
      <c r="D42" s="6">
        <f t="shared" si="3"/>
        <v>28.037383177570092</v>
      </c>
      <c r="E42" s="5">
        <f t="shared" si="5"/>
        <v>64.077669902912632</v>
      </c>
      <c r="F42" s="8">
        <f t="shared" si="4"/>
        <v>2.7358490566037736</v>
      </c>
      <c r="G42" s="6">
        <f t="shared" si="4"/>
        <v>37.151702786377712</v>
      </c>
      <c r="H42" s="5">
        <f t="shared" si="4"/>
        <v>50.568900126422243</v>
      </c>
    </row>
    <row r="43" spans="1:8" ht="15.6">
      <c r="A43" s="25" t="s">
        <v>21</v>
      </c>
      <c r="B43" s="21">
        <f t="shared" si="3"/>
        <v>55.637982195845701</v>
      </c>
      <c r="C43" s="6">
        <f t="shared" si="3"/>
        <v>42.857142857142854</v>
      </c>
      <c r="D43" s="8">
        <f t="shared" si="3"/>
        <v>16.483516483516482</v>
      </c>
      <c r="E43" s="8">
        <f t="shared" si="5"/>
        <v>0</v>
      </c>
      <c r="F43" s="4">
        <f t="shared" si="4"/>
        <v>88.785046728971949</v>
      </c>
      <c r="G43" s="5">
        <f t="shared" si="4"/>
        <v>65.71087216248506</v>
      </c>
      <c r="H43" s="6">
        <f t="shared" si="4"/>
        <v>41.816009557945037</v>
      </c>
    </row>
    <row r="44" spans="1:8" ht="15.6">
      <c r="A44" s="25" t="s">
        <v>22</v>
      </c>
      <c r="B44" s="22">
        <f t="shared" si="3"/>
        <v>48.679245283018865</v>
      </c>
      <c r="C44" s="6">
        <f t="shared" si="3"/>
        <v>34.868421052631575</v>
      </c>
      <c r="D44" s="5">
        <f t="shared" si="3"/>
        <v>58.823529411764717</v>
      </c>
      <c r="E44" s="3">
        <f t="shared" si="5"/>
        <v>115.11627906976743</v>
      </c>
      <c r="F44" s="5">
        <f t="shared" si="4"/>
        <v>50.259740259740262</v>
      </c>
      <c r="G44" s="5">
        <f t="shared" si="4"/>
        <v>56.61605206073753</v>
      </c>
      <c r="H44" s="3">
        <f t="shared" si="4"/>
        <v>105.433901054339</v>
      </c>
    </row>
    <row r="45" spans="1:8" ht="15.6">
      <c r="A45" s="25" t="s">
        <v>23</v>
      </c>
      <c r="B45" s="19">
        <f t="shared" si="3"/>
        <v>113.36683417085428</v>
      </c>
      <c r="C45" s="3">
        <f t="shared" si="3"/>
        <v>100</v>
      </c>
      <c r="D45" s="3">
        <f t="shared" si="3"/>
        <v>121.10091743119267</v>
      </c>
      <c r="E45" s="3">
        <f t="shared" si="5"/>
        <v>119.16167664670661</v>
      </c>
      <c r="F45" s="4">
        <f t="shared" si="4"/>
        <v>82.439024390243901</v>
      </c>
      <c r="G45" s="4">
        <f t="shared" si="4"/>
        <v>90</v>
      </c>
      <c r="H45" s="3">
        <f t="shared" si="4"/>
        <v>113.75387797311272</v>
      </c>
    </row>
    <row r="46" spans="1:8" ht="15.6">
      <c r="A46" s="25" t="s">
        <v>24</v>
      </c>
      <c r="B46" s="22">
        <f t="shared" si="3"/>
        <v>40.431266846361183</v>
      </c>
      <c r="C46" s="5">
        <f t="shared" si="3"/>
        <v>64.36781609195404</v>
      </c>
      <c r="D46" s="8">
        <f t="shared" si="3"/>
        <v>18.181818181818183</v>
      </c>
      <c r="E46" s="8">
        <f t="shared" si="5"/>
        <v>0</v>
      </c>
      <c r="F46" s="8">
        <f t="shared" si="4"/>
        <v>0</v>
      </c>
      <c r="G46" s="8">
        <f t="shared" si="4"/>
        <v>16.816143497757849</v>
      </c>
      <c r="H46" s="8">
        <f t="shared" si="4"/>
        <v>0</v>
      </c>
    </row>
    <row r="47" spans="1:8" ht="15.6">
      <c r="A47" s="25" t="s">
        <v>25</v>
      </c>
      <c r="B47" s="23">
        <f t="shared" si="3"/>
        <v>69.930069930069919</v>
      </c>
      <c r="C47" s="10">
        <f t="shared" si="3"/>
        <v>0</v>
      </c>
      <c r="D47" s="9">
        <f t="shared" si="3"/>
        <v>78.260869565217405</v>
      </c>
      <c r="E47" s="11">
        <f t="shared" si="5"/>
        <v>160.97560975609758</v>
      </c>
      <c r="F47" s="10">
        <f t="shared" si="4"/>
        <v>17.021276595744677</v>
      </c>
      <c r="G47" s="12">
        <f t="shared" si="4"/>
        <v>28.571428571428569</v>
      </c>
      <c r="H47" s="9">
        <f t="shared" si="4"/>
        <v>71.428571428571431</v>
      </c>
    </row>
    <row r="48" spans="1:8" ht="15.6">
      <c r="A48" s="25" t="s">
        <v>26</v>
      </c>
      <c r="B48" s="17">
        <f>SUM(B36:B47)</f>
        <v>912.96342367889724</v>
      </c>
      <c r="C48" s="17">
        <f t="shared" ref="C48:H48" si="6">SUM(C36:C47)</f>
        <v>583.92137079427118</v>
      </c>
      <c r="D48" s="17">
        <f t="shared" si="6"/>
        <v>765.50361184706367</v>
      </c>
      <c r="E48" s="17">
        <f t="shared" si="6"/>
        <v>1004.5444735431641</v>
      </c>
      <c r="F48" s="17">
        <f t="shared" si="6"/>
        <v>462.54478406608382</v>
      </c>
      <c r="G48" s="17">
        <f t="shared" si="6"/>
        <v>727.32407575560967</v>
      </c>
      <c r="H48" s="17">
        <f t="shared" si="6"/>
        <v>971.56812273411515</v>
      </c>
    </row>
    <row r="50" spans="1:8">
      <c r="A50" s="35" t="s">
        <v>4</v>
      </c>
      <c r="B50" s="35"/>
      <c r="C50" s="35"/>
      <c r="D50" s="16"/>
      <c r="E50" s="16"/>
      <c r="F50" s="16"/>
      <c r="G50" s="16"/>
      <c r="H50" s="16"/>
    </row>
    <row r="51" spans="1:8">
      <c r="A51" s="26" t="s">
        <v>5</v>
      </c>
      <c r="B51" s="26" t="s">
        <v>6</v>
      </c>
      <c r="C51" s="26" t="s">
        <v>7</v>
      </c>
      <c r="D51" s="26" t="s">
        <v>8</v>
      </c>
      <c r="E51" s="26" t="s">
        <v>9</v>
      </c>
      <c r="F51" s="26" t="s">
        <v>10</v>
      </c>
      <c r="G51" s="26" t="s">
        <v>13</v>
      </c>
      <c r="H51" s="26" t="s">
        <v>12</v>
      </c>
    </row>
    <row r="52" spans="1:8">
      <c r="A52" s="16" t="s">
        <v>14</v>
      </c>
      <c r="B52" s="16">
        <f t="shared" ref="B52:H63" si="7">(B4-B20)</f>
        <v>-5.4069999999999983</v>
      </c>
      <c r="C52" s="16">
        <f t="shared" si="7"/>
        <v>-1.0760000000000001</v>
      </c>
      <c r="D52" s="16">
        <f t="shared" si="7"/>
        <v>8.599999999999941E-2</v>
      </c>
      <c r="E52" s="16">
        <f t="shared" si="7"/>
        <v>-1.3499999999999999</v>
      </c>
      <c r="F52" s="16">
        <f t="shared" si="7"/>
        <v>0.44300000000000006</v>
      </c>
      <c r="G52" s="16">
        <f t="shared" si="7"/>
        <v>3.75</v>
      </c>
      <c r="H52" s="16">
        <f t="shared" si="7"/>
        <v>-0.95000000000000284</v>
      </c>
    </row>
    <row r="53" spans="1:8">
      <c r="A53" s="16" t="s">
        <v>15</v>
      </c>
      <c r="B53" s="16">
        <f t="shared" si="7"/>
        <v>1.2840000000000007</v>
      </c>
      <c r="C53" s="16">
        <f t="shared" si="7"/>
        <v>0.42100000000000026</v>
      </c>
      <c r="D53" s="16">
        <f t="shared" si="7"/>
        <v>1.1499999999999997</v>
      </c>
      <c r="E53" s="16">
        <f t="shared" si="7"/>
        <v>0.98</v>
      </c>
      <c r="F53" s="16">
        <f t="shared" si="7"/>
        <v>1.25</v>
      </c>
      <c r="G53" s="16">
        <f t="shared" si="7"/>
        <v>6.75</v>
      </c>
      <c r="H53" s="16">
        <f t="shared" si="7"/>
        <v>6.75</v>
      </c>
    </row>
    <row r="54" spans="1:8">
      <c r="A54" s="16" t="s">
        <v>16</v>
      </c>
      <c r="B54" s="16">
        <f t="shared" si="7"/>
        <v>-0.36599999999999966</v>
      </c>
      <c r="C54" s="16">
        <f t="shared" si="7"/>
        <v>1.1700000000000004</v>
      </c>
      <c r="D54" s="16">
        <f t="shared" si="7"/>
        <v>0.18999999999999861</v>
      </c>
      <c r="E54" s="16">
        <f t="shared" si="7"/>
        <v>-0.35000000000000009</v>
      </c>
      <c r="F54" s="16">
        <f t="shared" si="7"/>
        <v>-0.11999999999999988</v>
      </c>
      <c r="G54" s="16">
        <f t="shared" si="7"/>
        <v>6.75</v>
      </c>
      <c r="H54" s="16">
        <f t="shared" si="7"/>
        <v>7.9999999999998295E-2</v>
      </c>
    </row>
    <row r="55" spans="1:8">
      <c r="A55" s="16" t="s">
        <v>17</v>
      </c>
      <c r="B55" s="16">
        <f t="shared" si="7"/>
        <v>1.4</v>
      </c>
      <c r="C55" s="16">
        <f t="shared" si="7"/>
        <v>0.13</v>
      </c>
      <c r="D55" s="16">
        <f t="shared" si="7"/>
        <v>-9.9999999999999978E-2</v>
      </c>
      <c r="E55" s="16">
        <f t="shared" si="7"/>
        <v>0</v>
      </c>
      <c r="F55" s="16">
        <f t="shared" si="7"/>
        <v>0.02</v>
      </c>
      <c r="G55" s="16">
        <f t="shared" si="7"/>
        <v>1</v>
      </c>
      <c r="H55" s="16">
        <f t="shared" si="7"/>
        <v>1</v>
      </c>
    </row>
    <row r="56" spans="1:8">
      <c r="A56" s="16" t="s">
        <v>18</v>
      </c>
      <c r="B56" s="16">
        <f t="shared" si="7"/>
        <v>0.56000000000000005</v>
      </c>
      <c r="C56" s="16">
        <f t="shared" si="7"/>
        <v>0.65800000000000014</v>
      </c>
      <c r="D56" s="16">
        <f t="shared" si="7"/>
        <v>0.47000000000000003</v>
      </c>
      <c r="E56" s="16">
        <f t="shared" si="7"/>
        <v>-9.000000000000008E-2</v>
      </c>
      <c r="F56" s="16">
        <f t="shared" si="7"/>
        <v>0.4</v>
      </c>
      <c r="G56" s="16">
        <f t="shared" si="7"/>
        <v>3</v>
      </c>
      <c r="H56" s="16">
        <f t="shared" si="7"/>
        <v>-2.33</v>
      </c>
    </row>
    <row r="57" spans="1:8">
      <c r="A57" s="16" t="s">
        <v>19</v>
      </c>
      <c r="B57" s="16">
        <f t="shared" si="7"/>
        <v>1.1100000000000003</v>
      </c>
      <c r="C57" s="16">
        <f t="shared" si="7"/>
        <v>0.81</v>
      </c>
      <c r="D57" s="16">
        <f t="shared" si="7"/>
        <v>0.5</v>
      </c>
      <c r="E57" s="16">
        <f t="shared" si="7"/>
        <v>7.9999999999999905E-2</v>
      </c>
      <c r="F57" s="16">
        <f t="shared" si="7"/>
        <v>0.4</v>
      </c>
      <c r="G57" s="16">
        <f t="shared" si="7"/>
        <v>3.75</v>
      </c>
      <c r="H57" s="16">
        <f t="shared" si="7"/>
        <v>0.25</v>
      </c>
    </row>
    <row r="58" spans="1:8">
      <c r="A58" s="16" t="s">
        <v>20</v>
      </c>
      <c r="B58" s="16">
        <f t="shared" si="7"/>
        <v>4.4139999999999979</v>
      </c>
      <c r="C58" s="16">
        <f t="shared" si="7"/>
        <v>2.13</v>
      </c>
      <c r="D58" s="16">
        <f t="shared" si="7"/>
        <v>1.54</v>
      </c>
      <c r="E58" s="16">
        <f t="shared" si="7"/>
        <v>0.37</v>
      </c>
      <c r="F58" s="16">
        <f t="shared" si="7"/>
        <v>1.0310000000000001</v>
      </c>
      <c r="G58" s="16">
        <f t="shared" si="7"/>
        <v>10.149999999999999</v>
      </c>
      <c r="H58" s="16">
        <f t="shared" si="7"/>
        <v>7.82</v>
      </c>
    </row>
    <row r="59" spans="1:8">
      <c r="A59" s="16" t="s">
        <v>21</v>
      </c>
      <c r="B59" s="16">
        <f t="shared" si="7"/>
        <v>2.9899999999999993</v>
      </c>
      <c r="C59" s="16">
        <f t="shared" si="7"/>
        <v>1.1200000000000001</v>
      </c>
      <c r="D59" s="16">
        <f t="shared" si="7"/>
        <v>1.5200000000000002</v>
      </c>
      <c r="E59" s="16">
        <f t="shared" si="7"/>
        <v>1.02</v>
      </c>
      <c r="F59" s="16">
        <f t="shared" si="7"/>
        <v>0.12000000000000011</v>
      </c>
      <c r="G59" s="16">
        <f t="shared" si="7"/>
        <v>5.740000000000002</v>
      </c>
      <c r="H59" s="16">
        <f t="shared" si="7"/>
        <v>9.740000000000002</v>
      </c>
    </row>
    <row r="60" spans="1:8">
      <c r="A60" s="16" t="s">
        <v>22</v>
      </c>
      <c r="B60" s="16">
        <f t="shared" si="7"/>
        <v>2.7199999999999998</v>
      </c>
      <c r="C60" s="16">
        <f t="shared" si="7"/>
        <v>0.99000000000000021</v>
      </c>
      <c r="D60" s="16">
        <f t="shared" si="7"/>
        <v>0.69999999999999973</v>
      </c>
      <c r="E60" s="16">
        <f t="shared" si="7"/>
        <v>-0.12999999999999989</v>
      </c>
      <c r="F60" s="16">
        <f t="shared" si="7"/>
        <v>0.38300000000000001</v>
      </c>
      <c r="G60" s="16">
        <f t="shared" si="7"/>
        <v>6</v>
      </c>
      <c r="H60" s="16">
        <f t="shared" si="7"/>
        <v>-0.66999999999999993</v>
      </c>
    </row>
    <row r="61" spans="1:8">
      <c r="A61" s="16" t="s">
        <v>23</v>
      </c>
      <c r="B61" s="16">
        <f t="shared" si="7"/>
        <v>-1.33</v>
      </c>
      <c r="C61" s="16">
        <f t="shared" si="7"/>
        <v>0</v>
      </c>
      <c r="D61" s="16">
        <f t="shared" si="7"/>
        <v>-0.22999999999999998</v>
      </c>
      <c r="E61" s="16">
        <f t="shared" si="7"/>
        <v>-0.64000000000000057</v>
      </c>
      <c r="F61" s="16">
        <f t="shared" si="7"/>
        <v>0.14400000000000002</v>
      </c>
      <c r="G61" s="16">
        <f t="shared" si="7"/>
        <v>1</v>
      </c>
      <c r="H61" s="16">
        <f t="shared" si="7"/>
        <v>-1.33</v>
      </c>
    </row>
    <row r="62" spans="1:8">
      <c r="A62" s="16" t="s">
        <v>24</v>
      </c>
      <c r="B62" s="16">
        <f t="shared" si="7"/>
        <v>6.6300000000000008</v>
      </c>
      <c r="C62" s="16">
        <f t="shared" si="7"/>
        <v>0.30999999999999994</v>
      </c>
      <c r="D62" s="16">
        <f t="shared" si="7"/>
        <v>0.45000000000000007</v>
      </c>
      <c r="E62" s="16">
        <f t="shared" si="7"/>
        <v>0.6</v>
      </c>
      <c r="F62" s="16">
        <f t="shared" si="7"/>
        <v>0.6</v>
      </c>
      <c r="G62" s="16">
        <f t="shared" si="7"/>
        <v>7.42</v>
      </c>
      <c r="H62" s="16">
        <f t="shared" si="7"/>
        <v>8.92</v>
      </c>
    </row>
    <row r="63" spans="1:8">
      <c r="A63" s="16" t="s">
        <v>25</v>
      </c>
      <c r="B63" s="16">
        <f t="shared" si="7"/>
        <v>0.43000000000000038</v>
      </c>
      <c r="C63" s="16">
        <f t="shared" si="7"/>
        <v>0.51</v>
      </c>
      <c r="D63" s="16">
        <f t="shared" si="7"/>
        <v>0.24999999999999978</v>
      </c>
      <c r="E63" s="16">
        <f t="shared" si="7"/>
        <v>-0.25000000000000006</v>
      </c>
      <c r="F63" s="16">
        <f t="shared" si="7"/>
        <v>0.39000000000000007</v>
      </c>
      <c r="G63" s="16">
        <f t="shared" si="7"/>
        <v>5</v>
      </c>
      <c r="H63" s="16">
        <f t="shared" si="7"/>
        <v>2</v>
      </c>
    </row>
    <row r="64" spans="1:8">
      <c r="A64" s="16" t="s">
        <v>26</v>
      </c>
      <c r="B64" s="16">
        <f t="shared" ref="B64:H64" si="8">SUM(B52:B63)</f>
        <v>14.435</v>
      </c>
      <c r="C64" s="16">
        <f t="shared" si="8"/>
        <v>7.173</v>
      </c>
      <c r="D64" s="16">
        <f t="shared" si="8"/>
        <v>6.5259999999999971</v>
      </c>
      <c r="E64" s="16">
        <f t="shared" si="8"/>
        <v>0.23999999999999927</v>
      </c>
      <c r="F64" s="16">
        <f t="shared" si="8"/>
        <v>5.0609999999999999</v>
      </c>
      <c r="G64" s="16">
        <f t="shared" si="8"/>
        <v>60.31</v>
      </c>
      <c r="H64" s="16">
        <f t="shared" si="8"/>
        <v>31.28</v>
      </c>
    </row>
    <row r="65" spans="1:17" ht="13.8">
      <c r="B65" s="1"/>
      <c r="C65" s="1"/>
      <c r="D65" s="1"/>
      <c r="E65" s="1"/>
      <c r="F65" s="1"/>
      <c r="G65" s="1"/>
      <c r="H65" s="1"/>
      <c r="I65" s="1"/>
    </row>
    <row r="66" spans="1:17" ht="13.8">
      <c r="A66" s="38" t="s">
        <v>27</v>
      </c>
      <c r="L66" s="1"/>
      <c r="Q66" s="1"/>
    </row>
    <row r="67" spans="1:17" ht="13.2" customHeight="1">
      <c r="A67" s="26" t="s">
        <v>6</v>
      </c>
      <c r="B67" s="26" t="s">
        <v>7</v>
      </c>
      <c r="C67" s="26" t="s">
        <v>8</v>
      </c>
      <c r="D67" s="26" t="s">
        <v>9</v>
      </c>
      <c r="E67" s="26" t="s">
        <v>10</v>
      </c>
      <c r="F67" s="26" t="s">
        <v>13</v>
      </c>
      <c r="G67" s="26" t="s">
        <v>12</v>
      </c>
      <c r="L67" s="1"/>
      <c r="Q67" s="1"/>
    </row>
    <row r="68" spans="1:17" ht="13.2" customHeight="1">
      <c r="A68" s="16">
        <v>95.8</v>
      </c>
      <c r="B68" s="16">
        <v>17.670000000000005</v>
      </c>
      <c r="C68" s="16">
        <v>19.849999999999998</v>
      </c>
      <c r="D68" s="16">
        <v>12.5</v>
      </c>
      <c r="E68" s="16">
        <v>10.72</v>
      </c>
      <c r="F68" s="16">
        <v>183.14000000000001</v>
      </c>
      <c r="G68" s="16">
        <v>177.28</v>
      </c>
      <c r="L68" s="1"/>
      <c r="Q68" s="1"/>
    </row>
    <row r="69" spans="1:17" ht="13.2" customHeight="1">
      <c r="A69" s="26" t="s">
        <v>29</v>
      </c>
      <c r="B69" s="16"/>
      <c r="C69" s="16"/>
      <c r="D69" s="16"/>
      <c r="E69" s="16"/>
      <c r="F69" s="16"/>
      <c r="G69" s="16"/>
      <c r="L69" s="1"/>
      <c r="Q69" s="1"/>
    </row>
    <row r="70" spans="1:17" ht="13.2" customHeight="1">
      <c r="A70" s="39" t="s">
        <v>6</v>
      </c>
      <c r="B70" s="40" t="s">
        <v>7</v>
      </c>
      <c r="C70" s="40" t="s">
        <v>8</v>
      </c>
      <c r="D70" s="40" t="s">
        <v>9</v>
      </c>
      <c r="E70" s="40" t="s">
        <v>10</v>
      </c>
      <c r="F70" s="40" t="s">
        <v>13</v>
      </c>
      <c r="G70" s="41" t="s">
        <v>12</v>
      </c>
      <c r="L70" s="1"/>
      <c r="Q70" s="1"/>
    </row>
    <row r="71" spans="1:17" ht="13.2" customHeight="1">
      <c r="A71" s="42">
        <v>81.364999999999995</v>
      </c>
      <c r="B71" s="42">
        <v>10.497</v>
      </c>
      <c r="C71" s="42">
        <v>13.324000000000003</v>
      </c>
      <c r="D71" s="42">
        <v>12.260000000000002</v>
      </c>
      <c r="E71" s="42">
        <v>5.6590000000000007</v>
      </c>
      <c r="F71" s="42">
        <v>122.83</v>
      </c>
      <c r="G71" s="42">
        <v>146</v>
      </c>
      <c r="L71" s="1"/>
      <c r="Q71" s="1"/>
    </row>
    <row r="72" spans="1:17" ht="13.2" customHeight="1">
      <c r="A72" s="42" t="s">
        <v>30</v>
      </c>
      <c r="B72" s="42" t="s">
        <v>31</v>
      </c>
      <c r="C72" s="42" t="s">
        <v>32</v>
      </c>
      <c r="D72" s="42" t="s">
        <v>33</v>
      </c>
      <c r="E72" s="42" t="s">
        <v>34</v>
      </c>
      <c r="F72" s="42" t="s">
        <v>35</v>
      </c>
      <c r="G72" s="42">
        <v>146</v>
      </c>
    </row>
    <row r="73" spans="1:17" ht="13.2" customHeight="1">
      <c r="A73" s="26" t="s">
        <v>36</v>
      </c>
      <c r="B73" s="16"/>
      <c r="C73" s="16"/>
      <c r="D73" s="16"/>
      <c r="E73" s="16"/>
      <c r="F73" s="16"/>
      <c r="G73" s="16"/>
    </row>
    <row r="74" spans="1:17" ht="13.2" customHeight="1">
      <c r="A74" s="39" t="s">
        <v>6</v>
      </c>
      <c r="B74" s="40" t="s">
        <v>7</v>
      </c>
      <c r="C74" s="40" t="s">
        <v>8</v>
      </c>
      <c r="D74" s="40" t="s">
        <v>9</v>
      </c>
      <c r="E74" s="40" t="s">
        <v>10</v>
      </c>
      <c r="F74" s="40" t="s">
        <v>13</v>
      </c>
      <c r="G74" s="41" t="s">
        <v>12</v>
      </c>
    </row>
    <row r="75" spans="1:17" ht="13.2" customHeight="1">
      <c r="A75" s="16">
        <v>14.435</v>
      </c>
      <c r="B75" s="16">
        <v>7.173</v>
      </c>
      <c r="C75" s="16">
        <v>6.5259999999999971</v>
      </c>
      <c r="D75" s="16">
        <v>0.23999999999999927</v>
      </c>
      <c r="E75" s="16">
        <v>5.0609999999999999</v>
      </c>
      <c r="F75" s="16">
        <v>60.31</v>
      </c>
      <c r="G75" s="16">
        <v>31.28</v>
      </c>
    </row>
    <row r="76" spans="1:17" ht="13.2" customHeight="1">
      <c r="A76" s="16" t="s">
        <v>37</v>
      </c>
      <c r="B76" s="16" t="s">
        <v>38</v>
      </c>
      <c r="C76" s="16" t="s">
        <v>39</v>
      </c>
      <c r="D76" s="16" t="s">
        <v>40</v>
      </c>
      <c r="E76" s="16" t="s">
        <v>41</v>
      </c>
      <c r="F76" s="16" t="s">
        <v>42</v>
      </c>
      <c r="G76" s="16" t="s">
        <v>43</v>
      </c>
    </row>
    <row r="77" spans="1:17" ht="13.2" customHeight="1">
      <c r="G77" s="16"/>
    </row>
    <row r="78" spans="1:17" ht="13.2" customHeight="1">
      <c r="A78" t="s">
        <v>44</v>
      </c>
      <c r="G78" s="16"/>
    </row>
    <row r="79" spans="1:17">
      <c r="A79" t="s">
        <v>45</v>
      </c>
      <c r="C79" s="16"/>
      <c r="D79" s="16"/>
      <c r="E79" s="16"/>
      <c r="F79" s="16"/>
      <c r="G79" s="16"/>
    </row>
    <row r="80" spans="1:17" ht="17.399999999999999" customHeight="1"/>
    <row r="81" spans="1:1">
      <c r="A81" s="36" t="s">
        <v>3016</v>
      </c>
    </row>
    <row r="82" spans="1:1" ht="138">
      <c r="A82" s="34" t="s">
        <v>28</v>
      </c>
    </row>
  </sheetData>
  <hyperlinks>
    <hyperlink ref="A82" r:id="rId1" xr:uid="{2A5ABD9A-8C04-4FEE-9801-C8351543EBC1}"/>
  </hyperlinks>
  <pageMargins left="0.7" right="0.7" top="0.75" bottom="0.75" header="0.3" footer="0.3"/>
  <pageSetup orientation="portrait" r:id="rId2"/>
  <tableParts count="8"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978"/>
  <sheetViews>
    <sheetView workbookViewId="0">
      <selection activeCell="D21" sqref="D21"/>
    </sheetView>
  </sheetViews>
  <sheetFormatPr defaultColWidth="12.6640625" defaultRowHeight="13.2"/>
  <cols>
    <col min="1" max="1" width="26.109375" customWidth="1"/>
    <col min="2" max="2" width="10" customWidth="1"/>
    <col min="3" max="3" width="13.5546875" customWidth="1"/>
    <col min="9" max="9" width="12.21875" customWidth="1"/>
    <col min="12" max="12" width="29.21875" customWidth="1"/>
  </cols>
  <sheetData>
    <row r="1" spans="1:24">
      <c r="A1" t="s">
        <v>46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4">
      <c r="A2" s="36" t="s">
        <v>3012</v>
      </c>
      <c r="B2" s="37" t="s">
        <v>3013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3" spans="1:24">
      <c r="A3" t="s">
        <v>47</v>
      </c>
      <c r="B3" s="16">
        <v>93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4">
      <c r="A4" t="s">
        <v>49</v>
      </c>
      <c r="B4" s="16">
        <v>248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</row>
    <row r="5" spans="1:24">
      <c r="A5" t="s">
        <v>52</v>
      </c>
      <c r="B5" s="16">
        <v>341</v>
      </c>
      <c r="J5" s="14"/>
      <c r="K5" s="14"/>
      <c r="L5" s="14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4">
      <c r="A6" t="s">
        <v>56</v>
      </c>
      <c r="B6" s="16">
        <v>182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spans="1:24">
      <c r="A7" t="s">
        <v>59</v>
      </c>
      <c r="B7" s="16">
        <v>2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 spans="1:24">
      <c r="A8" t="s">
        <v>62</v>
      </c>
      <c r="B8" s="16">
        <v>184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4">
      <c r="A9" t="s">
        <v>64</v>
      </c>
      <c r="B9" s="16" t="s">
        <v>63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spans="1:24">
      <c r="A10" t="s">
        <v>65</v>
      </c>
      <c r="B10" s="16" t="s">
        <v>66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spans="1:24">
      <c r="A11" t="s">
        <v>67</v>
      </c>
      <c r="B11" s="16" t="s">
        <v>68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</row>
    <row r="12" spans="1:24">
      <c r="B12">
        <f>98.7+16.33+8.74</f>
        <v>123.77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</row>
    <row r="13" spans="1:24"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</row>
    <row r="14" spans="1:24">
      <c r="A14" s="35" t="s">
        <v>48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</row>
    <row r="15" spans="1:24">
      <c r="A15" s="36" t="s">
        <v>3015</v>
      </c>
      <c r="B15" s="37" t="s">
        <v>3014</v>
      </c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</row>
    <row r="16" spans="1:24">
      <c r="A16" t="s">
        <v>50</v>
      </c>
      <c r="B16" s="16" t="s">
        <v>51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</row>
    <row r="17" spans="1:24">
      <c r="A17" t="s">
        <v>53</v>
      </c>
      <c r="B17" s="16" t="s">
        <v>54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t="s">
        <v>57</v>
      </c>
      <c r="B18" s="16">
        <v>8400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</row>
    <row r="19" spans="1:24">
      <c r="A19" t="s">
        <v>60</v>
      </c>
      <c r="B19" s="16" t="s">
        <v>61</v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</row>
    <row r="20" spans="1:24">
      <c r="A20" t="s">
        <v>26</v>
      </c>
      <c r="B20" s="16" t="s">
        <v>63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</row>
    <row r="21" spans="1:24">
      <c r="A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</row>
    <row r="22" spans="1:24">
      <c r="A22" s="36" t="s">
        <v>3017</v>
      </c>
      <c r="B22" s="36" t="s">
        <v>3018</v>
      </c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</row>
    <row r="23" spans="1:24">
      <c r="A23" t="s">
        <v>55</v>
      </c>
      <c r="B23">
        <v>26</v>
      </c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</row>
    <row r="24" spans="1:24">
      <c r="A24" t="s">
        <v>58</v>
      </c>
      <c r="B24">
        <v>16</v>
      </c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1:24">
      <c r="A25" t="s">
        <v>176</v>
      </c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1:24">
      <c r="A26" t="s">
        <v>82</v>
      </c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1:24">
      <c r="A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1:24">
      <c r="A28" s="13"/>
      <c r="B28" s="13"/>
      <c r="C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1:24">
      <c r="A29" s="13"/>
      <c r="B29" s="13"/>
      <c r="C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</row>
    <row r="30" spans="1:24">
      <c r="A30" s="13"/>
      <c r="B30" s="13"/>
      <c r="C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</row>
    <row r="31" spans="1:24">
      <c r="A31" s="13"/>
      <c r="B31" s="13"/>
      <c r="C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</row>
    <row r="32" spans="1:24">
      <c r="A32" s="13"/>
      <c r="B32" s="13"/>
      <c r="C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</row>
    <row r="33" spans="1:24">
      <c r="A33" s="13"/>
      <c r="B33" s="13"/>
      <c r="C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</row>
    <row r="34" spans="1:24">
      <c r="A34" s="13"/>
      <c r="B34" s="13"/>
      <c r="C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</row>
    <row r="35" spans="1:24">
      <c r="A35" s="13"/>
      <c r="B35" s="13"/>
      <c r="C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</row>
    <row r="36" spans="1:24">
      <c r="A36" s="13"/>
      <c r="B36" s="13"/>
      <c r="C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</row>
    <row r="37" spans="1:24">
      <c r="A37" s="13"/>
      <c r="B37" s="13"/>
      <c r="C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</row>
    <row r="38" spans="1:24">
      <c r="A38" s="13"/>
      <c r="B38" s="13"/>
      <c r="C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</row>
    <row r="39" spans="1:24">
      <c r="A39" s="13"/>
      <c r="B39" s="13"/>
      <c r="C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</row>
    <row r="40" spans="1:24">
      <c r="A40" s="13"/>
      <c r="B40" s="13"/>
      <c r="C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</row>
    <row r="41" spans="1:24">
      <c r="A41" s="13"/>
      <c r="B41" s="13"/>
      <c r="C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</row>
    <row r="42" spans="1:24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</row>
    <row r="43" spans="1:24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</row>
    <row r="44" spans="1:2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</row>
    <row r="45" spans="1:24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</row>
    <row r="46" spans="1:24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</row>
    <row r="47" spans="1:24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</row>
    <row r="48" spans="1:24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</row>
    <row r="49" spans="1:24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</row>
    <row r="50" spans="1:24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</row>
    <row r="51" spans="1:24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</row>
    <row r="52" spans="1:24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</row>
    <row r="53" spans="1:24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 spans="1:2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</row>
    <row r="55" spans="1:24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</row>
    <row r="56" spans="1:24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</row>
    <row r="57" spans="1:24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</row>
    <row r="58" spans="1:24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</row>
    <row r="59" spans="1:24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</row>
    <row r="60" spans="1:24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</row>
    <row r="61" spans="1:24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</row>
    <row r="62" spans="1:24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</row>
    <row r="63" spans="1:24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</row>
    <row r="64" spans="1:2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</row>
    <row r="65" spans="1:24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</row>
    <row r="66" spans="1:24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</row>
    <row r="67" spans="1:24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</row>
    <row r="68" spans="1:24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</row>
    <row r="69" spans="1:24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</row>
    <row r="70" spans="1:24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</row>
    <row r="71" spans="1:24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</row>
    <row r="72" spans="1:24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</row>
    <row r="73" spans="1:24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</row>
    <row r="74" spans="1:2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</row>
    <row r="75" spans="1:24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  <row r="76" spans="1:24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</row>
    <row r="77" spans="1:24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</row>
    <row r="78" spans="1:24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</row>
    <row r="79" spans="1:24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</row>
    <row r="80" spans="1:24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</row>
    <row r="81" spans="1:24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</row>
    <row r="82" spans="1:24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</row>
    <row r="83" spans="1:24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</row>
    <row r="84" spans="1:2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</row>
    <row r="85" spans="1:24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</row>
    <row r="86" spans="1:24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</row>
    <row r="87" spans="1:24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</row>
    <row r="88" spans="1:24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</row>
    <row r="89" spans="1:24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</row>
    <row r="90" spans="1:24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</row>
    <row r="91" spans="1:2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</row>
    <row r="92" spans="1:24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</row>
    <row r="93" spans="1:24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</row>
    <row r="94" spans="1:2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</row>
    <row r="95" spans="1:24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</row>
    <row r="96" spans="1:24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</row>
    <row r="97" spans="1:24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</row>
    <row r="98" spans="1:24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</row>
    <row r="99" spans="1:24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</row>
    <row r="100" spans="1:24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</row>
    <row r="101" spans="1:24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</row>
    <row r="102" spans="1:24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</row>
    <row r="103" spans="1:24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</row>
    <row r="104" spans="1:2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</row>
    <row r="105" spans="1:24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</row>
    <row r="106" spans="1:24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</row>
    <row r="107" spans="1:24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</row>
    <row r="108" spans="1:24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</row>
    <row r="109" spans="1:24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</row>
    <row r="110" spans="1:24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</row>
    <row r="111" spans="1:24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</row>
    <row r="112" spans="1:24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</row>
    <row r="113" spans="1:24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</row>
    <row r="114" spans="1:2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</row>
    <row r="115" spans="1:24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</row>
    <row r="116" spans="1:24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</row>
    <row r="117" spans="1:24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</row>
    <row r="118" spans="1:24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</row>
    <row r="119" spans="1:24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</row>
    <row r="120" spans="1:24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</row>
    <row r="121" spans="1:24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</row>
    <row r="122" spans="1:24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</row>
    <row r="123" spans="1:24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</row>
    <row r="124" spans="1: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</row>
    <row r="125" spans="1:24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</row>
    <row r="126" spans="1:24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</row>
    <row r="127" spans="1:24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</row>
    <row r="128" spans="1:24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</row>
    <row r="129" spans="1:24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</row>
    <row r="130" spans="1:24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</row>
    <row r="131" spans="1:24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</row>
    <row r="132" spans="1:24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</row>
    <row r="133" spans="1:24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</row>
    <row r="134" spans="1:2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</row>
    <row r="135" spans="1:24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</row>
    <row r="136" spans="1:24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</row>
    <row r="137" spans="1:24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</row>
    <row r="138" spans="1:24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</row>
    <row r="139" spans="1:24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</row>
    <row r="140" spans="1:24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</row>
    <row r="141" spans="1:24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</row>
    <row r="142" spans="1:24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</row>
    <row r="143" spans="1:24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</row>
    <row r="144" spans="1:2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</row>
    <row r="145" spans="1:24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</row>
    <row r="146" spans="1:24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</row>
    <row r="147" spans="1:24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</row>
    <row r="148" spans="1:24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</row>
    <row r="149" spans="1:24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</row>
    <row r="150" spans="1:24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</row>
    <row r="151" spans="1:24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</row>
    <row r="152" spans="1:24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</row>
    <row r="153" spans="1:24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</row>
    <row r="154" spans="1:2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</row>
    <row r="155" spans="1:24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</row>
    <row r="156" spans="1:24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</row>
    <row r="157" spans="1:24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</row>
    <row r="158" spans="1:24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</row>
    <row r="159" spans="1:24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</row>
    <row r="160" spans="1:24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</row>
    <row r="161" spans="1:24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</row>
    <row r="162" spans="1:24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</row>
    <row r="163" spans="1:24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</row>
    <row r="164" spans="1:2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</row>
    <row r="165" spans="1:24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</row>
    <row r="166" spans="1:24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</row>
    <row r="167" spans="1:24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</row>
    <row r="168" spans="1:24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</row>
    <row r="169" spans="1:24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</row>
    <row r="170" spans="1:24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</row>
    <row r="171" spans="1:24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</row>
    <row r="172" spans="1:24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</row>
    <row r="173" spans="1:24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</row>
    <row r="174" spans="1:2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</row>
    <row r="175" spans="1:24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</row>
    <row r="176" spans="1:24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</row>
    <row r="177" spans="1:24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</row>
    <row r="178" spans="1:24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</row>
    <row r="179" spans="1:24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</row>
    <row r="180" spans="1:24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</row>
    <row r="181" spans="1:24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</row>
    <row r="182" spans="1:24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</row>
    <row r="183" spans="1:24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</row>
    <row r="184" spans="1:2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</row>
    <row r="185" spans="1:24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</row>
    <row r="186" spans="1:24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</row>
    <row r="187" spans="1:24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</row>
    <row r="188" spans="1:24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</row>
    <row r="189" spans="1:24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</row>
    <row r="190" spans="1:24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</row>
    <row r="191" spans="1:24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</row>
    <row r="192" spans="1:24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</row>
    <row r="193" spans="1:24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</row>
    <row r="194" spans="1:2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</row>
    <row r="195" spans="1:24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</row>
    <row r="196" spans="1:24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</row>
    <row r="197" spans="1:24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</row>
    <row r="198" spans="1:24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</row>
    <row r="199" spans="1:24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</row>
    <row r="200" spans="1:24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</row>
    <row r="201" spans="1:24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</row>
    <row r="202" spans="1:24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</row>
    <row r="203" spans="1:24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</row>
    <row r="204" spans="1:2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</row>
    <row r="205" spans="1:24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</row>
    <row r="206" spans="1:24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</row>
    <row r="207" spans="1:24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</row>
    <row r="208" spans="1:24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</row>
    <row r="209" spans="1:24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</row>
    <row r="210" spans="1:24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</row>
    <row r="211" spans="1:24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</row>
    <row r="212" spans="1:24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</row>
    <row r="213" spans="1:24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</row>
    <row r="214" spans="1:2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</row>
    <row r="215" spans="1:24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</row>
    <row r="216" spans="1:24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</row>
    <row r="217" spans="1:24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</row>
    <row r="218" spans="1:24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</row>
    <row r="219" spans="1:24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</row>
    <row r="220" spans="1:24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</row>
    <row r="221" spans="1:24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</row>
    <row r="222" spans="1:24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</row>
    <row r="223" spans="1:24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</row>
    <row r="224" spans="1: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</row>
    <row r="225" spans="1:24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</row>
    <row r="226" spans="1:24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</row>
    <row r="227" spans="1:24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</row>
    <row r="228" spans="1:24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</row>
    <row r="229" spans="1:24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</row>
    <row r="230" spans="1:24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</row>
    <row r="231" spans="1:24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</row>
    <row r="232" spans="1:24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</row>
    <row r="233" spans="1:24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</row>
    <row r="234" spans="1:2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</row>
    <row r="235" spans="1:24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</row>
    <row r="236" spans="1:24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</row>
    <row r="237" spans="1:24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</row>
    <row r="238" spans="1:24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</row>
    <row r="239" spans="1:24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</row>
    <row r="240" spans="1:24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</row>
    <row r="241" spans="1:24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</row>
    <row r="242" spans="1:24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</row>
    <row r="243" spans="1:24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</row>
    <row r="244" spans="1:2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</row>
    <row r="245" spans="1:24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</row>
    <row r="246" spans="1:24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</row>
    <row r="247" spans="1:24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</row>
    <row r="248" spans="1:24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</row>
    <row r="249" spans="1:24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</row>
    <row r="250" spans="1:24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</row>
    <row r="251" spans="1:24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</row>
    <row r="252" spans="1:24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</row>
    <row r="253" spans="1:24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</row>
    <row r="254" spans="1:2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</row>
    <row r="255" spans="1:24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</row>
    <row r="256" spans="1:24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</row>
    <row r="257" spans="1:24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</row>
    <row r="258" spans="1:24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</row>
    <row r="259" spans="1:24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</row>
    <row r="260" spans="1:24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</row>
    <row r="261" spans="1:24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</row>
    <row r="262" spans="1:24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</row>
    <row r="263" spans="1:24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</row>
    <row r="264" spans="1:2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</row>
    <row r="265" spans="1:24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</row>
    <row r="266" spans="1:24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</row>
    <row r="267" spans="1:24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</row>
    <row r="268" spans="1:24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</row>
    <row r="269" spans="1:24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</row>
    <row r="270" spans="1:24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</row>
    <row r="271" spans="1:24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</row>
    <row r="272" spans="1:24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</row>
    <row r="273" spans="1:24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</row>
    <row r="274" spans="1:2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</row>
    <row r="275" spans="1:24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</row>
    <row r="276" spans="1:24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</row>
    <row r="277" spans="1:24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</row>
    <row r="278" spans="1:24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</row>
    <row r="279" spans="1:24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</row>
    <row r="280" spans="1:24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</row>
    <row r="281" spans="1:24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</row>
    <row r="282" spans="1:24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</row>
    <row r="283" spans="1:24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</row>
    <row r="284" spans="1:2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</row>
    <row r="285" spans="1:24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</row>
    <row r="286" spans="1:24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</row>
    <row r="287" spans="1:24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</row>
    <row r="288" spans="1:24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</row>
    <row r="289" spans="1:24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</row>
    <row r="290" spans="1:24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</row>
    <row r="291" spans="1:24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</row>
    <row r="292" spans="1:24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</row>
    <row r="293" spans="1:24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</row>
    <row r="294" spans="1:2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</row>
    <row r="295" spans="1:24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</row>
    <row r="296" spans="1:24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</row>
    <row r="297" spans="1:24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</row>
    <row r="298" spans="1:24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</row>
    <row r="299" spans="1:24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</row>
    <row r="300" spans="1:24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</row>
    <row r="301" spans="1:24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</row>
    <row r="302" spans="1:24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</row>
    <row r="303" spans="1:24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</row>
    <row r="304" spans="1:2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</row>
    <row r="305" spans="1:24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</row>
    <row r="306" spans="1:24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</row>
    <row r="307" spans="1:24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</row>
    <row r="308" spans="1:24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</row>
    <row r="309" spans="1:24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</row>
    <row r="310" spans="1:24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</row>
    <row r="311" spans="1:24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</row>
    <row r="312" spans="1:24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</row>
    <row r="313" spans="1:24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</row>
    <row r="314" spans="1:2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</row>
    <row r="315" spans="1:24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</row>
    <row r="316" spans="1:24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</row>
    <row r="317" spans="1:24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</row>
    <row r="318" spans="1:24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</row>
    <row r="319" spans="1:24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</row>
    <row r="320" spans="1:24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</row>
    <row r="321" spans="1:24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</row>
    <row r="322" spans="1:24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</row>
    <row r="323" spans="1:24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</row>
    <row r="324" spans="1: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</row>
    <row r="325" spans="1:24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</row>
    <row r="326" spans="1:24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</row>
    <row r="327" spans="1:24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</row>
    <row r="328" spans="1:24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</row>
    <row r="329" spans="1:24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</row>
    <row r="330" spans="1:24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</row>
    <row r="331" spans="1:24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</row>
    <row r="332" spans="1:24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</row>
    <row r="333" spans="1:24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</row>
    <row r="334" spans="1:2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</row>
    <row r="335" spans="1:24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</row>
    <row r="336" spans="1:24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</row>
    <row r="337" spans="1:24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</row>
    <row r="338" spans="1:24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</row>
    <row r="339" spans="1:24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</row>
    <row r="340" spans="1:24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</row>
    <row r="341" spans="1:24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</row>
    <row r="342" spans="1:24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</row>
    <row r="343" spans="1:24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</row>
    <row r="344" spans="1:2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</row>
    <row r="345" spans="1:24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</row>
    <row r="346" spans="1:24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</row>
    <row r="347" spans="1:24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</row>
    <row r="348" spans="1:24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</row>
    <row r="349" spans="1:24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</row>
    <row r="350" spans="1:24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</row>
    <row r="351" spans="1:24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</row>
    <row r="352" spans="1:24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</row>
    <row r="353" spans="1:24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</row>
    <row r="354" spans="1:2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</row>
    <row r="355" spans="1:24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</row>
    <row r="356" spans="1:24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</row>
    <row r="357" spans="1:24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</row>
    <row r="358" spans="1:24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</row>
    <row r="359" spans="1:24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</row>
    <row r="360" spans="1:24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</row>
    <row r="361" spans="1:24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</row>
    <row r="362" spans="1:24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</row>
    <row r="363" spans="1:24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</row>
    <row r="364" spans="1:2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</row>
    <row r="365" spans="1:24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</row>
    <row r="366" spans="1:24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</row>
    <row r="367" spans="1:24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</row>
    <row r="368" spans="1:24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</row>
    <row r="369" spans="1:24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</row>
    <row r="370" spans="1:24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</row>
    <row r="371" spans="1:24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</row>
    <row r="372" spans="1:24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</row>
    <row r="373" spans="1:24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</row>
    <row r="374" spans="1:2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</row>
    <row r="375" spans="1:24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</row>
    <row r="376" spans="1:24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</row>
    <row r="377" spans="1:24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</row>
    <row r="378" spans="1:24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</row>
    <row r="379" spans="1:24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</row>
    <row r="380" spans="1:24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</row>
    <row r="381" spans="1:24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</row>
    <row r="382" spans="1:24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</row>
    <row r="383" spans="1:24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</row>
    <row r="384" spans="1:2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</row>
    <row r="385" spans="1:24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</row>
    <row r="386" spans="1:24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</row>
    <row r="387" spans="1:24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</row>
    <row r="388" spans="1:24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</row>
    <row r="389" spans="1:24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</row>
    <row r="390" spans="1:24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</row>
    <row r="391" spans="1:24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</row>
    <row r="392" spans="1:24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</row>
    <row r="393" spans="1:24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</row>
    <row r="394" spans="1:2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</row>
    <row r="395" spans="1:24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</row>
    <row r="396" spans="1:24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</row>
    <row r="397" spans="1:24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</row>
    <row r="398" spans="1:24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</row>
    <row r="399" spans="1:24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</row>
    <row r="400" spans="1:24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</row>
    <row r="401" spans="1:24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</row>
    <row r="402" spans="1:24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</row>
    <row r="403" spans="1:24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</row>
    <row r="404" spans="1:2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</row>
    <row r="405" spans="1:24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</row>
    <row r="406" spans="1:24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</row>
    <row r="407" spans="1:24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</row>
    <row r="408" spans="1:24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</row>
    <row r="409" spans="1:24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</row>
    <row r="410" spans="1:24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</row>
    <row r="411" spans="1:24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</row>
    <row r="412" spans="1:24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</row>
    <row r="413" spans="1:24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</row>
    <row r="414" spans="1:2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</row>
    <row r="415" spans="1:24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</row>
    <row r="416" spans="1:24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</row>
    <row r="417" spans="1:24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</row>
    <row r="418" spans="1:24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</row>
    <row r="419" spans="1:24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</row>
    <row r="420" spans="1:24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</row>
    <row r="421" spans="1:24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</row>
    <row r="422" spans="1:24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</row>
    <row r="423" spans="1:24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</row>
    <row r="424" spans="1: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</row>
    <row r="425" spans="1:24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</row>
    <row r="426" spans="1:24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</row>
    <row r="427" spans="1:24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</row>
    <row r="428" spans="1:24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</row>
    <row r="429" spans="1:24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</row>
    <row r="430" spans="1:24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</row>
    <row r="431" spans="1:24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</row>
    <row r="432" spans="1:24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</row>
    <row r="433" spans="1:24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</row>
    <row r="434" spans="1:2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</row>
    <row r="435" spans="1:24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</row>
    <row r="436" spans="1:24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</row>
    <row r="437" spans="1:24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</row>
    <row r="438" spans="1:24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</row>
    <row r="439" spans="1:24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</row>
    <row r="440" spans="1:24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</row>
    <row r="441" spans="1:24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</row>
    <row r="442" spans="1:24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</row>
    <row r="443" spans="1:24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</row>
    <row r="444" spans="1:2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</row>
    <row r="445" spans="1:24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</row>
    <row r="446" spans="1:24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</row>
    <row r="447" spans="1:24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</row>
    <row r="448" spans="1:24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</row>
    <row r="449" spans="1:24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</row>
    <row r="450" spans="1:24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</row>
    <row r="451" spans="1:24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</row>
    <row r="452" spans="1:24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</row>
    <row r="453" spans="1:24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</row>
    <row r="454" spans="1:2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</row>
    <row r="455" spans="1:24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</row>
    <row r="456" spans="1:24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</row>
    <row r="457" spans="1:24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</row>
    <row r="458" spans="1:24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</row>
    <row r="459" spans="1:24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</row>
    <row r="460" spans="1:24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</row>
    <row r="461" spans="1:24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</row>
    <row r="462" spans="1:24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</row>
    <row r="463" spans="1:24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</row>
    <row r="464" spans="1:2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</row>
    <row r="465" spans="1:24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</row>
    <row r="466" spans="1:24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</row>
    <row r="467" spans="1:24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</row>
    <row r="468" spans="1:24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</row>
    <row r="469" spans="1:24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</row>
    <row r="470" spans="1:24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</row>
    <row r="471" spans="1:24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</row>
    <row r="472" spans="1:24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</row>
    <row r="473" spans="1:24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</row>
    <row r="474" spans="1:2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</row>
    <row r="475" spans="1:24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</row>
    <row r="476" spans="1:24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</row>
    <row r="477" spans="1:24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</row>
    <row r="478" spans="1:24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</row>
    <row r="479" spans="1:24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</row>
    <row r="480" spans="1:24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</row>
    <row r="481" spans="1:24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</row>
    <row r="482" spans="1:24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</row>
    <row r="483" spans="1:24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</row>
    <row r="484" spans="1:2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</row>
    <row r="485" spans="1:24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</row>
    <row r="486" spans="1:24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</row>
    <row r="487" spans="1:24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</row>
    <row r="488" spans="1:24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</row>
    <row r="489" spans="1:24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</row>
    <row r="490" spans="1:24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</row>
    <row r="491" spans="1:24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</row>
    <row r="492" spans="1:24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</row>
    <row r="493" spans="1:24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</row>
    <row r="494" spans="1:2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</row>
    <row r="495" spans="1:24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</row>
    <row r="496" spans="1:24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</row>
    <row r="497" spans="1:24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</row>
    <row r="498" spans="1:24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</row>
    <row r="499" spans="1:24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</row>
    <row r="500" spans="1:24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</row>
    <row r="501" spans="1:24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</row>
    <row r="502" spans="1:24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</row>
    <row r="503" spans="1:24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</row>
    <row r="504" spans="1:2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</row>
    <row r="505" spans="1:24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</row>
    <row r="506" spans="1:24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</row>
    <row r="507" spans="1:24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</row>
    <row r="508" spans="1:24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</row>
    <row r="509" spans="1:24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</row>
    <row r="510" spans="1:24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</row>
    <row r="511" spans="1:24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</row>
    <row r="512" spans="1:24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</row>
    <row r="513" spans="1:24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</row>
    <row r="514" spans="1:2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</row>
    <row r="515" spans="1:24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</row>
    <row r="516" spans="1:24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</row>
    <row r="517" spans="1:24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</row>
    <row r="518" spans="1:24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</row>
    <row r="519" spans="1:24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</row>
    <row r="520" spans="1:24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</row>
    <row r="521" spans="1:24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</row>
    <row r="522" spans="1:24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</row>
    <row r="523" spans="1:24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</row>
    <row r="524" spans="1: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</row>
    <row r="525" spans="1:24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</row>
    <row r="526" spans="1:24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</row>
    <row r="527" spans="1:24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</row>
    <row r="528" spans="1:24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</row>
    <row r="529" spans="1:24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</row>
    <row r="530" spans="1:24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</row>
    <row r="531" spans="1:24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</row>
    <row r="532" spans="1:24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</row>
    <row r="533" spans="1:24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</row>
    <row r="534" spans="1:2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</row>
    <row r="535" spans="1:24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</row>
    <row r="536" spans="1:24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</row>
    <row r="537" spans="1:24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</row>
    <row r="538" spans="1:24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</row>
    <row r="539" spans="1:24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</row>
    <row r="540" spans="1:24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</row>
    <row r="541" spans="1:24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</row>
    <row r="542" spans="1:24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</row>
    <row r="543" spans="1:24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</row>
    <row r="544" spans="1:2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</row>
    <row r="545" spans="1:24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</row>
    <row r="546" spans="1:24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</row>
    <row r="547" spans="1:24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</row>
    <row r="548" spans="1:24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</row>
    <row r="549" spans="1:24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</row>
    <row r="550" spans="1:24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</row>
    <row r="551" spans="1:24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</row>
    <row r="552" spans="1:24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</row>
    <row r="553" spans="1:24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</row>
    <row r="554" spans="1:2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</row>
    <row r="555" spans="1:24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</row>
    <row r="556" spans="1:24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</row>
    <row r="557" spans="1:24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</row>
    <row r="558" spans="1:24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</row>
    <row r="559" spans="1:24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</row>
    <row r="560" spans="1:24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</row>
    <row r="561" spans="1:24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</row>
    <row r="562" spans="1:24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</row>
    <row r="563" spans="1:24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</row>
    <row r="564" spans="1:2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</row>
    <row r="565" spans="1:24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</row>
    <row r="566" spans="1:24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</row>
    <row r="567" spans="1:24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</row>
    <row r="568" spans="1:24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</row>
    <row r="569" spans="1:24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</row>
    <row r="570" spans="1:24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</row>
    <row r="571" spans="1:24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</row>
    <row r="572" spans="1:24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</row>
    <row r="573" spans="1:24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</row>
    <row r="574" spans="1:2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</row>
    <row r="575" spans="1:24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</row>
    <row r="576" spans="1:24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</row>
    <row r="577" spans="1:24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</row>
    <row r="578" spans="1:24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</row>
    <row r="579" spans="1:24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</row>
    <row r="580" spans="1:24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</row>
    <row r="581" spans="1:24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</row>
    <row r="582" spans="1:24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</row>
    <row r="583" spans="1:24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</row>
    <row r="584" spans="1:2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</row>
    <row r="585" spans="1:24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</row>
    <row r="586" spans="1:24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</row>
    <row r="587" spans="1:24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</row>
    <row r="588" spans="1:24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</row>
    <row r="589" spans="1:24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</row>
    <row r="590" spans="1:24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</row>
    <row r="591" spans="1:24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</row>
    <row r="592" spans="1:24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</row>
    <row r="593" spans="1:24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</row>
    <row r="594" spans="1:2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</row>
    <row r="595" spans="1:24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</row>
    <row r="596" spans="1:24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</row>
    <row r="597" spans="1:24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</row>
    <row r="598" spans="1:24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</row>
    <row r="599" spans="1:24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</row>
    <row r="600" spans="1:24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</row>
    <row r="601" spans="1:24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</row>
    <row r="602" spans="1:24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</row>
    <row r="603" spans="1:24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</row>
    <row r="604" spans="1:2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</row>
    <row r="605" spans="1:24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</row>
    <row r="606" spans="1:24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</row>
    <row r="607" spans="1:24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</row>
    <row r="608" spans="1:24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</row>
    <row r="609" spans="1:24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</row>
    <row r="610" spans="1:24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</row>
    <row r="611" spans="1:24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</row>
    <row r="612" spans="1:24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</row>
    <row r="613" spans="1:24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</row>
    <row r="614" spans="1:2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</row>
    <row r="615" spans="1:24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</row>
    <row r="616" spans="1:24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</row>
    <row r="617" spans="1:24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</row>
    <row r="618" spans="1:24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</row>
    <row r="619" spans="1:24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</row>
    <row r="620" spans="1:24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</row>
    <row r="621" spans="1:24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</row>
    <row r="622" spans="1:24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</row>
    <row r="623" spans="1:24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</row>
    <row r="624" spans="1: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</row>
    <row r="625" spans="1:24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</row>
    <row r="626" spans="1:24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</row>
    <row r="627" spans="1:24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</row>
    <row r="628" spans="1:24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</row>
    <row r="629" spans="1:24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</row>
    <row r="630" spans="1:24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</row>
    <row r="631" spans="1:24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</row>
    <row r="632" spans="1:24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</row>
    <row r="633" spans="1:24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</row>
    <row r="634" spans="1:2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</row>
    <row r="635" spans="1:24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</row>
    <row r="636" spans="1:24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</row>
    <row r="637" spans="1:24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</row>
    <row r="638" spans="1:24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</row>
    <row r="639" spans="1:24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</row>
    <row r="640" spans="1:24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</row>
    <row r="641" spans="1:24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</row>
    <row r="642" spans="1:24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</row>
    <row r="643" spans="1:24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</row>
    <row r="644" spans="1:2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</row>
    <row r="645" spans="1:24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</row>
    <row r="646" spans="1:24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</row>
    <row r="647" spans="1:24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</row>
    <row r="648" spans="1:24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</row>
    <row r="649" spans="1:24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</row>
    <row r="650" spans="1:24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</row>
    <row r="651" spans="1:24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</row>
    <row r="652" spans="1:24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</row>
    <row r="653" spans="1:24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</row>
    <row r="654" spans="1:2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</row>
    <row r="655" spans="1:24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</row>
    <row r="656" spans="1:24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</row>
    <row r="657" spans="1:24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</row>
    <row r="658" spans="1:24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</row>
    <row r="659" spans="1:24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</row>
    <row r="660" spans="1:24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</row>
    <row r="661" spans="1:24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</row>
    <row r="662" spans="1:24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</row>
    <row r="663" spans="1:24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</row>
    <row r="664" spans="1:2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</row>
    <row r="665" spans="1:24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</row>
    <row r="666" spans="1:24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</row>
    <row r="667" spans="1:24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</row>
    <row r="668" spans="1:24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</row>
    <row r="669" spans="1:24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</row>
    <row r="670" spans="1:24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</row>
    <row r="671" spans="1:24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</row>
    <row r="672" spans="1:24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</row>
    <row r="673" spans="1:24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</row>
    <row r="674" spans="1:2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</row>
    <row r="675" spans="1:24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</row>
    <row r="676" spans="1:24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</row>
    <row r="677" spans="1:24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</row>
    <row r="678" spans="1:24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</row>
    <row r="679" spans="1:24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</row>
    <row r="680" spans="1:24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</row>
    <row r="681" spans="1:24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</row>
    <row r="682" spans="1:24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</row>
    <row r="683" spans="1:24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</row>
    <row r="684" spans="1:2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</row>
    <row r="685" spans="1:24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</row>
    <row r="686" spans="1:24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</row>
    <row r="687" spans="1:24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</row>
    <row r="688" spans="1:24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</row>
    <row r="689" spans="1:24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</row>
    <row r="690" spans="1:24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</row>
    <row r="691" spans="1:24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</row>
    <row r="692" spans="1:24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</row>
    <row r="693" spans="1:24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</row>
    <row r="694" spans="1:2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</row>
    <row r="695" spans="1:24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</row>
    <row r="696" spans="1:24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</row>
    <row r="697" spans="1:24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</row>
    <row r="698" spans="1:24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</row>
    <row r="699" spans="1:24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</row>
    <row r="700" spans="1:24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</row>
    <row r="701" spans="1:24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</row>
    <row r="702" spans="1:24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</row>
    <row r="703" spans="1:24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</row>
    <row r="704" spans="1:2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</row>
    <row r="705" spans="1:24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</row>
    <row r="706" spans="1:24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</row>
    <row r="707" spans="1:24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</row>
    <row r="708" spans="1:24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</row>
    <row r="709" spans="1:24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</row>
    <row r="710" spans="1:24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</row>
    <row r="711" spans="1:24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</row>
    <row r="712" spans="1:24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</row>
    <row r="713" spans="1:24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</row>
    <row r="714" spans="1:2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</row>
    <row r="715" spans="1:24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</row>
    <row r="716" spans="1:24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</row>
    <row r="717" spans="1:24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</row>
    <row r="718" spans="1:24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</row>
    <row r="719" spans="1:24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</row>
    <row r="720" spans="1:24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</row>
    <row r="721" spans="1:24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</row>
    <row r="722" spans="1:24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</row>
    <row r="723" spans="1:24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</row>
    <row r="724" spans="1: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</row>
    <row r="725" spans="1:24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</row>
    <row r="726" spans="1:24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</row>
    <row r="727" spans="1:24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</row>
    <row r="728" spans="1:24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</row>
    <row r="729" spans="1:24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</row>
    <row r="730" spans="1:24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</row>
    <row r="731" spans="1:24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</row>
    <row r="732" spans="1:24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</row>
    <row r="733" spans="1:24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</row>
    <row r="734" spans="1:2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</row>
    <row r="735" spans="1:24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</row>
    <row r="736" spans="1:24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</row>
    <row r="737" spans="1:24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</row>
    <row r="738" spans="1:24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</row>
    <row r="739" spans="1:24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</row>
    <row r="740" spans="1:24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</row>
    <row r="741" spans="1:24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</row>
    <row r="742" spans="1:24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</row>
    <row r="743" spans="1:24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</row>
    <row r="744" spans="1:2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</row>
    <row r="745" spans="1:24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</row>
    <row r="746" spans="1:24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</row>
    <row r="747" spans="1:24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</row>
    <row r="748" spans="1:24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</row>
    <row r="749" spans="1:24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</row>
    <row r="750" spans="1:24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</row>
    <row r="751" spans="1:24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</row>
    <row r="752" spans="1:24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</row>
    <row r="753" spans="1:24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</row>
    <row r="754" spans="1:2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</row>
    <row r="755" spans="1:24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</row>
    <row r="756" spans="1:24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</row>
    <row r="757" spans="1:24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</row>
    <row r="758" spans="1:24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</row>
    <row r="759" spans="1:24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</row>
    <row r="760" spans="1:24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</row>
    <row r="761" spans="1:24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</row>
    <row r="762" spans="1:24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</row>
    <row r="763" spans="1:24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</row>
    <row r="764" spans="1:2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</row>
    <row r="765" spans="1:24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</row>
    <row r="766" spans="1:24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</row>
    <row r="767" spans="1:24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</row>
    <row r="768" spans="1:24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</row>
    <row r="769" spans="1:24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</row>
    <row r="770" spans="1:24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</row>
    <row r="771" spans="1:24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</row>
    <row r="772" spans="1:24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</row>
    <row r="773" spans="1:24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</row>
    <row r="774" spans="1:2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</row>
    <row r="775" spans="1:24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</row>
    <row r="776" spans="1:24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</row>
    <row r="777" spans="1:24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</row>
    <row r="778" spans="1:24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</row>
    <row r="779" spans="1:24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</row>
    <row r="780" spans="1:24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</row>
    <row r="781" spans="1:24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</row>
    <row r="782" spans="1:24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</row>
    <row r="783" spans="1:24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</row>
    <row r="784" spans="1:2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</row>
    <row r="785" spans="1:24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</row>
    <row r="786" spans="1:24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</row>
    <row r="787" spans="1:24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</row>
    <row r="788" spans="1:24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</row>
    <row r="789" spans="1:24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</row>
    <row r="790" spans="1:24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</row>
    <row r="791" spans="1:24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</row>
    <row r="792" spans="1:24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</row>
    <row r="793" spans="1:24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</row>
    <row r="794" spans="1:2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</row>
    <row r="795" spans="1:24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</row>
    <row r="796" spans="1:24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</row>
    <row r="797" spans="1:24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</row>
    <row r="798" spans="1:24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</row>
    <row r="799" spans="1:24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</row>
    <row r="800" spans="1:24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</row>
    <row r="801" spans="1:24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</row>
    <row r="802" spans="1:24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</row>
    <row r="803" spans="1:24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</row>
    <row r="804" spans="1:2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</row>
    <row r="805" spans="1:24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</row>
    <row r="806" spans="1:24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</row>
    <row r="807" spans="1:24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</row>
    <row r="808" spans="1:24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</row>
    <row r="809" spans="1:24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</row>
    <row r="810" spans="1:24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</row>
    <row r="811" spans="1:24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</row>
    <row r="812" spans="1:24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</row>
    <row r="813" spans="1:24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</row>
    <row r="814" spans="1:2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</row>
    <row r="815" spans="1:24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</row>
    <row r="816" spans="1:24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</row>
    <row r="817" spans="1:24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</row>
    <row r="818" spans="1:24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</row>
    <row r="819" spans="1:24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</row>
    <row r="820" spans="1:24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</row>
    <row r="821" spans="1:24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</row>
    <row r="822" spans="1:24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</row>
    <row r="823" spans="1:24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</row>
    <row r="824" spans="1: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</row>
    <row r="825" spans="1:24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</row>
    <row r="826" spans="1:24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</row>
    <row r="827" spans="1:24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</row>
    <row r="828" spans="1:24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</row>
    <row r="829" spans="1:24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</row>
    <row r="830" spans="1:24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</row>
    <row r="831" spans="1:24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</row>
    <row r="832" spans="1:24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</row>
    <row r="833" spans="1:24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</row>
    <row r="834" spans="1:2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</row>
    <row r="835" spans="1:24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</row>
    <row r="836" spans="1:24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</row>
    <row r="837" spans="1:24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</row>
    <row r="838" spans="1:24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</row>
    <row r="839" spans="1:24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</row>
    <row r="840" spans="1:24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</row>
    <row r="841" spans="1:24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</row>
    <row r="842" spans="1:24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</row>
    <row r="843" spans="1:24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</row>
    <row r="844" spans="1:2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</row>
    <row r="845" spans="1:24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</row>
    <row r="846" spans="1:24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</row>
    <row r="847" spans="1:24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</row>
    <row r="848" spans="1:24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</row>
    <row r="849" spans="1:24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</row>
    <row r="850" spans="1:24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</row>
    <row r="851" spans="1:24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</row>
    <row r="852" spans="1:24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</row>
    <row r="853" spans="1:24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</row>
    <row r="854" spans="1:2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</row>
    <row r="855" spans="1:24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</row>
    <row r="856" spans="1:24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</row>
    <row r="857" spans="1:24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</row>
    <row r="858" spans="1:24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</row>
    <row r="859" spans="1:24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</row>
    <row r="860" spans="1:24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</row>
    <row r="861" spans="1:24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</row>
    <row r="862" spans="1:24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</row>
    <row r="863" spans="1:24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</row>
    <row r="864" spans="1:2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</row>
    <row r="865" spans="1:24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</row>
    <row r="866" spans="1:24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</row>
    <row r="867" spans="1:24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</row>
    <row r="868" spans="1:24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</row>
    <row r="869" spans="1:24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</row>
    <row r="870" spans="1:24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</row>
    <row r="871" spans="1:24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</row>
    <row r="872" spans="1:24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</row>
    <row r="873" spans="1:24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</row>
    <row r="874" spans="1:2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</row>
    <row r="875" spans="1:24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</row>
    <row r="876" spans="1:24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</row>
    <row r="877" spans="1:24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</row>
    <row r="878" spans="1:24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</row>
    <row r="879" spans="1:24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</row>
    <row r="880" spans="1:24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</row>
    <row r="881" spans="1:24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</row>
    <row r="882" spans="1:24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</row>
    <row r="883" spans="1:24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</row>
    <row r="884" spans="1:2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</row>
    <row r="885" spans="1:24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</row>
    <row r="886" spans="1:24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</row>
    <row r="887" spans="1:24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</row>
    <row r="888" spans="1:24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</row>
    <row r="889" spans="1:24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</row>
    <row r="890" spans="1:24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</row>
    <row r="891" spans="1:24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</row>
    <row r="892" spans="1:24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</row>
    <row r="893" spans="1:24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</row>
    <row r="894" spans="1:2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</row>
    <row r="895" spans="1:24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</row>
    <row r="896" spans="1:24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</row>
    <row r="897" spans="1:24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</row>
    <row r="898" spans="1:24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</row>
    <row r="899" spans="1:24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</row>
    <row r="900" spans="1:24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</row>
    <row r="901" spans="1:24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</row>
    <row r="902" spans="1:24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</row>
    <row r="903" spans="1:24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</row>
    <row r="904" spans="1:2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</row>
    <row r="905" spans="1:24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</row>
    <row r="906" spans="1:24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</row>
    <row r="907" spans="1:24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</row>
    <row r="908" spans="1:24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</row>
    <row r="909" spans="1:24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</row>
    <row r="910" spans="1:24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</row>
    <row r="911" spans="1:24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</row>
    <row r="912" spans="1:24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</row>
    <row r="913" spans="1:24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</row>
    <row r="914" spans="1:2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</row>
    <row r="915" spans="1:24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</row>
    <row r="916" spans="1:24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</row>
    <row r="917" spans="1:24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</row>
    <row r="918" spans="1:24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</row>
    <row r="919" spans="1:24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</row>
    <row r="920" spans="1:24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</row>
    <row r="921" spans="1:24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</row>
    <row r="922" spans="1:24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</row>
    <row r="923" spans="1:24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</row>
    <row r="924" spans="1: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</row>
    <row r="925" spans="1:24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</row>
    <row r="926" spans="1:24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</row>
    <row r="927" spans="1:24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</row>
    <row r="928" spans="1:24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</row>
    <row r="929" spans="1:24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</row>
    <row r="930" spans="1:24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</row>
    <row r="931" spans="1:24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</row>
    <row r="932" spans="1:24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</row>
    <row r="933" spans="1:24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</row>
    <row r="934" spans="1:2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</row>
    <row r="935" spans="1:24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</row>
    <row r="936" spans="1:24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</row>
    <row r="937" spans="1:24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</row>
    <row r="938" spans="1:24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</row>
    <row r="939" spans="1:24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</row>
    <row r="940" spans="1:24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</row>
    <row r="941" spans="1:24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</row>
    <row r="942" spans="1:24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</row>
    <row r="943" spans="1:24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</row>
    <row r="944" spans="1:2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</row>
    <row r="945" spans="1:24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</row>
    <row r="946" spans="1:24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</row>
    <row r="947" spans="1:24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</row>
    <row r="948" spans="1:24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</row>
    <row r="949" spans="1:24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</row>
    <row r="950" spans="1:24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</row>
    <row r="951" spans="1:24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</row>
    <row r="952" spans="1:24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</row>
    <row r="953" spans="1:24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</row>
    <row r="954" spans="1:2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</row>
    <row r="955" spans="1:24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</row>
    <row r="956" spans="1:24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</row>
    <row r="957" spans="1:24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</row>
    <row r="958" spans="1:24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</row>
    <row r="959" spans="1:24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</row>
    <row r="960" spans="1:24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</row>
    <row r="961" spans="1:24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</row>
    <row r="962" spans="1:24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</row>
    <row r="963" spans="1:24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</row>
    <row r="964" spans="1:2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</row>
    <row r="965" spans="1:24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</row>
    <row r="966" spans="1:24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</row>
    <row r="967" spans="1:24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</row>
    <row r="968" spans="1:24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</row>
    <row r="969" spans="1:24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</row>
    <row r="970" spans="1:24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</row>
    <row r="971" spans="1:24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</row>
    <row r="972" spans="1:24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</row>
    <row r="973" spans="1:24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</row>
    <row r="974" spans="1:2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</row>
    <row r="975" spans="1:24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</row>
    <row r="976" spans="1:24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</row>
    <row r="977" spans="1:24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</row>
    <row r="978" spans="1:24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</row>
  </sheetData>
  <phoneticPr fontId="39" type="noConversion"/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2223"/>
  <sheetViews>
    <sheetView zoomScale="75" zoomScaleNormal="100" workbookViewId="0">
      <selection activeCell="I12" sqref="I12"/>
    </sheetView>
  </sheetViews>
  <sheetFormatPr defaultColWidth="12.6640625" defaultRowHeight="15" customHeight="1"/>
  <cols>
    <col min="1" max="1" width="7.88671875" customWidth="1"/>
    <col min="2" max="2" width="25.5546875" style="49" customWidth="1"/>
    <col min="3" max="3" width="18.6640625" customWidth="1"/>
    <col min="4" max="4" width="15.21875" customWidth="1"/>
    <col min="5" max="5" width="40.5546875" customWidth="1"/>
    <col min="6" max="6" width="18.109375" customWidth="1"/>
    <col min="7" max="7" width="19.88671875" customWidth="1"/>
    <col min="8" max="8" width="37.21875" customWidth="1"/>
    <col min="9" max="9" width="30.6640625" style="55" customWidth="1"/>
    <col min="10" max="10" width="30.6640625" customWidth="1"/>
    <col min="11" max="11" width="30.21875" customWidth="1"/>
    <col min="12" max="12" width="16.77734375" customWidth="1"/>
  </cols>
  <sheetData>
    <row r="1" spans="1:11" ht="26.4">
      <c r="A1" s="28" t="s">
        <v>2582</v>
      </c>
      <c r="B1" s="48" t="s">
        <v>69</v>
      </c>
      <c r="C1" s="28" t="s">
        <v>70</v>
      </c>
      <c r="D1" s="28" t="s">
        <v>71</v>
      </c>
      <c r="E1" s="29" t="s">
        <v>3019</v>
      </c>
      <c r="F1" s="28" t="s">
        <v>72</v>
      </c>
      <c r="G1" s="29" t="s">
        <v>3020</v>
      </c>
      <c r="H1" s="28" t="s">
        <v>73</v>
      </c>
      <c r="I1" s="53" t="s">
        <v>3021</v>
      </c>
      <c r="J1" s="28" t="s">
        <v>74</v>
      </c>
      <c r="K1" s="28" t="s">
        <v>75</v>
      </c>
    </row>
    <row r="2" spans="1:11" ht="52.8">
      <c r="A2" s="28">
        <v>1</v>
      </c>
      <c r="B2" s="48" t="s">
        <v>2645</v>
      </c>
      <c r="C2" s="28" t="s">
        <v>83</v>
      </c>
      <c r="D2" s="28" t="s">
        <v>14</v>
      </c>
      <c r="E2" s="28" t="s">
        <v>76</v>
      </c>
      <c r="F2" s="28" t="s">
        <v>83</v>
      </c>
      <c r="G2" s="28" t="s">
        <v>83</v>
      </c>
      <c r="H2" s="29" t="s">
        <v>77</v>
      </c>
      <c r="I2" s="54" t="s">
        <v>78</v>
      </c>
      <c r="J2" s="28" t="s">
        <v>83</v>
      </c>
      <c r="K2" s="28" t="s">
        <v>2646</v>
      </c>
    </row>
    <row r="3" spans="1:11" ht="52.8">
      <c r="A3" s="28">
        <v>2</v>
      </c>
      <c r="B3" s="48" t="s">
        <v>2647</v>
      </c>
      <c r="C3" s="28" t="s">
        <v>83</v>
      </c>
      <c r="D3" s="28" t="s">
        <v>14</v>
      </c>
      <c r="E3" s="28" t="s">
        <v>2648</v>
      </c>
      <c r="F3" s="28" t="s">
        <v>83</v>
      </c>
      <c r="G3" s="28" t="s">
        <v>83</v>
      </c>
      <c r="H3" s="28" t="s">
        <v>2649</v>
      </c>
      <c r="I3" s="54" t="s">
        <v>79</v>
      </c>
      <c r="J3" s="28" t="s">
        <v>80</v>
      </c>
      <c r="K3" s="28" t="s">
        <v>83</v>
      </c>
    </row>
    <row r="4" spans="1:11" ht="53.4">
      <c r="A4" s="28">
        <v>3</v>
      </c>
      <c r="B4" s="48" t="s">
        <v>3026</v>
      </c>
      <c r="C4" s="28" t="s">
        <v>83</v>
      </c>
      <c r="D4" s="28" t="s">
        <v>14</v>
      </c>
      <c r="E4" s="28" t="s">
        <v>81</v>
      </c>
      <c r="F4" s="28" t="s">
        <v>82</v>
      </c>
      <c r="G4" s="28" t="s">
        <v>83</v>
      </c>
      <c r="H4" s="28" t="s">
        <v>2650</v>
      </c>
      <c r="I4" s="54" t="s">
        <v>84</v>
      </c>
      <c r="J4" s="28" t="s">
        <v>2583</v>
      </c>
      <c r="K4" s="28" t="s">
        <v>83</v>
      </c>
    </row>
    <row r="5" spans="1:11" ht="53.4">
      <c r="A5" s="28">
        <v>4</v>
      </c>
      <c r="B5" s="48" t="s">
        <v>3026</v>
      </c>
      <c r="C5" s="28" t="s">
        <v>83</v>
      </c>
      <c r="D5" s="28" t="s">
        <v>14</v>
      </c>
      <c r="E5" s="28" t="s">
        <v>2651</v>
      </c>
      <c r="F5" s="28" t="s">
        <v>83</v>
      </c>
      <c r="G5" s="28" t="s">
        <v>83</v>
      </c>
      <c r="H5" s="28" t="s">
        <v>2652</v>
      </c>
      <c r="I5" s="54" t="s">
        <v>84</v>
      </c>
      <c r="J5" s="28" t="s">
        <v>85</v>
      </c>
      <c r="K5" s="28" t="s">
        <v>83</v>
      </c>
    </row>
    <row r="6" spans="1:11" ht="39.6">
      <c r="A6" s="28">
        <v>5</v>
      </c>
      <c r="B6" s="48" t="s">
        <v>2653</v>
      </c>
      <c r="C6" s="28" t="s">
        <v>83</v>
      </c>
      <c r="D6" s="28" t="s">
        <v>15</v>
      </c>
      <c r="E6" s="28" t="s">
        <v>2654</v>
      </c>
      <c r="F6" s="28" t="s">
        <v>87</v>
      </c>
      <c r="G6" s="28" t="s">
        <v>83</v>
      </c>
      <c r="H6" s="28" t="s">
        <v>88</v>
      </c>
      <c r="I6" s="54" t="s">
        <v>89</v>
      </c>
      <c r="J6" s="28" t="s">
        <v>83</v>
      </c>
      <c r="K6" s="28" t="s">
        <v>83</v>
      </c>
    </row>
    <row r="7" spans="1:11" ht="39.6">
      <c r="A7" s="28">
        <v>6</v>
      </c>
      <c r="B7" s="48" t="s">
        <v>2655</v>
      </c>
      <c r="C7" s="28" t="s">
        <v>2655</v>
      </c>
      <c r="D7" s="28" t="s">
        <v>15</v>
      </c>
      <c r="E7" s="28" t="s">
        <v>2584</v>
      </c>
      <c r="F7" s="28" t="s">
        <v>87</v>
      </c>
      <c r="G7" s="28" t="s">
        <v>83</v>
      </c>
      <c r="H7" s="28" t="s">
        <v>90</v>
      </c>
      <c r="I7" s="54" t="s">
        <v>91</v>
      </c>
      <c r="J7" s="28" t="s">
        <v>83</v>
      </c>
      <c r="K7" s="28" t="s">
        <v>83</v>
      </c>
    </row>
    <row r="8" spans="1:11" ht="52.8">
      <c r="A8" s="28">
        <v>7</v>
      </c>
      <c r="B8" s="48" t="s">
        <v>2656</v>
      </c>
      <c r="C8" s="28" t="s">
        <v>83</v>
      </c>
      <c r="D8" s="28" t="s">
        <v>22</v>
      </c>
      <c r="E8" s="28" t="s">
        <v>92</v>
      </c>
      <c r="F8" s="28" t="s">
        <v>82</v>
      </c>
      <c r="G8" s="28" t="s">
        <v>83</v>
      </c>
      <c r="H8" s="28" t="s">
        <v>93</v>
      </c>
      <c r="I8" s="54">
        <v>45444</v>
      </c>
      <c r="J8" s="28" t="s">
        <v>94</v>
      </c>
      <c r="K8" s="28" t="s">
        <v>95</v>
      </c>
    </row>
    <row r="9" spans="1:11" ht="66">
      <c r="A9" s="28">
        <v>8</v>
      </c>
      <c r="B9" s="48" t="s">
        <v>96</v>
      </c>
      <c r="C9" s="28" t="s">
        <v>83</v>
      </c>
      <c r="D9" s="28" t="s">
        <v>22</v>
      </c>
      <c r="E9" s="28" t="s">
        <v>2657</v>
      </c>
      <c r="F9" s="28" t="s">
        <v>82</v>
      </c>
      <c r="G9" s="28" t="s">
        <v>97</v>
      </c>
      <c r="H9" s="28" t="s">
        <v>98</v>
      </c>
      <c r="I9" s="54" t="s">
        <v>99</v>
      </c>
      <c r="J9" s="28" t="s">
        <v>100</v>
      </c>
      <c r="K9" s="28" t="s">
        <v>2585</v>
      </c>
    </row>
    <row r="10" spans="1:11" ht="92.4">
      <c r="A10" s="28">
        <v>9</v>
      </c>
      <c r="B10" s="48" t="s">
        <v>96</v>
      </c>
      <c r="C10" s="28" t="s">
        <v>83</v>
      </c>
      <c r="D10" s="28" t="s">
        <v>22</v>
      </c>
      <c r="E10" s="28" t="s">
        <v>2657</v>
      </c>
      <c r="F10" s="28" t="s">
        <v>82</v>
      </c>
      <c r="G10" s="28" t="s">
        <v>97</v>
      </c>
      <c r="H10" s="28" t="s">
        <v>101</v>
      </c>
      <c r="I10" s="54" t="s">
        <v>102</v>
      </c>
      <c r="J10" s="28" t="s">
        <v>100</v>
      </c>
      <c r="K10" s="28" t="s">
        <v>2586</v>
      </c>
    </row>
    <row r="11" spans="1:11" ht="39.6">
      <c r="A11" s="28">
        <v>10</v>
      </c>
      <c r="B11" s="48" t="s">
        <v>96</v>
      </c>
      <c r="C11" s="28" t="s">
        <v>83</v>
      </c>
      <c r="D11" s="28" t="s">
        <v>22</v>
      </c>
      <c r="E11" s="28" t="s">
        <v>103</v>
      </c>
      <c r="F11" s="28" t="s">
        <v>55</v>
      </c>
      <c r="G11" s="28" t="s">
        <v>97</v>
      </c>
      <c r="H11" s="28" t="s">
        <v>2658</v>
      </c>
      <c r="I11" s="54" t="s">
        <v>104</v>
      </c>
      <c r="J11" s="28" t="s">
        <v>105</v>
      </c>
      <c r="K11" s="28" t="s">
        <v>106</v>
      </c>
    </row>
    <row r="12" spans="1:11" ht="66">
      <c r="A12" s="28">
        <v>11</v>
      </c>
      <c r="B12" s="48" t="s">
        <v>107</v>
      </c>
      <c r="C12" s="28" t="s">
        <v>83</v>
      </c>
      <c r="D12" s="28" t="s">
        <v>14</v>
      </c>
      <c r="E12" s="28" t="s">
        <v>2659</v>
      </c>
      <c r="F12" s="28" t="s">
        <v>58</v>
      </c>
      <c r="G12" s="28" t="s">
        <v>97</v>
      </c>
      <c r="H12" s="28" t="s">
        <v>108</v>
      </c>
      <c r="I12" s="54" t="s">
        <v>109</v>
      </c>
      <c r="J12" s="28" t="s">
        <v>110</v>
      </c>
      <c r="K12" s="28" t="s">
        <v>111</v>
      </c>
    </row>
    <row r="13" spans="1:11" ht="52.8">
      <c r="A13" s="28">
        <v>12</v>
      </c>
      <c r="B13" s="48" t="s">
        <v>107</v>
      </c>
      <c r="C13" s="28" t="s">
        <v>83</v>
      </c>
      <c r="D13" s="28" t="s">
        <v>14</v>
      </c>
      <c r="E13" s="28" t="s">
        <v>2660</v>
      </c>
      <c r="F13" s="28" t="s">
        <v>58</v>
      </c>
      <c r="G13" s="28" t="s">
        <v>97</v>
      </c>
      <c r="H13" s="28" t="s">
        <v>2661</v>
      </c>
      <c r="I13" s="54" t="s">
        <v>112</v>
      </c>
      <c r="J13" s="28" t="s">
        <v>113</v>
      </c>
      <c r="K13" s="28" t="s">
        <v>83</v>
      </c>
    </row>
    <row r="14" spans="1:11" ht="40.200000000000003">
      <c r="A14" s="28">
        <v>13</v>
      </c>
      <c r="B14" s="48" t="s">
        <v>3026</v>
      </c>
      <c r="C14" s="28" t="s">
        <v>83</v>
      </c>
      <c r="D14" s="28" t="s">
        <v>14</v>
      </c>
      <c r="E14" s="28" t="s">
        <v>114</v>
      </c>
      <c r="F14" s="28" t="s">
        <v>83</v>
      </c>
      <c r="G14" s="28" t="s">
        <v>83</v>
      </c>
      <c r="H14" s="28" t="s">
        <v>115</v>
      </c>
      <c r="I14" s="54" t="s">
        <v>112</v>
      </c>
      <c r="J14" s="28" t="s">
        <v>83</v>
      </c>
      <c r="K14" s="28" t="s">
        <v>83</v>
      </c>
    </row>
    <row r="15" spans="1:11" ht="52.8">
      <c r="A15" s="28">
        <v>14</v>
      </c>
      <c r="B15" s="48" t="s">
        <v>2662</v>
      </c>
      <c r="C15" s="28" t="s">
        <v>83</v>
      </c>
      <c r="D15" s="28" t="s">
        <v>14</v>
      </c>
      <c r="E15" s="28" t="s">
        <v>117</v>
      </c>
      <c r="F15" s="28" t="s">
        <v>55</v>
      </c>
      <c r="G15" s="28" t="s">
        <v>97</v>
      </c>
      <c r="H15" s="28" t="s">
        <v>2663</v>
      </c>
      <c r="I15" s="54" t="s">
        <v>112</v>
      </c>
      <c r="J15" s="28" t="s">
        <v>118</v>
      </c>
      <c r="K15" s="28" t="s">
        <v>119</v>
      </c>
    </row>
    <row r="16" spans="1:11" ht="52.8">
      <c r="A16" s="28">
        <v>15</v>
      </c>
      <c r="B16" s="48" t="s">
        <v>120</v>
      </c>
      <c r="C16" s="28" t="s">
        <v>83</v>
      </c>
      <c r="D16" s="28" t="s">
        <v>17</v>
      </c>
      <c r="E16" s="28" t="s">
        <v>121</v>
      </c>
      <c r="F16" s="28" t="s">
        <v>83</v>
      </c>
      <c r="G16" s="28" t="s">
        <v>83</v>
      </c>
      <c r="H16" s="28" t="s">
        <v>122</v>
      </c>
      <c r="I16" s="54" t="s">
        <v>123</v>
      </c>
      <c r="J16" s="28" t="s">
        <v>124</v>
      </c>
      <c r="K16" s="28" t="s">
        <v>125</v>
      </c>
    </row>
    <row r="17" spans="1:11" ht="40.200000000000003">
      <c r="A17" s="28">
        <v>16</v>
      </c>
      <c r="B17" s="48" t="s">
        <v>2664</v>
      </c>
      <c r="C17" s="28" t="s">
        <v>83</v>
      </c>
      <c r="D17" s="28" t="s">
        <v>126</v>
      </c>
      <c r="E17" s="28" t="s">
        <v>127</v>
      </c>
      <c r="F17" s="28" t="s">
        <v>58</v>
      </c>
      <c r="G17" s="28" t="s">
        <v>83</v>
      </c>
      <c r="H17" s="28" t="s">
        <v>2587</v>
      </c>
      <c r="I17" s="54" t="s">
        <v>128</v>
      </c>
      <c r="J17" s="28" t="s">
        <v>129</v>
      </c>
      <c r="K17" s="28" t="s">
        <v>130</v>
      </c>
    </row>
    <row r="18" spans="1:11" ht="52.8">
      <c r="A18" s="28">
        <v>17</v>
      </c>
      <c r="B18" s="48" t="s">
        <v>131</v>
      </c>
      <c r="C18" s="28" t="s">
        <v>83</v>
      </c>
      <c r="D18" s="28" t="s">
        <v>126</v>
      </c>
      <c r="E18" s="28" t="s">
        <v>132</v>
      </c>
      <c r="F18" s="28" t="s">
        <v>58</v>
      </c>
      <c r="G18" s="28" t="s">
        <v>83</v>
      </c>
      <c r="H18" s="28" t="s">
        <v>2588</v>
      </c>
      <c r="I18" s="54" t="s">
        <v>133</v>
      </c>
      <c r="J18" s="28" t="s">
        <v>134</v>
      </c>
      <c r="K18" s="28" t="s">
        <v>135</v>
      </c>
    </row>
    <row r="19" spans="1:11" ht="39.6">
      <c r="A19" s="28">
        <v>18</v>
      </c>
      <c r="B19" s="48" t="s">
        <v>2665</v>
      </c>
      <c r="C19" s="28" t="s">
        <v>83</v>
      </c>
      <c r="D19" s="28" t="s">
        <v>15</v>
      </c>
      <c r="E19" s="28" t="s">
        <v>2666</v>
      </c>
      <c r="F19" s="28" t="s">
        <v>83</v>
      </c>
      <c r="G19" s="28" t="s">
        <v>97</v>
      </c>
      <c r="H19" s="28" t="s">
        <v>136</v>
      </c>
      <c r="I19" s="54" t="s">
        <v>91</v>
      </c>
      <c r="J19" s="28" t="s">
        <v>83</v>
      </c>
      <c r="K19" s="28" t="s">
        <v>83</v>
      </c>
    </row>
    <row r="20" spans="1:11" ht="52.8">
      <c r="A20" s="28">
        <v>19</v>
      </c>
      <c r="B20" s="48" t="s">
        <v>137</v>
      </c>
      <c r="C20" s="28" t="s">
        <v>83</v>
      </c>
      <c r="D20" s="28" t="s">
        <v>20</v>
      </c>
      <c r="E20" s="28" t="s">
        <v>2667</v>
      </c>
      <c r="F20" s="28" t="s">
        <v>87</v>
      </c>
      <c r="G20" s="28" t="s">
        <v>83</v>
      </c>
      <c r="H20" s="28" t="s">
        <v>2668</v>
      </c>
      <c r="I20" s="54" t="s">
        <v>112</v>
      </c>
      <c r="J20" s="28" t="s">
        <v>83</v>
      </c>
      <c r="K20" s="28" t="s">
        <v>83</v>
      </c>
    </row>
    <row r="21" spans="1:11" ht="52.8">
      <c r="A21" s="28">
        <v>20</v>
      </c>
      <c r="B21" s="48" t="s">
        <v>138</v>
      </c>
      <c r="C21" s="28" t="s">
        <v>83</v>
      </c>
      <c r="D21" s="28" t="s">
        <v>16</v>
      </c>
      <c r="E21" s="28" t="s">
        <v>2589</v>
      </c>
      <c r="F21" s="28" t="s">
        <v>83</v>
      </c>
      <c r="G21" s="28" t="s">
        <v>83</v>
      </c>
      <c r="H21" s="28" t="s">
        <v>139</v>
      </c>
      <c r="I21" s="54" t="s">
        <v>78</v>
      </c>
      <c r="J21" s="28" t="s">
        <v>83</v>
      </c>
      <c r="K21" s="28" t="s">
        <v>140</v>
      </c>
    </row>
    <row r="22" spans="1:11" ht="39.6">
      <c r="A22" s="28">
        <v>21</v>
      </c>
      <c r="B22" s="48" t="s">
        <v>2669</v>
      </c>
      <c r="C22" s="28" t="s">
        <v>97</v>
      </c>
      <c r="D22" s="28" t="s">
        <v>16</v>
      </c>
      <c r="E22" s="28" t="s">
        <v>2670</v>
      </c>
      <c r="F22" s="28" t="s">
        <v>83</v>
      </c>
      <c r="G22" s="28" t="s">
        <v>83</v>
      </c>
      <c r="H22" s="28" t="s">
        <v>142</v>
      </c>
      <c r="I22" s="54" t="s">
        <v>143</v>
      </c>
      <c r="J22" s="28" t="s">
        <v>83</v>
      </c>
      <c r="K22" s="28" t="s">
        <v>144</v>
      </c>
    </row>
    <row r="23" spans="1:11" ht="39.6">
      <c r="A23" s="28">
        <v>22</v>
      </c>
      <c r="B23" s="48" t="s">
        <v>2671</v>
      </c>
      <c r="C23" s="28" t="s">
        <v>83</v>
      </c>
      <c r="D23" s="28" t="s">
        <v>16</v>
      </c>
      <c r="E23" s="28" t="s">
        <v>2672</v>
      </c>
      <c r="F23" s="28" t="s">
        <v>83</v>
      </c>
      <c r="G23" s="28" t="s">
        <v>83</v>
      </c>
      <c r="H23" s="28" t="s">
        <v>146</v>
      </c>
      <c r="I23" s="54" t="s">
        <v>147</v>
      </c>
      <c r="J23" s="28" t="s">
        <v>83</v>
      </c>
      <c r="K23" s="28" t="s">
        <v>148</v>
      </c>
    </row>
    <row r="24" spans="1:11" ht="39.6">
      <c r="A24" s="28">
        <v>23</v>
      </c>
      <c r="B24" s="48" t="s">
        <v>149</v>
      </c>
      <c r="C24" s="28" t="s">
        <v>83</v>
      </c>
      <c r="D24" s="28" t="s">
        <v>16</v>
      </c>
      <c r="E24" s="28" t="s">
        <v>2673</v>
      </c>
      <c r="F24" s="28" t="s">
        <v>55</v>
      </c>
      <c r="G24" s="28" t="s">
        <v>97</v>
      </c>
      <c r="H24" s="28" t="s">
        <v>150</v>
      </c>
      <c r="I24" s="54" t="s">
        <v>151</v>
      </c>
      <c r="J24" s="28" t="s">
        <v>152</v>
      </c>
      <c r="K24" s="28" t="s">
        <v>153</v>
      </c>
    </row>
    <row r="25" spans="1:11" ht="52.8">
      <c r="A25" s="28">
        <v>24</v>
      </c>
      <c r="B25" s="48" t="s">
        <v>2674</v>
      </c>
      <c r="C25" s="28" t="s">
        <v>83</v>
      </c>
      <c r="D25" s="28" t="s">
        <v>154</v>
      </c>
      <c r="E25" s="28" t="s">
        <v>155</v>
      </c>
      <c r="F25" s="28" t="s">
        <v>83</v>
      </c>
      <c r="G25" s="28" t="s">
        <v>83</v>
      </c>
      <c r="H25" s="28" t="s">
        <v>156</v>
      </c>
      <c r="I25" s="54" t="s">
        <v>157</v>
      </c>
      <c r="J25" s="28" t="s">
        <v>83</v>
      </c>
      <c r="K25" s="28" t="s">
        <v>158</v>
      </c>
    </row>
    <row r="26" spans="1:11" ht="79.2">
      <c r="A26" s="28">
        <v>25</v>
      </c>
      <c r="B26" s="48" t="s">
        <v>131</v>
      </c>
      <c r="C26" s="28" t="s">
        <v>83</v>
      </c>
      <c r="D26" s="28" t="s">
        <v>126</v>
      </c>
      <c r="E26" s="28" t="s">
        <v>159</v>
      </c>
      <c r="F26" s="28" t="s">
        <v>58</v>
      </c>
      <c r="G26" s="28" t="s">
        <v>83</v>
      </c>
      <c r="H26" s="28" t="s">
        <v>160</v>
      </c>
      <c r="I26" s="54" t="s">
        <v>161</v>
      </c>
      <c r="J26" s="28" t="s">
        <v>83</v>
      </c>
      <c r="K26" s="28" t="s">
        <v>162</v>
      </c>
    </row>
    <row r="27" spans="1:11" ht="52.8">
      <c r="A27" s="28">
        <v>26</v>
      </c>
      <c r="B27" s="48" t="s">
        <v>163</v>
      </c>
      <c r="C27" s="28" t="s">
        <v>164</v>
      </c>
      <c r="D27" s="28" t="s">
        <v>17</v>
      </c>
      <c r="E27" s="28" t="s">
        <v>165</v>
      </c>
      <c r="F27" s="28" t="s">
        <v>83</v>
      </c>
      <c r="G27" s="28" t="s">
        <v>83</v>
      </c>
      <c r="H27" s="28" t="s">
        <v>2590</v>
      </c>
      <c r="I27" s="54" t="s">
        <v>166</v>
      </c>
      <c r="J27" s="28" t="s">
        <v>83</v>
      </c>
      <c r="K27" s="28" t="s">
        <v>83</v>
      </c>
    </row>
    <row r="28" spans="1:11" ht="79.2">
      <c r="A28" s="28">
        <v>27</v>
      </c>
      <c r="B28" s="48" t="s">
        <v>167</v>
      </c>
      <c r="C28" s="28" t="s">
        <v>83</v>
      </c>
      <c r="D28" s="28" t="s">
        <v>17</v>
      </c>
      <c r="E28" s="28" t="s">
        <v>2675</v>
      </c>
      <c r="F28" s="28" t="s">
        <v>83</v>
      </c>
      <c r="G28" s="28" t="s">
        <v>83</v>
      </c>
      <c r="H28" s="28" t="s">
        <v>2676</v>
      </c>
      <c r="I28" s="54" t="s">
        <v>166</v>
      </c>
      <c r="J28" s="28" t="s">
        <v>168</v>
      </c>
      <c r="K28" s="28" t="s">
        <v>169</v>
      </c>
    </row>
    <row r="29" spans="1:11" ht="39.6">
      <c r="A29" s="28">
        <v>28</v>
      </c>
      <c r="B29" s="48" t="s">
        <v>170</v>
      </c>
      <c r="C29" s="28" t="s">
        <v>83</v>
      </c>
      <c r="D29" s="28" t="s">
        <v>17</v>
      </c>
      <c r="E29" s="28" t="s">
        <v>2677</v>
      </c>
      <c r="F29" s="28" t="s">
        <v>83</v>
      </c>
      <c r="G29" s="28" t="s">
        <v>83</v>
      </c>
      <c r="H29" s="28" t="s">
        <v>171</v>
      </c>
      <c r="I29" s="54" t="s">
        <v>147</v>
      </c>
      <c r="J29" s="28" t="s">
        <v>172</v>
      </c>
      <c r="K29" s="28" t="s">
        <v>173</v>
      </c>
    </row>
    <row r="30" spans="1:11" ht="39.6">
      <c r="A30" s="28">
        <v>29</v>
      </c>
      <c r="B30" s="48" t="s">
        <v>174</v>
      </c>
      <c r="C30" s="28" t="s">
        <v>175</v>
      </c>
      <c r="D30" s="28" t="s">
        <v>23</v>
      </c>
      <c r="E30" s="28" t="s">
        <v>2678</v>
      </c>
      <c r="F30" s="28" t="s">
        <v>176</v>
      </c>
      <c r="G30" s="28" t="s">
        <v>97</v>
      </c>
      <c r="H30" s="28" t="s">
        <v>177</v>
      </c>
      <c r="I30" s="54" t="s">
        <v>147</v>
      </c>
      <c r="J30" s="28" t="s">
        <v>2679</v>
      </c>
      <c r="K30" s="28" t="s">
        <v>2680</v>
      </c>
    </row>
    <row r="31" spans="1:11" ht="52.8">
      <c r="A31" s="28">
        <v>30</v>
      </c>
      <c r="B31" s="48" t="s">
        <v>3006</v>
      </c>
      <c r="C31" s="28" t="s">
        <v>83</v>
      </c>
      <c r="D31" s="28" t="s">
        <v>23</v>
      </c>
      <c r="E31" s="28" t="s">
        <v>2681</v>
      </c>
      <c r="F31" s="28" t="s">
        <v>83</v>
      </c>
      <c r="G31" s="28" t="s">
        <v>83</v>
      </c>
      <c r="H31" s="28" t="s">
        <v>2682</v>
      </c>
      <c r="I31" s="54" t="s">
        <v>3027</v>
      </c>
      <c r="J31" s="28" t="s">
        <v>83</v>
      </c>
      <c r="K31" s="28" t="s">
        <v>83</v>
      </c>
    </row>
    <row r="32" spans="1:11" ht="39.6">
      <c r="A32" s="28">
        <v>31</v>
      </c>
      <c r="B32" s="48" t="s">
        <v>178</v>
      </c>
      <c r="C32" s="28" t="s">
        <v>83</v>
      </c>
      <c r="D32" s="28" t="s">
        <v>154</v>
      </c>
      <c r="E32" s="28" t="s">
        <v>179</v>
      </c>
      <c r="F32" s="28" t="s">
        <v>87</v>
      </c>
      <c r="G32" s="28" t="s">
        <v>97</v>
      </c>
      <c r="H32" s="28" t="s">
        <v>180</v>
      </c>
      <c r="I32" s="54" t="s">
        <v>3028</v>
      </c>
      <c r="J32" s="28" t="s">
        <v>181</v>
      </c>
      <c r="K32" s="28" t="s">
        <v>182</v>
      </c>
    </row>
    <row r="33" spans="1:11" ht="26.4">
      <c r="A33" s="28">
        <v>32</v>
      </c>
      <c r="B33" s="48" t="s">
        <v>2683</v>
      </c>
      <c r="C33" s="28" t="s">
        <v>83</v>
      </c>
      <c r="D33" s="28" t="s">
        <v>154</v>
      </c>
      <c r="E33" s="28" t="s">
        <v>183</v>
      </c>
      <c r="F33" s="28" t="s">
        <v>83</v>
      </c>
      <c r="G33" s="28" t="s">
        <v>83</v>
      </c>
      <c r="H33" s="28" t="s">
        <v>2684</v>
      </c>
      <c r="I33" s="54" t="s">
        <v>3029</v>
      </c>
      <c r="J33" s="28" t="s">
        <v>83</v>
      </c>
      <c r="K33" s="28" t="s">
        <v>83</v>
      </c>
    </row>
    <row r="34" spans="1:11" ht="39.6">
      <c r="A34" s="28">
        <v>33</v>
      </c>
      <c r="B34" s="48" t="s">
        <v>184</v>
      </c>
      <c r="C34" s="28" t="s">
        <v>83</v>
      </c>
      <c r="D34" s="28" t="s">
        <v>15</v>
      </c>
      <c r="E34" s="28" t="s">
        <v>2685</v>
      </c>
      <c r="F34" s="28" t="s">
        <v>87</v>
      </c>
      <c r="G34" s="28" t="s">
        <v>83</v>
      </c>
      <c r="H34" s="28" t="s">
        <v>2686</v>
      </c>
      <c r="I34" s="54">
        <v>45627</v>
      </c>
      <c r="J34" s="28" t="s">
        <v>83</v>
      </c>
      <c r="K34" s="28" t="s">
        <v>83</v>
      </c>
    </row>
    <row r="35" spans="1:11" ht="26.4">
      <c r="A35" s="28">
        <v>34</v>
      </c>
      <c r="B35" s="48" t="s">
        <v>2591</v>
      </c>
      <c r="C35" s="28" t="s">
        <v>83</v>
      </c>
      <c r="D35" s="28" t="s">
        <v>20</v>
      </c>
      <c r="E35" s="28" t="s">
        <v>2687</v>
      </c>
      <c r="F35" s="28" t="s">
        <v>87</v>
      </c>
      <c r="G35" s="28" t="s">
        <v>83</v>
      </c>
      <c r="H35" s="28" t="s">
        <v>186</v>
      </c>
      <c r="I35" s="54">
        <v>45542</v>
      </c>
      <c r="J35" s="28" t="s">
        <v>83</v>
      </c>
      <c r="K35" s="28" t="s">
        <v>83</v>
      </c>
    </row>
    <row r="36" spans="1:11" ht="92.4">
      <c r="A36" s="28">
        <v>35</v>
      </c>
      <c r="B36" s="48" t="s">
        <v>187</v>
      </c>
      <c r="C36" s="28" t="s">
        <v>188</v>
      </c>
      <c r="D36" s="28" t="s">
        <v>20</v>
      </c>
      <c r="E36" s="28" t="s">
        <v>2688</v>
      </c>
      <c r="F36" s="28" t="s">
        <v>176</v>
      </c>
      <c r="G36" s="28" t="s">
        <v>83</v>
      </c>
      <c r="H36" s="28" t="s">
        <v>189</v>
      </c>
      <c r="I36" s="54">
        <v>45505</v>
      </c>
      <c r="J36" s="28" t="s">
        <v>83</v>
      </c>
      <c r="K36" s="28" t="s">
        <v>83</v>
      </c>
    </row>
    <row r="37" spans="1:11" ht="66">
      <c r="A37" s="28">
        <v>36</v>
      </c>
      <c r="B37" s="48" t="s">
        <v>190</v>
      </c>
      <c r="C37" s="28" t="s">
        <v>191</v>
      </c>
      <c r="D37" s="28" t="s">
        <v>20</v>
      </c>
      <c r="E37" s="28" t="s">
        <v>2689</v>
      </c>
      <c r="F37" s="28" t="s">
        <v>87</v>
      </c>
      <c r="G37" s="28" t="s">
        <v>83</v>
      </c>
      <c r="H37" s="28" t="s">
        <v>192</v>
      </c>
      <c r="I37" s="54">
        <v>45566</v>
      </c>
      <c r="J37" s="28" t="s">
        <v>83</v>
      </c>
      <c r="K37" s="28" t="s">
        <v>83</v>
      </c>
    </row>
    <row r="38" spans="1:11" ht="52.8">
      <c r="A38" s="28">
        <v>37</v>
      </c>
      <c r="B38" s="48" t="s">
        <v>2690</v>
      </c>
      <c r="C38" s="28" t="s">
        <v>2691</v>
      </c>
      <c r="D38" s="28" t="s">
        <v>20</v>
      </c>
      <c r="E38" s="28" t="s">
        <v>2692</v>
      </c>
      <c r="F38" s="28" t="s">
        <v>82</v>
      </c>
      <c r="G38" s="28" t="s">
        <v>83</v>
      </c>
      <c r="H38" s="28" t="s">
        <v>2693</v>
      </c>
      <c r="I38" s="54">
        <v>45597</v>
      </c>
      <c r="J38" s="28" t="s">
        <v>83</v>
      </c>
      <c r="K38" s="28" t="s">
        <v>83</v>
      </c>
    </row>
    <row r="39" spans="1:11" ht="39.6">
      <c r="A39" s="28">
        <v>38</v>
      </c>
      <c r="B39" s="48" t="s">
        <v>2694</v>
      </c>
      <c r="C39" s="28" t="s">
        <v>83</v>
      </c>
      <c r="D39" s="28" t="s">
        <v>22</v>
      </c>
      <c r="E39" s="28" t="s">
        <v>2695</v>
      </c>
      <c r="F39" s="28" t="s">
        <v>55</v>
      </c>
      <c r="G39" s="28" t="s">
        <v>83</v>
      </c>
      <c r="H39" s="28" t="s">
        <v>194</v>
      </c>
      <c r="I39" s="54" t="s">
        <v>2592</v>
      </c>
      <c r="J39" s="28" t="s">
        <v>195</v>
      </c>
      <c r="K39" s="28" t="s">
        <v>83</v>
      </c>
    </row>
    <row r="40" spans="1:11" ht="39.6">
      <c r="A40" s="28">
        <v>39</v>
      </c>
      <c r="B40" s="48" t="s">
        <v>196</v>
      </c>
      <c r="C40" s="28" t="s">
        <v>83</v>
      </c>
      <c r="D40" s="28" t="s">
        <v>16</v>
      </c>
      <c r="E40" s="28" t="s">
        <v>2696</v>
      </c>
      <c r="F40" s="28" t="s">
        <v>83</v>
      </c>
      <c r="G40" s="28" t="s">
        <v>97</v>
      </c>
      <c r="H40" s="28" t="s">
        <v>2697</v>
      </c>
      <c r="I40" s="54" t="s">
        <v>197</v>
      </c>
      <c r="J40" s="28" t="s">
        <v>198</v>
      </c>
      <c r="K40" s="28" t="s">
        <v>199</v>
      </c>
    </row>
    <row r="41" spans="1:11" ht="39.6">
      <c r="A41" s="28">
        <v>40</v>
      </c>
      <c r="B41" s="48" t="s">
        <v>2698</v>
      </c>
      <c r="C41" s="28" t="s">
        <v>83</v>
      </c>
      <c r="D41" s="28" t="s">
        <v>16</v>
      </c>
      <c r="E41" s="28" t="s">
        <v>2699</v>
      </c>
      <c r="F41" s="28" t="s">
        <v>83</v>
      </c>
      <c r="G41" s="28" t="s">
        <v>83</v>
      </c>
      <c r="H41" s="28" t="s">
        <v>201</v>
      </c>
      <c r="I41" s="54" t="s">
        <v>3030</v>
      </c>
      <c r="J41" s="28" t="s">
        <v>83</v>
      </c>
      <c r="K41" s="28" t="s">
        <v>202</v>
      </c>
    </row>
    <row r="42" spans="1:11" ht="39.6">
      <c r="A42" s="28">
        <v>41</v>
      </c>
      <c r="B42" s="48" t="s">
        <v>203</v>
      </c>
      <c r="C42" s="28" t="s">
        <v>83</v>
      </c>
      <c r="D42" s="28" t="s">
        <v>23</v>
      </c>
      <c r="E42" s="28" t="s">
        <v>2700</v>
      </c>
      <c r="F42" s="28" t="s">
        <v>83</v>
      </c>
      <c r="G42" s="28" t="s">
        <v>83</v>
      </c>
      <c r="H42" s="28" t="s">
        <v>204</v>
      </c>
      <c r="I42" s="54" t="s">
        <v>3031</v>
      </c>
      <c r="J42" s="28" t="s">
        <v>205</v>
      </c>
      <c r="K42" s="28" t="s">
        <v>206</v>
      </c>
    </row>
    <row r="43" spans="1:11" ht="39.6">
      <c r="A43" s="28">
        <v>42</v>
      </c>
      <c r="B43" s="48" t="s">
        <v>207</v>
      </c>
      <c r="C43" s="28" t="s">
        <v>83</v>
      </c>
      <c r="D43" s="28" t="s">
        <v>23</v>
      </c>
      <c r="E43" s="28" t="s">
        <v>2700</v>
      </c>
      <c r="F43" s="28" t="s">
        <v>83</v>
      </c>
      <c r="G43" s="28" t="s">
        <v>83</v>
      </c>
      <c r="H43" s="28" t="s">
        <v>208</v>
      </c>
      <c r="I43" s="54" t="s">
        <v>3032</v>
      </c>
      <c r="J43" s="28" t="s">
        <v>205</v>
      </c>
      <c r="K43" s="28" t="s">
        <v>209</v>
      </c>
    </row>
    <row r="44" spans="1:11" ht="39.6">
      <c r="A44" s="28">
        <v>43</v>
      </c>
      <c r="B44" s="48" t="s">
        <v>210</v>
      </c>
      <c r="C44" s="28" t="s">
        <v>83</v>
      </c>
      <c r="D44" s="28" t="s">
        <v>16</v>
      </c>
      <c r="E44" s="28" t="s">
        <v>2701</v>
      </c>
      <c r="F44" s="28" t="s">
        <v>83</v>
      </c>
      <c r="G44" s="28" t="s">
        <v>83</v>
      </c>
      <c r="H44" s="28" t="s">
        <v>2702</v>
      </c>
      <c r="I44" s="54" t="s">
        <v>211</v>
      </c>
      <c r="J44" s="28" t="s">
        <v>83</v>
      </c>
      <c r="K44" s="28" t="s">
        <v>212</v>
      </c>
    </row>
    <row r="45" spans="1:11" ht="39.6">
      <c r="A45" s="28">
        <v>44</v>
      </c>
      <c r="B45" s="48" t="s">
        <v>210</v>
      </c>
      <c r="C45" s="28" t="s">
        <v>83</v>
      </c>
      <c r="D45" s="28" t="s">
        <v>16</v>
      </c>
      <c r="E45" s="28" t="s">
        <v>2701</v>
      </c>
      <c r="F45" s="28" t="s">
        <v>83</v>
      </c>
      <c r="G45" s="28" t="s">
        <v>83</v>
      </c>
      <c r="H45" s="28" t="s">
        <v>213</v>
      </c>
      <c r="I45" s="54" t="s">
        <v>211</v>
      </c>
      <c r="J45" s="28" t="s">
        <v>83</v>
      </c>
      <c r="K45" s="28" t="s">
        <v>214</v>
      </c>
    </row>
    <row r="46" spans="1:11" ht="26.4">
      <c r="A46" s="28">
        <v>45</v>
      </c>
      <c r="B46" s="48" t="s">
        <v>215</v>
      </c>
      <c r="C46" s="28" t="s">
        <v>83</v>
      </c>
      <c r="D46" s="28" t="s">
        <v>16</v>
      </c>
      <c r="E46" s="28" t="s">
        <v>216</v>
      </c>
      <c r="F46" s="28" t="s">
        <v>83</v>
      </c>
      <c r="G46" s="28" t="s">
        <v>83</v>
      </c>
      <c r="H46" s="28" t="s">
        <v>2703</v>
      </c>
      <c r="I46" s="54" t="s">
        <v>217</v>
      </c>
      <c r="J46" s="28" t="s">
        <v>83</v>
      </c>
      <c r="K46" s="28" t="s">
        <v>218</v>
      </c>
    </row>
    <row r="47" spans="1:11" ht="52.8">
      <c r="A47" s="28">
        <v>46</v>
      </c>
      <c r="B47" s="48" t="s">
        <v>219</v>
      </c>
      <c r="C47" s="28" t="s">
        <v>83</v>
      </c>
      <c r="D47" s="28" t="s">
        <v>14</v>
      </c>
      <c r="E47" s="28" t="s">
        <v>220</v>
      </c>
      <c r="F47" s="28" t="s">
        <v>58</v>
      </c>
      <c r="G47" s="28" t="s">
        <v>97</v>
      </c>
      <c r="H47" s="28" t="s">
        <v>2704</v>
      </c>
      <c r="I47" s="54" t="s">
        <v>2593</v>
      </c>
      <c r="J47" s="28" t="s">
        <v>221</v>
      </c>
      <c r="K47" s="28" t="s">
        <v>222</v>
      </c>
    </row>
    <row r="48" spans="1:11" ht="52.8">
      <c r="A48" s="28">
        <v>47</v>
      </c>
      <c r="B48" s="48" t="s">
        <v>219</v>
      </c>
      <c r="C48" s="28" t="s">
        <v>83</v>
      </c>
      <c r="D48" s="28" t="s">
        <v>14</v>
      </c>
      <c r="E48" s="28" t="s">
        <v>223</v>
      </c>
      <c r="F48" s="28" t="s">
        <v>55</v>
      </c>
      <c r="G48" s="28" t="s">
        <v>97</v>
      </c>
      <c r="H48" s="28" t="s">
        <v>2705</v>
      </c>
      <c r="I48" s="54" t="s">
        <v>2593</v>
      </c>
      <c r="J48" s="28" t="s">
        <v>224</v>
      </c>
      <c r="K48" s="28" t="s">
        <v>225</v>
      </c>
    </row>
    <row r="49" spans="1:11" ht="39.6">
      <c r="A49" s="28">
        <v>48</v>
      </c>
      <c r="B49" s="48" t="s">
        <v>226</v>
      </c>
      <c r="C49" s="28" t="s">
        <v>83</v>
      </c>
      <c r="D49" s="28" t="s">
        <v>14</v>
      </c>
      <c r="E49" s="28" t="s">
        <v>227</v>
      </c>
      <c r="F49" s="28" t="s">
        <v>83</v>
      </c>
      <c r="G49" s="28" t="s">
        <v>83</v>
      </c>
      <c r="H49" s="28" t="s">
        <v>2706</v>
      </c>
      <c r="I49" s="54" t="s">
        <v>2594</v>
      </c>
      <c r="J49" s="28" t="s">
        <v>83</v>
      </c>
      <c r="K49" s="28" t="s">
        <v>83</v>
      </c>
    </row>
    <row r="50" spans="1:11" ht="92.4">
      <c r="A50" s="28">
        <v>49</v>
      </c>
      <c r="B50" s="48" t="s">
        <v>228</v>
      </c>
      <c r="C50" s="28" t="s">
        <v>83</v>
      </c>
      <c r="D50" s="28" t="s">
        <v>14</v>
      </c>
      <c r="E50" s="28" t="s">
        <v>229</v>
      </c>
      <c r="F50" s="28" t="s">
        <v>83</v>
      </c>
      <c r="G50" s="28" t="s">
        <v>83</v>
      </c>
      <c r="H50" s="28" t="s">
        <v>230</v>
      </c>
      <c r="I50" s="54" t="s">
        <v>231</v>
      </c>
      <c r="J50" s="28">
        <v>9781003545941</v>
      </c>
      <c r="K50" s="28" t="s">
        <v>232</v>
      </c>
    </row>
    <row r="51" spans="1:11" ht="52.8">
      <c r="A51" s="28">
        <v>50</v>
      </c>
      <c r="B51" s="48" t="s">
        <v>233</v>
      </c>
      <c r="C51" s="28" t="s">
        <v>83</v>
      </c>
      <c r="D51" s="28" t="s">
        <v>14</v>
      </c>
      <c r="E51" s="28" t="s">
        <v>235</v>
      </c>
      <c r="F51" s="28" t="s">
        <v>55</v>
      </c>
      <c r="G51" s="28" t="s">
        <v>97</v>
      </c>
      <c r="H51" s="28" t="s">
        <v>2595</v>
      </c>
      <c r="I51" s="54" t="s">
        <v>147</v>
      </c>
      <c r="J51" s="28">
        <v>15498328</v>
      </c>
      <c r="K51" s="28" t="s">
        <v>236</v>
      </c>
    </row>
    <row r="52" spans="1:11" ht="26.4">
      <c r="A52" s="28">
        <v>51</v>
      </c>
      <c r="B52" s="48" t="s">
        <v>2662</v>
      </c>
      <c r="C52" s="28" t="s">
        <v>83</v>
      </c>
      <c r="D52" s="28" t="s">
        <v>14</v>
      </c>
      <c r="E52" s="28" t="s">
        <v>2707</v>
      </c>
      <c r="F52" s="28" t="s">
        <v>83</v>
      </c>
      <c r="G52" s="28" t="s">
        <v>83</v>
      </c>
      <c r="H52" s="28" t="s">
        <v>237</v>
      </c>
      <c r="I52" s="54" t="s">
        <v>147</v>
      </c>
      <c r="J52" s="28" t="s">
        <v>238</v>
      </c>
      <c r="K52" s="28" t="s">
        <v>239</v>
      </c>
    </row>
    <row r="53" spans="1:11" ht="39.6">
      <c r="A53" s="28">
        <v>52</v>
      </c>
      <c r="B53" s="48" t="s">
        <v>240</v>
      </c>
      <c r="C53" s="28" t="s">
        <v>83</v>
      </c>
      <c r="D53" s="28" t="s">
        <v>14</v>
      </c>
      <c r="E53" s="28" t="s">
        <v>2708</v>
      </c>
      <c r="F53" s="28" t="s">
        <v>83</v>
      </c>
      <c r="G53" s="28" t="s">
        <v>97</v>
      </c>
      <c r="H53" s="28" t="s">
        <v>241</v>
      </c>
      <c r="I53" s="54" t="s">
        <v>2594</v>
      </c>
      <c r="J53" s="28" t="s">
        <v>83</v>
      </c>
      <c r="K53" s="28" t="s">
        <v>83</v>
      </c>
    </row>
    <row r="54" spans="1:11" ht="52.8">
      <c r="A54" s="28">
        <v>53</v>
      </c>
      <c r="B54" s="48" t="s">
        <v>242</v>
      </c>
      <c r="C54" s="28" t="s">
        <v>83</v>
      </c>
      <c r="D54" s="28" t="s">
        <v>14</v>
      </c>
      <c r="E54" s="28" t="s">
        <v>243</v>
      </c>
      <c r="F54" s="28" t="s">
        <v>83</v>
      </c>
      <c r="G54" s="28" t="s">
        <v>97</v>
      </c>
      <c r="H54" s="28" t="s">
        <v>2596</v>
      </c>
      <c r="I54" s="54" t="s">
        <v>244</v>
      </c>
      <c r="J54" s="28" t="s">
        <v>245</v>
      </c>
      <c r="K54" s="28" t="s">
        <v>246</v>
      </c>
    </row>
    <row r="55" spans="1:11" ht="52.8">
      <c r="A55" s="28">
        <v>54</v>
      </c>
      <c r="B55" s="48" t="s">
        <v>242</v>
      </c>
      <c r="C55" s="28" t="s">
        <v>83</v>
      </c>
      <c r="D55" s="28" t="s">
        <v>14</v>
      </c>
      <c r="E55" s="28" t="s">
        <v>2709</v>
      </c>
      <c r="F55" s="28" t="s">
        <v>83</v>
      </c>
      <c r="G55" s="28" t="s">
        <v>247</v>
      </c>
      <c r="H55" s="28" t="s">
        <v>2710</v>
      </c>
      <c r="I55" s="54" t="s">
        <v>248</v>
      </c>
      <c r="J55" s="28" t="s">
        <v>83</v>
      </c>
      <c r="K55" s="28" t="s">
        <v>246</v>
      </c>
    </row>
    <row r="56" spans="1:11" ht="52.8">
      <c r="A56" s="28">
        <v>55</v>
      </c>
      <c r="B56" s="48" t="s">
        <v>242</v>
      </c>
      <c r="C56" s="28" t="s">
        <v>83</v>
      </c>
      <c r="D56" s="28" t="s">
        <v>14</v>
      </c>
      <c r="E56" s="28" t="s">
        <v>2711</v>
      </c>
      <c r="F56" s="28" t="s">
        <v>83</v>
      </c>
      <c r="G56" s="28" t="s">
        <v>247</v>
      </c>
      <c r="H56" s="28" t="s">
        <v>2712</v>
      </c>
      <c r="I56" s="54" t="s">
        <v>249</v>
      </c>
      <c r="J56" s="28" t="s">
        <v>83</v>
      </c>
      <c r="K56" s="28" t="s">
        <v>246</v>
      </c>
    </row>
    <row r="57" spans="1:11" ht="52.8">
      <c r="A57" s="28">
        <v>56</v>
      </c>
      <c r="B57" s="48" t="s">
        <v>250</v>
      </c>
      <c r="C57" s="28" t="s">
        <v>83</v>
      </c>
      <c r="D57" s="28" t="s">
        <v>15</v>
      </c>
      <c r="E57" s="28" t="s">
        <v>2713</v>
      </c>
      <c r="F57" s="28" t="s">
        <v>87</v>
      </c>
      <c r="G57" s="28" t="s">
        <v>83</v>
      </c>
      <c r="H57" s="28" t="s">
        <v>2714</v>
      </c>
      <c r="I57" s="54">
        <v>45597</v>
      </c>
      <c r="J57" s="28" t="s">
        <v>83</v>
      </c>
      <c r="K57" s="28" t="s">
        <v>83</v>
      </c>
    </row>
    <row r="58" spans="1:11" ht="26.4">
      <c r="A58" s="28">
        <v>57</v>
      </c>
      <c r="B58" s="48" t="s">
        <v>251</v>
      </c>
      <c r="C58" s="28" t="s">
        <v>83</v>
      </c>
      <c r="D58" s="28" t="s">
        <v>15</v>
      </c>
      <c r="E58" s="28" t="s">
        <v>252</v>
      </c>
      <c r="F58" s="28" t="s">
        <v>87</v>
      </c>
      <c r="G58" s="28" t="s">
        <v>83</v>
      </c>
      <c r="H58" s="28" t="s">
        <v>253</v>
      </c>
      <c r="I58" s="54">
        <v>45566</v>
      </c>
      <c r="J58" s="28" t="s">
        <v>83</v>
      </c>
      <c r="K58" s="28" t="s">
        <v>83</v>
      </c>
    </row>
    <row r="59" spans="1:11" ht="26.4">
      <c r="A59" s="28">
        <v>58</v>
      </c>
      <c r="B59" s="48" t="s">
        <v>254</v>
      </c>
      <c r="C59" s="28" t="s">
        <v>83</v>
      </c>
      <c r="D59" s="28" t="s">
        <v>15</v>
      </c>
      <c r="E59" s="28" t="s">
        <v>2715</v>
      </c>
      <c r="F59" s="28" t="s">
        <v>87</v>
      </c>
      <c r="G59" s="28" t="s">
        <v>83</v>
      </c>
      <c r="H59" s="28"/>
      <c r="I59" s="54">
        <v>45566</v>
      </c>
      <c r="J59" s="28" t="s">
        <v>83</v>
      </c>
      <c r="K59" s="28" t="s">
        <v>83</v>
      </c>
    </row>
    <row r="60" spans="1:11" ht="39.6">
      <c r="A60" s="28">
        <v>59</v>
      </c>
      <c r="B60" s="48" t="s">
        <v>2716</v>
      </c>
      <c r="C60" s="28" t="s">
        <v>83</v>
      </c>
      <c r="D60" s="28" t="s">
        <v>15</v>
      </c>
      <c r="E60" s="28" t="s">
        <v>2717</v>
      </c>
      <c r="F60" s="28" t="s">
        <v>87</v>
      </c>
      <c r="G60" s="28" t="s">
        <v>83</v>
      </c>
      <c r="H60" s="28" t="s">
        <v>256</v>
      </c>
      <c r="I60" s="54">
        <v>45474</v>
      </c>
      <c r="J60" s="28" t="s">
        <v>83</v>
      </c>
      <c r="K60" s="28" t="s">
        <v>83</v>
      </c>
    </row>
    <row r="61" spans="1:11" ht="39.6">
      <c r="A61" s="28">
        <v>60</v>
      </c>
      <c r="B61" s="48" t="s">
        <v>257</v>
      </c>
      <c r="C61" s="28" t="s">
        <v>83</v>
      </c>
      <c r="D61" s="28" t="s">
        <v>15</v>
      </c>
      <c r="E61" s="28" t="s">
        <v>2718</v>
      </c>
      <c r="F61" s="28" t="s">
        <v>87</v>
      </c>
      <c r="G61" s="28" t="s">
        <v>83</v>
      </c>
      <c r="H61" s="28" t="s">
        <v>258</v>
      </c>
      <c r="I61" s="54">
        <v>45627</v>
      </c>
      <c r="J61" s="28" t="s">
        <v>83</v>
      </c>
      <c r="K61" s="28" t="s">
        <v>83</v>
      </c>
    </row>
    <row r="62" spans="1:11" ht="39.6">
      <c r="A62" s="28">
        <v>61</v>
      </c>
      <c r="B62" s="48" t="s">
        <v>259</v>
      </c>
      <c r="C62" s="28" t="s">
        <v>83</v>
      </c>
      <c r="D62" s="28" t="s">
        <v>15</v>
      </c>
      <c r="E62" s="28" t="s">
        <v>2719</v>
      </c>
      <c r="F62" s="28" t="s">
        <v>87</v>
      </c>
      <c r="G62" s="28" t="s">
        <v>83</v>
      </c>
      <c r="H62" s="28" t="s">
        <v>2720</v>
      </c>
      <c r="I62" s="54" t="s">
        <v>260</v>
      </c>
      <c r="J62" s="28" t="s">
        <v>83</v>
      </c>
      <c r="K62" s="28" t="s">
        <v>83</v>
      </c>
    </row>
    <row r="63" spans="1:11" ht="39.6">
      <c r="A63" s="28">
        <v>62</v>
      </c>
      <c r="B63" s="48" t="s">
        <v>259</v>
      </c>
      <c r="C63" s="28" t="s">
        <v>83</v>
      </c>
      <c r="D63" s="28" t="s">
        <v>15</v>
      </c>
      <c r="E63" s="28" t="s">
        <v>261</v>
      </c>
      <c r="F63" s="28" t="s">
        <v>87</v>
      </c>
      <c r="G63" s="28" t="s">
        <v>83</v>
      </c>
      <c r="H63" s="28" t="s">
        <v>2721</v>
      </c>
      <c r="I63" s="54" t="s">
        <v>262</v>
      </c>
      <c r="J63" s="28" t="s">
        <v>83</v>
      </c>
      <c r="K63" s="28" t="s">
        <v>83</v>
      </c>
    </row>
    <row r="64" spans="1:11" ht="39.6">
      <c r="A64" s="28">
        <v>63</v>
      </c>
      <c r="B64" s="48" t="s">
        <v>263</v>
      </c>
      <c r="C64" s="28" t="s">
        <v>264</v>
      </c>
      <c r="D64" s="28" t="s">
        <v>15</v>
      </c>
      <c r="E64" s="28" t="s">
        <v>2722</v>
      </c>
      <c r="F64" s="28" t="s">
        <v>176</v>
      </c>
      <c r="G64" s="28" t="s">
        <v>83</v>
      </c>
      <c r="H64" s="28" t="s">
        <v>265</v>
      </c>
      <c r="I64" s="54" t="s">
        <v>266</v>
      </c>
      <c r="J64" s="28" t="s">
        <v>83</v>
      </c>
      <c r="K64" s="28" t="s">
        <v>83</v>
      </c>
    </row>
    <row r="65" spans="1:11" ht="158.4">
      <c r="A65" s="28">
        <v>64</v>
      </c>
      <c r="B65" s="48" t="s">
        <v>263</v>
      </c>
      <c r="C65" s="28" t="s">
        <v>2723</v>
      </c>
      <c r="D65" s="28" t="s">
        <v>15</v>
      </c>
      <c r="E65" s="28" t="s">
        <v>2724</v>
      </c>
      <c r="F65" s="28" t="s">
        <v>87</v>
      </c>
      <c r="G65" s="28" t="s">
        <v>83</v>
      </c>
      <c r="H65" s="28" t="s">
        <v>2725</v>
      </c>
      <c r="I65" s="54">
        <v>45627</v>
      </c>
      <c r="J65" s="28" t="s">
        <v>83</v>
      </c>
      <c r="K65" s="28" t="s">
        <v>83</v>
      </c>
    </row>
    <row r="66" spans="1:11" ht="52.8">
      <c r="A66" s="28">
        <v>65</v>
      </c>
      <c r="B66" s="48" t="s">
        <v>267</v>
      </c>
      <c r="C66" s="28" t="s">
        <v>268</v>
      </c>
      <c r="D66" s="28" t="s">
        <v>16</v>
      </c>
      <c r="E66" s="28" t="s">
        <v>269</v>
      </c>
      <c r="F66" s="28" t="s">
        <v>87</v>
      </c>
      <c r="G66" s="28" t="s">
        <v>83</v>
      </c>
      <c r="H66" s="28" t="s">
        <v>270</v>
      </c>
      <c r="I66" s="54" t="s">
        <v>231</v>
      </c>
      <c r="J66" s="28" t="s">
        <v>83</v>
      </c>
      <c r="K66" s="28" t="s">
        <v>271</v>
      </c>
    </row>
    <row r="67" spans="1:11" ht="39.6">
      <c r="A67" s="28">
        <v>66</v>
      </c>
      <c r="B67" s="48" t="s">
        <v>272</v>
      </c>
      <c r="C67" s="28" t="s">
        <v>83</v>
      </c>
      <c r="D67" s="28" t="s">
        <v>16</v>
      </c>
      <c r="E67" s="28" t="s">
        <v>2597</v>
      </c>
      <c r="F67" s="28" t="s">
        <v>87</v>
      </c>
      <c r="G67" s="28" t="s">
        <v>83</v>
      </c>
      <c r="H67" s="28" t="s">
        <v>2598</v>
      </c>
      <c r="I67" s="54" t="s">
        <v>2599</v>
      </c>
      <c r="J67" s="28" t="s">
        <v>273</v>
      </c>
      <c r="K67" s="28" t="s">
        <v>274</v>
      </c>
    </row>
    <row r="68" spans="1:11" ht="52.8">
      <c r="A68" s="28">
        <v>67</v>
      </c>
      <c r="B68" s="48" t="s">
        <v>275</v>
      </c>
      <c r="C68" s="28" t="s">
        <v>83</v>
      </c>
      <c r="D68" s="28" t="s">
        <v>16</v>
      </c>
      <c r="E68" s="28" t="s">
        <v>2726</v>
      </c>
      <c r="F68" s="28" t="s">
        <v>58</v>
      </c>
      <c r="G68" s="28" t="s">
        <v>97</v>
      </c>
      <c r="H68" s="28" t="s">
        <v>276</v>
      </c>
      <c r="I68" s="54" t="s">
        <v>277</v>
      </c>
      <c r="J68" s="28" t="s">
        <v>278</v>
      </c>
      <c r="K68" s="28" t="s">
        <v>279</v>
      </c>
    </row>
    <row r="69" spans="1:11" ht="39.6">
      <c r="A69" s="28">
        <v>68</v>
      </c>
      <c r="B69" s="48" t="s">
        <v>280</v>
      </c>
      <c r="C69" s="28" t="s">
        <v>83</v>
      </c>
      <c r="D69" s="28" t="s">
        <v>16</v>
      </c>
      <c r="E69" s="28" t="s">
        <v>2597</v>
      </c>
      <c r="F69" s="28" t="s">
        <v>87</v>
      </c>
      <c r="G69" s="28" t="s">
        <v>83</v>
      </c>
      <c r="H69" s="28" t="s">
        <v>2727</v>
      </c>
      <c r="I69" s="54" t="s">
        <v>2599</v>
      </c>
      <c r="J69" s="28" t="s">
        <v>83</v>
      </c>
      <c r="K69" s="28" t="s">
        <v>281</v>
      </c>
    </row>
    <row r="70" spans="1:11" ht="39.6">
      <c r="A70" s="28">
        <v>69</v>
      </c>
      <c r="B70" s="48" t="s">
        <v>96</v>
      </c>
      <c r="C70" s="28" t="s">
        <v>83</v>
      </c>
      <c r="D70" s="28" t="s">
        <v>22</v>
      </c>
      <c r="E70" s="28" t="s">
        <v>282</v>
      </c>
      <c r="F70" s="28" t="s">
        <v>283</v>
      </c>
      <c r="G70" s="28" t="s">
        <v>97</v>
      </c>
      <c r="H70" s="28" t="s">
        <v>284</v>
      </c>
      <c r="I70" s="54" t="s">
        <v>285</v>
      </c>
      <c r="J70" s="28" t="s">
        <v>286</v>
      </c>
      <c r="K70" s="28" t="s">
        <v>287</v>
      </c>
    </row>
    <row r="71" spans="1:11" ht="39.6">
      <c r="A71" s="28">
        <v>70</v>
      </c>
      <c r="B71" s="48" t="s">
        <v>272</v>
      </c>
      <c r="C71" s="28" t="s">
        <v>97</v>
      </c>
      <c r="D71" s="28" t="s">
        <v>16</v>
      </c>
      <c r="E71" s="28" t="s">
        <v>288</v>
      </c>
      <c r="F71" s="28" t="s">
        <v>176</v>
      </c>
      <c r="G71" s="28" t="s">
        <v>97</v>
      </c>
      <c r="H71" s="28" t="s">
        <v>289</v>
      </c>
      <c r="I71" s="54" t="s">
        <v>290</v>
      </c>
      <c r="J71" s="28" t="s">
        <v>291</v>
      </c>
      <c r="K71" s="28" t="s">
        <v>292</v>
      </c>
    </row>
    <row r="72" spans="1:11" ht="39.6">
      <c r="A72" s="28">
        <v>71</v>
      </c>
      <c r="B72" s="48" t="s">
        <v>2728</v>
      </c>
      <c r="C72" s="28" t="s">
        <v>83</v>
      </c>
      <c r="D72" s="28" t="s">
        <v>15</v>
      </c>
      <c r="E72" s="28" t="s">
        <v>294</v>
      </c>
      <c r="F72" s="28" t="s">
        <v>87</v>
      </c>
      <c r="G72" s="28" t="s">
        <v>83</v>
      </c>
      <c r="H72" s="28" t="s">
        <v>295</v>
      </c>
      <c r="I72" s="54" t="s">
        <v>2600</v>
      </c>
      <c r="J72" s="28" t="s">
        <v>83</v>
      </c>
      <c r="K72" s="28" t="s">
        <v>83</v>
      </c>
    </row>
    <row r="73" spans="1:11" ht="39.6">
      <c r="A73" s="28">
        <v>72</v>
      </c>
      <c r="B73" s="48" t="s">
        <v>296</v>
      </c>
      <c r="C73" s="28" t="s">
        <v>2729</v>
      </c>
      <c r="D73" s="28" t="s">
        <v>15</v>
      </c>
      <c r="E73" s="28" t="s">
        <v>2730</v>
      </c>
      <c r="F73" s="28" t="s">
        <v>87</v>
      </c>
      <c r="G73" s="28" t="s">
        <v>83</v>
      </c>
      <c r="H73" s="28" t="s">
        <v>297</v>
      </c>
      <c r="I73" s="54" t="s">
        <v>298</v>
      </c>
      <c r="J73" s="28" t="s">
        <v>83</v>
      </c>
      <c r="K73" s="28" t="s">
        <v>299</v>
      </c>
    </row>
    <row r="74" spans="1:11" ht="26.4">
      <c r="A74" s="28">
        <v>73</v>
      </c>
      <c r="B74" s="48" t="s">
        <v>2728</v>
      </c>
      <c r="C74" s="28" t="s">
        <v>83</v>
      </c>
      <c r="D74" s="28" t="s">
        <v>15</v>
      </c>
      <c r="E74" s="28" t="s">
        <v>300</v>
      </c>
      <c r="F74" s="28" t="s">
        <v>87</v>
      </c>
      <c r="G74" s="28" t="s">
        <v>83</v>
      </c>
      <c r="H74" s="28" t="s">
        <v>301</v>
      </c>
      <c r="I74" s="54" t="s">
        <v>302</v>
      </c>
      <c r="J74" s="28" t="s">
        <v>83</v>
      </c>
      <c r="K74" s="28" t="s">
        <v>303</v>
      </c>
    </row>
    <row r="75" spans="1:11" ht="39.6">
      <c r="A75" s="28">
        <v>74</v>
      </c>
      <c r="B75" s="48" t="s">
        <v>2731</v>
      </c>
      <c r="C75" s="28" t="s">
        <v>83</v>
      </c>
      <c r="D75" s="28" t="s">
        <v>15</v>
      </c>
      <c r="E75" s="28" t="s">
        <v>2732</v>
      </c>
      <c r="F75" s="28" t="s">
        <v>87</v>
      </c>
      <c r="G75" s="28" t="s">
        <v>83</v>
      </c>
      <c r="H75" s="28" t="s">
        <v>2733</v>
      </c>
      <c r="I75" s="54" t="s">
        <v>277</v>
      </c>
      <c r="J75" s="28" t="s">
        <v>83</v>
      </c>
      <c r="K75" s="28" t="s">
        <v>304</v>
      </c>
    </row>
    <row r="76" spans="1:11" ht="39.6">
      <c r="A76" s="28">
        <v>75</v>
      </c>
      <c r="B76" s="48" t="s">
        <v>305</v>
      </c>
      <c r="C76" s="28" t="s">
        <v>83</v>
      </c>
      <c r="D76" s="28" t="s">
        <v>15</v>
      </c>
      <c r="E76" s="28" t="s">
        <v>2734</v>
      </c>
      <c r="F76" s="28" t="s">
        <v>87</v>
      </c>
      <c r="G76" s="28" t="s">
        <v>83</v>
      </c>
      <c r="H76" s="28" t="s">
        <v>2735</v>
      </c>
      <c r="I76" s="54" t="s">
        <v>306</v>
      </c>
      <c r="J76" s="28" t="s">
        <v>83</v>
      </c>
      <c r="K76" s="28" t="s">
        <v>83</v>
      </c>
    </row>
    <row r="77" spans="1:11" ht="92.4">
      <c r="A77" s="28">
        <v>76</v>
      </c>
      <c r="B77" s="48" t="s">
        <v>307</v>
      </c>
      <c r="C77" s="28" t="s">
        <v>83</v>
      </c>
      <c r="D77" s="28" t="s">
        <v>23</v>
      </c>
      <c r="E77" s="28" t="s">
        <v>2736</v>
      </c>
      <c r="F77" s="28" t="s">
        <v>40</v>
      </c>
      <c r="G77" s="28" t="s">
        <v>40</v>
      </c>
      <c r="H77" s="28" t="s">
        <v>308</v>
      </c>
      <c r="I77" s="54" t="s">
        <v>309</v>
      </c>
      <c r="J77" s="28" t="s">
        <v>310</v>
      </c>
      <c r="K77" s="28" t="s">
        <v>311</v>
      </c>
    </row>
    <row r="78" spans="1:11" ht="39.6">
      <c r="A78" s="28">
        <v>77</v>
      </c>
      <c r="B78" s="48" t="s">
        <v>187</v>
      </c>
      <c r="C78" s="28" t="s">
        <v>83</v>
      </c>
      <c r="D78" s="28" t="s">
        <v>20</v>
      </c>
      <c r="E78" s="28" t="s">
        <v>2737</v>
      </c>
      <c r="F78" s="28" t="s">
        <v>82</v>
      </c>
      <c r="G78" s="28" t="s">
        <v>83</v>
      </c>
      <c r="H78" s="28" t="s">
        <v>2738</v>
      </c>
      <c r="I78" s="54" t="s">
        <v>2601</v>
      </c>
      <c r="J78" s="28" t="s">
        <v>83</v>
      </c>
      <c r="K78" s="28" t="s">
        <v>83</v>
      </c>
    </row>
    <row r="79" spans="1:11" ht="52.8">
      <c r="A79" s="28">
        <v>78</v>
      </c>
      <c r="B79" s="48" t="s">
        <v>312</v>
      </c>
      <c r="C79" s="28" t="s">
        <v>83</v>
      </c>
      <c r="D79" s="28" t="s">
        <v>15</v>
      </c>
      <c r="E79" s="28" t="s">
        <v>313</v>
      </c>
      <c r="F79" s="28" t="s">
        <v>176</v>
      </c>
      <c r="G79" s="28" t="s">
        <v>314</v>
      </c>
      <c r="H79" s="28" t="s">
        <v>315</v>
      </c>
      <c r="I79" s="54" t="s">
        <v>316</v>
      </c>
      <c r="J79" s="28" t="s">
        <v>83</v>
      </c>
      <c r="K79" s="28" t="s">
        <v>83</v>
      </c>
    </row>
    <row r="80" spans="1:11" ht="39.6">
      <c r="A80" s="28">
        <v>79</v>
      </c>
      <c r="B80" s="48" t="s">
        <v>317</v>
      </c>
      <c r="C80" s="28" t="s">
        <v>83</v>
      </c>
      <c r="D80" s="28" t="s">
        <v>14</v>
      </c>
      <c r="E80" s="28" t="s">
        <v>2739</v>
      </c>
      <c r="F80" s="28" t="s">
        <v>83</v>
      </c>
      <c r="G80" s="28" t="s">
        <v>247</v>
      </c>
      <c r="H80" s="28" t="s">
        <v>318</v>
      </c>
      <c r="I80" s="54" t="s">
        <v>319</v>
      </c>
      <c r="J80" s="28" t="s">
        <v>83</v>
      </c>
      <c r="K80" s="28" t="s">
        <v>83</v>
      </c>
    </row>
    <row r="81" spans="1:11" ht="39.6">
      <c r="A81" s="28">
        <v>80</v>
      </c>
      <c r="B81" s="48" t="s">
        <v>320</v>
      </c>
      <c r="C81" s="28" t="s">
        <v>321</v>
      </c>
      <c r="D81" s="28" t="s">
        <v>14</v>
      </c>
      <c r="E81" s="28" t="s">
        <v>2740</v>
      </c>
      <c r="F81" s="28" t="s">
        <v>83</v>
      </c>
      <c r="G81" s="28" t="s">
        <v>83</v>
      </c>
      <c r="H81" s="28" t="s">
        <v>2602</v>
      </c>
      <c r="I81" s="54" t="s">
        <v>319</v>
      </c>
      <c r="J81" s="28" t="s">
        <v>83</v>
      </c>
      <c r="K81" s="28" t="s">
        <v>83</v>
      </c>
    </row>
    <row r="82" spans="1:11" ht="79.2">
      <c r="A82" s="28">
        <v>81</v>
      </c>
      <c r="B82" s="48" t="s">
        <v>2741</v>
      </c>
      <c r="C82" s="28" t="s">
        <v>83</v>
      </c>
      <c r="D82" s="28" t="s">
        <v>14</v>
      </c>
      <c r="E82" s="28" t="s">
        <v>2742</v>
      </c>
      <c r="F82" s="28" t="s">
        <v>83</v>
      </c>
      <c r="G82" s="28" t="s">
        <v>83</v>
      </c>
      <c r="H82" s="28" t="s">
        <v>2603</v>
      </c>
      <c r="I82" s="54" t="s">
        <v>322</v>
      </c>
      <c r="J82" s="28" t="s">
        <v>83</v>
      </c>
      <c r="K82" s="28" t="s">
        <v>2743</v>
      </c>
    </row>
    <row r="83" spans="1:11" ht="52.8">
      <c r="A83" s="28">
        <v>82</v>
      </c>
      <c r="B83" s="48" t="s">
        <v>219</v>
      </c>
      <c r="C83" s="28" t="s">
        <v>83</v>
      </c>
      <c r="D83" s="28" t="s">
        <v>14</v>
      </c>
      <c r="E83" s="28" t="s">
        <v>323</v>
      </c>
      <c r="F83" s="28" t="s">
        <v>83</v>
      </c>
      <c r="G83" s="28" t="s">
        <v>83</v>
      </c>
      <c r="H83" s="28" t="s">
        <v>2744</v>
      </c>
      <c r="I83" s="54" t="s">
        <v>324</v>
      </c>
      <c r="J83" s="28" t="s">
        <v>325</v>
      </c>
      <c r="K83" s="28" t="s">
        <v>326</v>
      </c>
    </row>
    <row r="84" spans="1:11" ht="52.8">
      <c r="A84" s="28">
        <v>83</v>
      </c>
      <c r="B84" s="48" t="s">
        <v>219</v>
      </c>
      <c r="C84" s="28" t="s">
        <v>83</v>
      </c>
      <c r="D84" s="28" t="s">
        <v>14</v>
      </c>
      <c r="E84" s="28" t="s">
        <v>327</v>
      </c>
      <c r="F84" s="28" t="s">
        <v>58</v>
      </c>
      <c r="G84" s="28" t="s">
        <v>97</v>
      </c>
      <c r="H84" s="28" t="s">
        <v>2745</v>
      </c>
      <c r="I84" s="54" t="s">
        <v>324</v>
      </c>
      <c r="J84" s="28" t="s">
        <v>328</v>
      </c>
      <c r="K84" s="28" t="s">
        <v>329</v>
      </c>
    </row>
    <row r="85" spans="1:11" ht="52.8">
      <c r="A85" s="28">
        <v>84</v>
      </c>
      <c r="B85" s="48" t="s">
        <v>330</v>
      </c>
      <c r="C85" s="28" t="s">
        <v>83</v>
      </c>
      <c r="D85" s="28" t="s">
        <v>24</v>
      </c>
      <c r="E85" s="28" t="s">
        <v>331</v>
      </c>
      <c r="F85" s="28" t="s">
        <v>83</v>
      </c>
      <c r="G85" s="28" t="s">
        <v>97</v>
      </c>
      <c r="H85" s="28" t="s">
        <v>332</v>
      </c>
      <c r="I85" s="54" t="s">
        <v>333</v>
      </c>
      <c r="J85" s="28" t="s">
        <v>83</v>
      </c>
      <c r="K85" s="28" t="s">
        <v>334</v>
      </c>
    </row>
    <row r="86" spans="1:11" ht="39.6">
      <c r="A86" s="28">
        <v>85</v>
      </c>
      <c r="B86" s="48" t="s">
        <v>330</v>
      </c>
      <c r="C86" s="28" t="s">
        <v>83</v>
      </c>
      <c r="D86" s="28" t="s">
        <v>24</v>
      </c>
      <c r="E86" s="28" t="s">
        <v>2746</v>
      </c>
      <c r="F86" s="28" t="s">
        <v>58</v>
      </c>
      <c r="G86" s="28" t="s">
        <v>97</v>
      </c>
      <c r="H86" s="28" t="s">
        <v>335</v>
      </c>
      <c r="I86" s="54" t="s">
        <v>99</v>
      </c>
      <c r="J86" s="28" t="s">
        <v>336</v>
      </c>
      <c r="K86" s="28" t="s">
        <v>337</v>
      </c>
    </row>
    <row r="87" spans="1:11" ht="66">
      <c r="A87" s="28">
        <v>86</v>
      </c>
      <c r="B87" s="48" t="s">
        <v>338</v>
      </c>
      <c r="C87" s="28" t="s">
        <v>83</v>
      </c>
      <c r="D87" s="28" t="s">
        <v>24</v>
      </c>
      <c r="E87" s="28" t="s">
        <v>339</v>
      </c>
      <c r="F87" s="28" t="s">
        <v>83</v>
      </c>
      <c r="G87" s="28" t="s">
        <v>97</v>
      </c>
      <c r="H87" s="28" t="s">
        <v>340</v>
      </c>
      <c r="I87" s="54" t="s">
        <v>341</v>
      </c>
      <c r="J87" s="28" t="s">
        <v>342</v>
      </c>
      <c r="K87" s="28" t="s">
        <v>343</v>
      </c>
    </row>
    <row r="88" spans="1:11" ht="31.2">
      <c r="A88" s="28">
        <v>87</v>
      </c>
      <c r="B88" s="48" t="s">
        <v>344</v>
      </c>
      <c r="C88" s="28" t="s">
        <v>83</v>
      </c>
      <c r="D88" s="28" t="s">
        <v>24</v>
      </c>
      <c r="E88" s="28" t="s">
        <v>345</v>
      </c>
      <c r="F88" s="28" t="s">
        <v>83</v>
      </c>
      <c r="G88" s="28" t="s">
        <v>247</v>
      </c>
      <c r="H88" s="28" t="s">
        <v>2747</v>
      </c>
      <c r="I88" s="54">
        <v>45622</v>
      </c>
      <c r="J88" s="28" t="s">
        <v>346</v>
      </c>
      <c r="K88" s="28" t="s">
        <v>347</v>
      </c>
    </row>
    <row r="89" spans="1:11" ht="46.8">
      <c r="A89" s="28">
        <v>88</v>
      </c>
      <c r="B89" s="48" t="s">
        <v>344</v>
      </c>
      <c r="C89" s="28" t="s">
        <v>83</v>
      </c>
      <c r="D89" s="28" t="s">
        <v>24</v>
      </c>
      <c r="E89" s="28" t="s">
        <v>331</v>
      </c>
      <c r="F89" s="28" t="s">
        <v>83</v>
      </c>
      <c r="G89" s="28" t="s">
        <v>247</v>
      </c>
      <c r="H89" s="28" t="s">
        <v>348</v>
      </c>
      <c r="I89" s="54">
        <v>45476</v>
      </c>
      <c r="J89" s="28" t="s">
        <v>349</v>
      </c>
      <c r="K89" s="28" t="s">
        <v>350</v>
      </c>
    </row>
    <row r="90" spans="1:11" ht="39.6">
      <c r="A90" s="28">
        <v>89</v>
      </c>
      <c r="B90" s="48" t="s">
        <v>351</v>
      </c>
      <c r="C90" s="28" t="s">
        <v>83</v>
      </c>
      <c r="D90" s="28" t="s">
        <v>17</v>
      </c>
      <c r="E90" s="28" t="s">
        <v>352</v>
      </c>
      <c r="F90" s="28" t="s">
        <v>83</v>
      </c>
      <c r="G90" s="28" t="s">
        <v>83</v>
      </c>
      <c r="H90" s="28" t="s">
        <v>353</v>
      </c>
      <c r="I90" s="54" t="s">
        <v>354</v>
      </c>
      <c r="J90" s="28" t="s">
        <v>83</v>
      </c>
      <c r="K90" s="28" t="s">
        <v>83</v>
      </c>
    </row>
    <row r="91" spans="1:11" ht="52.8">
      <c r="A91" s="28">
        <v>90</v>
      </c>
      <c r="B91" s="48" t="s">
        <v>196</v>
      </c>
      <c r="C91" s="28" t="s">
        <v>83</v>
      </c>
      <c r="D91" s="28" t="s">
        <v>16</v>
      </c>
      <c r="E91" s="28" t="s">
        <v>2748</v>
      </c>
      <c r="F91" s="28" t="s">
        <v>83</v>
      </c>
      <c r="G91" s="28" t="s">
        <v>247</v>
      </c>
      <c r="H91" s="28" t="s">
        <v>2604</v>
      </c>
      <c r="I91" s="54" t="s">
        <v>355</v>
      </c>
      <c r="J91" s="28" t="s">
        <v>83</v>
      </c>
      <c r="K91" s="28" t="s">
        <v>281</v>
      </c>
    </row>
    <row r="92" spans="1:11" ht="26.4">
      <c r="A92" s="28">
        <v>91</v>
      </c>
      <c r="B92" s="48" t="s">
        <v>2749</v>
      </c>
      <c r="C92" s="28" t="s">
        <v>83</v>
      </c>
      <c r="D92" s="28" t="s">
        <v>20</v>
      </c>
      <c r="E92" s="28" t="s">
        <v>2750</v>
      </c>
      <c r="F92" s="28" t="s">
        <v>87</v>
      </c>
      <c r="G92" s="28" t="s">
        <v>83</v>
      </c>
      <c r="H92" s="28" t="s">
        <v>356</v>
      </c>
      <c r="I92" s="54">
        <v>45658</v>
      </c>
      <c r="J92" s="28" t="s">
        <v>83</v>
      </c>
      <c r="K92" s="28" t="s">
        <v>83</v>
      </c>
    </row>
    <row r="93" spans="1:11" ht="66">
      <c r="A93" s="28">
        <v>92</v>
      </c>
      <c r="B93" s="48" t="s">
        <v>2751</v>
      </c>
      <c r="C93" s="28" t="s">
        <v>2581</v>
      </c>
      <c r="D93" s="28" t="s">
        <v>20</v>
      </c>
      <c r="E93" s="28" t="s">
        <v>2752</v>
      </c>
      <c r="F93" s="28" t="s">
        <v>87</v>
      </c>
      <c r="G93" s="28" t="s">
        <v>83</v>
      </c>
      <c r="H93" s="28" t="s">
        <v>357</v>
      </c>
      <c r="I93" s="54">
        <v>45689</v>
      </c>
      <c r="J93" s="28" t="s">
        <v>83</v>
      </c>
      <c r="K93" s="28" t="s">
        <v>83</v>
      </c>
    </row>
    <row r="94" spans="1:11" ht="39.6">
      <c r="A94" s="28">
        <v>93</v>
      </c>
      <c r="B94" s="48" t="s">
        <v>358</v>
      </c>
      <c r="C94" s="28" t="s">
        <v>83</v>
      </c>
      <c r="D94" s="28" t="s">
        <v>16</v>
      </c>
      <c r="E94" s="28" t="s">
        <v>2753</v>
      </c>
      <c r="F94" s="28" t="s">
        <v>359</v>
      </c>
      <c r="G94" s="28" t="s">
        <v>97</v>
      </c>
      <c r="H94" s="28" t="s">
        <v>2605</v>
      </c>
      <c r="I94" s="54">
        <v>45658</v>
      </c>
      <c r="J94" s="28" t="s">
        <v>360</v>
      </c>
      <c r="K94" s="28" t="s">
        <v>361</v>
      </c>
    </row>
    <row r="95" spans="1:11" ht="39.6">
      <c r="A95" s="28">
        <v>94</v>
      </c>
      <c r="B95" s="48" t="s">
        <v>203</v>
      </c>
      <c r="C95" s="28" t="s">
        <v>83</v>
      </c>
      <c r="D95" s="28" t="s">
        <v>23</v>
      </c>
      <c r="E95" s="28" t="s">
        <v>2754</v>
      </c>
      <c r="F95" s="28" t="s">
        <v>83</v>
      </c>
      <c r="G95" s="28" t="s">
        <v>83</v>
      </c>
      <c r="H95" s="28" t="s">
        <v>362</v>
      </c>
      <c r="I95" s="54" t="s">
        <v>166</v>
      </c>
      <c r="J95" s="28" t="s">
        <v>83</v>
      </c>
      <c r="K95" s="28" t="s">
        <v>83</v>
      </c>
    </row>
    <row r="96" spans="1:11" ht="52.8">
      <c r="A96" s="28">
        <v>95</v>
      </c>
      <c r="B96" s="48" t="s">
        <v>363</v>
      </c>
      <c r="C96" s="28" t="s">
        <v>83</v>
      </c>
      <c r="D96" s="28" t="s">
        <v>23</v>
      </c>
      <c r="E96" s="28" t="s">
        <v>2755</v>
      </c>
      <c r="F96" s="28" t="s">
        <v>83</v>
      </c>
      <c r="G96" s="28" t="s">
        <v>83</v>
      </c>
      <c r="H96" s="28" t="s">
        <v>364</v>
      </c>
      <c r="I96" s="54" t="s">
        <v>231</v>
      </c>
      <c r="J96" s="28" t="s">
        <v>83</v>
      </c>
      <c r="K96" s="28" t="s">
        <v>365</v>
      </c>
    </row>
    <row r="97" spans="1:11" ht="39.6">
      <c r="A97" s="28">
        <v>96</v>
      </c>
      <c r="B97" s="48" t="s">
        <v>366</v>
      </c>
      <c r="C97" s="28" t="s">
        <v>83</v>
      </c>
      <c r="D97" s="28" t="s">
        <v>23</v>
      </c>
      <c r="E97" s="28" t="s">
        <v>2756</v>
      </c>
      <c r="F97" s="28" t="s">
        <v>83</v>
      </c>
      <c r="G97" s="28" t="s">
        <v>83</v>
      </c>
      <c r="H97" s="28" t="s">
        <v>2757</v>
      </c>
      <c r="I97" s="54" t="s">
        <v>147</v>
      </c>
      <c r="J97" s="28" t="s">
        <v>367</v>
      </c>
      <c r="K97" s="28" t="s">
        <v>368</v>
      </c>
    </row>
    <row r="98" spans="1:11" ht="39.6">
      <c r="A98" s="28">
        <v>97</v>
      </c>
      <c r="B98" s="48" t="s">
        <v>369</v>
      </c>
      <c r="C98" s="28" t="s">
        <v>83</v>
      </c>
      <c r="D98" s="28" t="s">
        <v>23</v>
      </c>
      <c r="E98" s="28" t="s">
        <v>2758</v>
      </c>
      <c r="F98" s="28" t="s">
        <v>83</v>
      </c>
      <c r="G98" s="28" t="s">
        <v>83</v>
      </c>
      <c r="H98" s="28" t="s">
        <v>370</v>
      </c>
      <c r="I98" s="54" t="s">
        <v>371</v>
      </c>
      <c r="J98" s="28" t="s">
        <v>83</v>
      </c>
      <c r="K98" s="28" t="s">
        <v>372</v>
      </c>
    </row>
    <row r="99" spans="1:11" ht="53.4">
      <c r="A99" s="28">
        <v>98</v>
      </c>
      <c r="B99" s="48" t="s">
        <v>373</v>
      </c>
      <c r="C99" s="28" t="s">
        <v>83</v>
      </c>
      <c r="D99" s="28" t="s">
        <v>23</v>
      </c>
      <c r="E99" s="28" t="s">
        <v>2759</v>
      </c>
      <c r="F99" s="28" t="s">
        <v>83</v>
      </c>
      <c r="G99" s="28" t="s">
        <v>83</v>
      </c>
      <c r="H99" s="28" t="s">
        <v>374</v>
      </c>
      <c r="I99" s="54" t="s">
        <v>375</v>
      </c>
      <c r="J99" s="28" t="s">
        <v>83</v>
      </c>
      <c r="K99" s="28" t="s">
        <v>376</v>
      </c>
    </row>
    <row r="100" spans="1:11" ht="66">
      <c r="A100" s="28">
        <v>99</v>
      </c>
      <c r="B100" s="48" t="s">
        <v>203</v>
      </c>
      <c r="C100" s="28" t="s">
        <v>83</v>
      </c>
      <c r="D100" s="28" t="s">
        <v>23</v>
      </c>
      <c r="E100" s="28" t="s">
        <v>2760</v>
      </c>
      <c r="F100" s="28" t="s">
        <v>83</v>
      </c>
      <c r="G100" s="28" t="s">
        <v>83</v>
      </c>
      <c r="H100" s="28" t="s">
        <v>2761</v>
      </c>
      <c r="I100" s="54" t="s">
        <v>147</v>
      </c>
      <c r="J100" s="28" t="s">
        <v>377</v>
      </c>
      <c r="K100" s="28" t="s">
        <v>378</v>
      </c>
    </row>
    <row r="101" spans="1:11" ht="53.4">
      <c r="A101" s="28">
        <v>100</v>
      </c>
      <c r="B101" s="48" t="s">
        <v>373</v>
      </c>
      <c r="C101" s="28" t="s">
        <v>83</v>
      </c>
      <c r="D101" s="28" t="s">
        <v>23</v>
      </c>
      <c r="E101" s="28" t="s">
        <v>2762</v>
      </c>
      <c r="F101" s="28" t="s">
        <v>83</v>
      </c>
      <c r="G101" s="28" t="s">
        <v>83</v>
      </c>
      <c r="H101" s="28" t="s">
        <v>379</v>
      </c>
      <c r="I101" s="54" t="s">
        <v>380</v>
      </c>
      <c r="J101" s="28" t="s">
        <v>83</v>
      </c>
      <c r="K101" s="28" t="s">
        <v>381</v>
      </c>
    </row>
    <row r="102" spans="1:11" ht="26.4">
      <c r="A102" s="28">
        <v>101</v>
      </c>
      <c r="B102" s="48" t="s">
        <v>382</v>
      </c>
      <c r="C102" s="28" t="s">
        <v>83</v>
      </c>
      <c r="D102" s="28" t="s">
        <v>22</v>
      </c>
      <c r="E102" s="28" t="s">
        <v>383</v>
      </c>
      <c r="F102" s="28" t="s">
        <v>55</v>
      </c>
      <c r="G102" s="28" t="s">
        <v>83</v>
      </c>
      <c r="H102" s="28" t="s">
        <v>2763</v>
      </c>
      <c r="I102" s="54" t="s">
        <v>384</v>
      </c>
      <c r="J102" s="28" t="s">
        <v>83</v>
      </c>
      <c r="K102" s="28" t="s">
        <v>385</v>
      </c>
    </row>
    <row r="103" spans="1:11" ht="66">
      <c r="A103" s="28">
        <v>102</v>
      </c>
      <c r="B103" s="48" t="s">
        <v>219</v>
      </c>
      <c r="C103" s="28" t="s">
        <v>83</v>
      </c>
      <c r="D103" s="28" t="s">
        <v>14</v>
      </c>
      <c r="E103" s="28" t="s">
        <v>2764</v>
      </c>
      <c r="F103" s="28" t="s">
        <v>55</v>
      </c>
      <c r="G103" s="28" t="s">
        <v>97</v>
      </c>
      <c r="H103" s="28" t="s">
        <v>2606</v>
      </c>
      <c r="I103" s="54" t="s">
        <v>386</v>
      </c>
      <c r="J103" s="28">
        <v>27507</v>
      </c>
      <c r="K103" s="28" t="s">
        <v>387</v>
      </c>
    </row>
    <row r="104" spans="1:11" ht="66">
      <c r="A104" s="28">
        <v>103</v>
      </c>
      <c r="B104" s="48" t="s">
        <v>388</v>
      </c>
      <c r="C104" s="28" t="s">
        <v>83</v>
      </c>
      <c r="D104" s="28" t="s">
        <v>15</v>
      </c>
      <c r="E104" s="28" t="s">
        <v>2765</v>
      </c>
      <c r="F104" s="28" t="s">
        <v>87</v>
      </c>
      <c r="G104" s="28" t="s">
        <v>83</v>
      </c>
      <c r="H104" s="28" t="s">
        <v>389</v>
      </c>
      <c r="I104" s="54" t="s">
        <v>390</v>
      </c>
      <c r="J104" s="28" t="s">
        <v>83</v>
      </c>
      <c r="K104" s="28" t="s">
        <v>83</v>
      </c>
    </row>
    <row r="105" spans="1:11" ht="26.4">
      <c r="A105" s="28">
        <v>104</v>
      </c>
      <c r="B105" s="48" t="s">
        <v>391</v>
      </c>
      <c r="C105" s="28" t="s">
        <v>83</v>
      </c>
      <c r="D105" s="28" t="s">
        <v>14</v>
      </c>
      <c r="E105" s="28" t="s">
        <v>2766</v>
      </c>
      <c r="F105" s="28" t="s">
        <v>392</v>
      </c>
      <c r="G105" s="28" t="s">
        <v>97</v>
      </c>
      <c r="H105" s="28" t="s">
        <v>393</v>
      </c>
      <c r="I105" s="54" t="s">
        <v>394</v>
      </c>
      <c r="J105" s="28" t="s">
        <v>83</v>
      </c>
      <c r="K105" s="28" t="s">
        <v>83</v>
      </c>
    </row>
    <row r="106" spans="1:11" ht="40.200000000000003">
      <c r="A106" s="28">
        <v>105</v>
      </c>
      <c r="B106" s="48" t="s">
        <v>395</v>
      </c>
      <c r="C106" s="28" t="s">
        <v>83</v>
      </c>
      <c r="D106" s="28" t="s">
        <v>14</v>
      </c>
      <c r="E106" s="28" t="s">
        <v>2742</v>
      </c>
      <c r="F106" s="28" t="s">
        <v>83</v>
      </c>
      <c r="G106" s="28" t="s">
        <v>83</v>
      </c>
      <c r="H106" s="28" t="s">
        <v>396</v>
      </c>
      <c r="I106" s="54" t="s">
        <v>2593</v>
      </c>
      <c r="J106" s="28" t="s">
        <v>397</v>
      </c>
      <c r="K106" s="28" t="s">
        <v>398</v>
      </c>
    </row>
    <row r="107" spans="1:11" ht="26.4">
      <c r="A107" s="28">
        <v>106</v>
      </c>
      <c r="B107" s="48" t="s">
        <v>399</v>
      </c>
      <c r="C107" s="28" t="s">
        <v>83</v>
      </c>
      <c r="D107" s="28" t="s">
        <v>14</v>
      </c>
      <c r="E107" s="28" t="s">
        <v>2767</v>
      </c>
      <c r="F107" s="28" t="s">
        <v>83</v>
      </c>
      <c r="G107" s="28" t="s">
        <v>97</v>
      </c>
      <c r="H107" s="28" t="s">
        <v>2768</v>
      </c>
      <c r="I107" s="54" t="s">
        <v>99</v>
      </c>
      <c r="J107" s="28" t="s">
        <v>400</v>
      </c>
      <c r="K107" s="28" t="s">
        <v>401</v>
      </c>
    </row>
    <row r="108" spans="1:11" ht="52.8">
      <c r="A108" s="28">
        <v>107</v>
      </c>
      <c r="B108" s="48" t="s">
        <v>402</v>
      </c>
      <c r="C108" s="28" t="s">
        <v>83</v>
      </c>
      <c r="D108" s="28" t="s">
        <v>14</v>
      </c>
      <c r="E108" s="28" t="s">
        <v>2769</v>
      </c>
      <c r="F108" s="28" t="s">
        <v>83</v>
      </c>
      <c r="G108" s="28" t="s">
        <v>2607</v>
      </c>
      <c r="H108" s="28" t="s">
        <v>2770</v>
      </c>
      <c r="I108" s="54" t="s">
        <v>403</v>
      </c>
      <c r="J108" s="28" t="s">
        <v>83</v>
      </c>
      <c r="K108" s="28" t="s">
        <v>83</v>
      </c>
    </row>
    <row r="109" spans="1:11" ht="39.6">
      <c r="A109" s="28">
        <v>108</v>
      </c>
      <c r="B109" s="48" t="s">
        <v>404</v>
      </c>
      <c r="C109" s="28" t="s">
        <v>83</v>
      </c>
      <c r="D109" s="28" t="s">
        <v>14</v>
      </c>
      <c r="E109" s="28" t="s">
        <v>2608</v>
      </c>
      <c r="F109" s="28" t="s">
        <v>83</v>
      </c>
      <c r="G109" s="28" t="s">
        <v>2607</v>
      </c>
      <c r="H109" s="28" t="s">
        <v>405</v>
      </c>
      <c r="I109" s="54" t="s">
        <v>386</v>
      </c>
      <c r="J109" s="28" t="s">
        <v>406</v>
      </c>
      <c r="K109" s="28" t="s">
        <v>407</v>
      </c>
    </row>
    <row r="110" spans="1:11" ht="39.6">
      <c r="A110" s="28">
        <v>109</v>
      </c>
      <c r="B110" s="48" t="s">
        <v>399</v>
      </c>
      <c r="C110" s="28" t="s">
        <v>83</v>
      </c>
      <c r="D110" s="28" t="s">
        <v>14</v>
      </c>
      <c r="E110" s="28" t="s">
        <v>2771</v>
      </c>
      <c r="F110" s="28" t="s">
        <v>83</v>
      </c>
      <c r="G110" s="28" t="s">
        <v>2607</v>
      </c>
      <c r="H110" s="28" t="s">
        <v>2609</v>
      </c>
      <c r="I110" s="54" t="s">
        <v>408</v>
      </c>
      <c r="J110" s="28" t="s">
        <v>409</v>
      </c>
      <c r="K110" s="28" t="s">
        <v>410</v>
      </c>
    </row>
    <row r="111" spans="1:11" ht="66">
      <c r="A111" s="28">
        <v>110</v>
      </c>
      <c r="B111" s="48" t="s">
        <v>411</v>
      </c>
      <c r="C111" s="28" t="s">
        <v>412</v>
      </c>
      <c r="D111" s="28" t="s">
        <v>14</v>
      </c>
      <c r="E111" s="28" t="s">
        <v>2772</v>
      </c>
      <c r="F111" s="28" t="s">
        <v>83</v>
      </c>
      <c r="G111" s="28" t="s">
        <v>83</v>
      </c>
      <c r="H111" s="28" t="s">
        <v>413</v>
      </c>
      <c r="I111" s="54" t="s">
        <v>386</v>
      </c>
      <c r="J111" s="28" t="s">
        <v>414</v>
      </c>
      <c r="K111" s="28" t="s">
        <v>415</v>
      </c>
    </row>
    <row r="112" spans="1:11" ht="52.8">
      <c r="A112" s="28">
        <v>111</v>
      </c>
      <c r="B112" s="48" t="s">
        <v>416</v>
      </c>
      <c r="C112" s="28" t="s">
        <v>83</v>
      </c>
      <c r="D112" s="28" t="s">
        <v>24</v>
      </c>
      <c r="E112" s="28" t="s">
        <v>2773</v>
      </c>
      <c r="F112" s="28" t="s">
        <v>83</v>
      </c>
      <c r="G112" s="28" t="s">
        <v>83</v>
      </c>
      <c r="H112" s="28" t="s">
        <v>417</v>
      </c>
      <c r="I112" s="54" t="s">
        <v>166</v>
      </c>
      <c r="J112" s="28" t="s">
        <v>418</v>
      </c>
      <c r="K112" s="28" t="s">
        <v>419</v>
      </c>
    </row>
    <row r="113" spans="1:11" ht="39.6">
      <c r="A113" s="28">
        <v>112</v>
      </c>
      <c r="B113" s="48" t="s">
        <v>420</v>
      </c>
      <c r="C113" s="28" t="s">
        <v>83</v>
      </c>
      <c r="D113" s="28" t="s">
        <v>24</v>
      </c>
      <c r="E113" s="28" t="s">
        <v>421</v>
      </c>
      <c r="F113" s="28" t="s">
        <v>83</v>
      </c>
      <c r="G113" s="28" t="s">
        <v>83</v>
      </c>
      <c r="H113" s="28" t="s">
        <v>2610</v>
      </c>
      <c r="I113" s="54" t="s">
        <v>166</v>
      </c>
      <c r="J113" s="28" t="s">
        <v>422</v>
      </c>
      <c r="K113" s="28" t="s">
        <v>423</v>
      </c>
    </row>
    <row r="114" spans="1:11" ht="79.2">
      <c r="A114" s="28">
        <v>113</v>
      </c>
      <c r="B114" s="48" t="s">
        <v>131</v>
      </c>
      <c r="C114" s="28" t="s">
        <v>83</v>
      </c>
      <c r="D114" s="28" t="s">
        <v>424</v>
      </c>
      <c r="E114" s="28" t="s">
        <v>425</v>
      </c>
      <c r="F114" s="28" t="s">
        <v>58</v>
      </c>
      <c r="G114" s="28" t="s">
        <v>83</v>
      </c>
      <c r="H114" s="28" t="s">
        <v>160</v>
      </c>
      <c r="I114" s="54" t="s">
        <v>426</v>
      </c>
      <c r="J114" s="28" t="s">
        <v>427</v>
      </c>
      <c r="K114" s="28" t="s">
        <v>428</v>
      </c>
    </row>
    <row r="115" spans="1:11" ht="39.6">
      <c r="A115" s="28">
        <v>114</v>
      </c>
      <c r="B115" s="48" t="s">
        <v>429</v>
      </c>
      <c r="C115" s="28" t="s">
        <v>83</v>
      </c>
      <c r="D115" s="28" t="s">
        <v>22</v>
      </c>
      <c r="E115" s="28" t="s">
        <v>2774</v>
      </c>
      <c r="F115" s="28" t="s">
        <v>83</v>
      </c>
      <c r="G115" s="28" t="s">
        <v>83</v>
      </c>
      <c r="H115" s="28" t="s">
        <v>430</v>
      </c>
      <c r="I115" s="54" t="s">
        <v>431</v>
      </c>
      <c r="J115" s="28" t="s">
        <v>414</v>
      </c>
      <c r="K115" s="28" t="s">
        <v>432</v>
      </c>
    </row>
    <row r="116" spans="1:11" ht="39.6">
      <c r="A116" s="28">
        <v>115</v>
      </c>
      <c r="B116" s="48" t="s">
        <v>433</v>
      </c>
      <c r="C116" s="28" t="s">
        <v>83</v>
      </c>
      <c r="D116" s="28" t="s">
        <v>22</v>
      </c>
      <c r="E116" s="28" t="s">
        <v>434</v>
      </c>
      <c r="F116" s="28" t="s">
        <v>82</v>
      </c>
      <c r="G116" s="28" t="s">
        <v>83</v>
      </c>
      <c r="H116" s="28" t="s">
        <v>435</v>
      </c>
      <c r="I116" s="54" t="s">
        <v>436</v>
      </c>
      <c r="J116" s="28" t="s">
        <v>437</v>
      </c>
      <c r="K116" s="28" t="s">
        <v>2775</v>
      </c>
    </row>
    <row r="117" spans="1:11" ht="26.4">
      <c r="A117" s="28">
        <v>116</v>
      </c>
      <c r="B117" s="48" t="s">
        <v>178</v>
      </c>
      <c r="C117" s="28" t="s">
        <v>83</v>
      </c>
      <c r="D117" s="28" t="s">
        <v>154</v>
      </c>
      <c r="E117" s="28" t="s">
        <v>2776</v>
      </c>
      <c r="F117" s="28" t="s">
        <v>87</v>
      </c>
      <c r="G117" s="28" t="s">
        <v>314</v>
      </c>
      <c r="H117" s="28" t="s">
        <v>438</v>
      </c>
      <c r="I117" s="54" t="s">
        <v>439</v>
      </c>
      <c r="J117" s="28" t="s">
        <v>83</v>
      </c>
      <c r="K117" s="28" t="s">
        <v>83</v>
      </c>
    </row>
    <row r="118" spans="1:11" ht="39.6">
      <c r="A118" s="28">
        <v>117</v>
      </c>
      <c r="B118" s="48" t="s">
        <v>2671</v>
      </c>
      <c r="C118" s="28" t="s">
        <v>83</v>
      </c>
      <c r="D118" s="28" t="s">
        <v>16</v>
      </c>
      <c r="E118" s="28" t="s">
        <v>2777</v>
      </c>
      <c r="F118" s="28" t="s">
        <v>83</v>
      </c>
      <c r="G118" s="28" t="s">
        <v>83</v>
      </c>
      <c r="H118" s="28" t="s">
        <v>2778</v>
      </c>
      <c r="I118" s="54" t="s">
        <v>440</v>
      </c>
      <c r="J118" s="28" t="s">
        <v>83</v>
      </c>
      <c r="K118" s="28" t="s">
        <v>441</v>
      </c>
    </row>
    <row r="119" spans="1:11" ht="39.6">
      <c r="A119" s="28">
        <v>118</v>
      </c>
      <c r="B119" s="48" t="s">
        <v>358</v>
      </c>
      <c r="C119" s="28" t="s">
        <v>97</v>
      </c>
      <c r="D119" s="28" t="s">
        <v>16</v>
      </c>
      <c r="E119" s="28" t="s">
        <v>2779</v>
      </c>
      <c r="F119" s="28" t="s">
        <v>83</v>
      </c>
      <c r="G119" s="28" t="s">
        <v>83</v>
      </c>
      <c r="H119" s="28" t="s">
        <v>442</v>
      </c>
      <c r="I119" s="54" t="s">
        <v>443</v>
      </c>
      <c r="J119" s="28" t="s">
        <v>83</v>
      </c>
      <c r="K119" s="28" t="s">
        <v>444</v>
      </c>
    </row>
    <row r="120" spans="1:11" ht="39.6">
      <c r="A120" s="28">
        <v>119</v>
      </c>
      <c r="B120" s="48" t="s">
        <v>445</v>
      </c>
      <c r="C120" s="28" t="s">
        <v>40</v>
      </c>
      <c r="D120" s="28" t="s">
        <v>16</v>
      </c>
      <c r="E120" s="28" t="s">
        <v>2780</v>
      </c>
      <c r="F120" s="28" t="s">
        <v>83</v>
      </c>
      <c r="G120" s="28" t="s">
        <v>83</v>
      </c>
      <c r="H120" s="28" t="s">
        <v>446</v>
      </c>
      <c r="I120" s="54" t="s">
        <v>447</v>
      </c>
      <c r="J120" s="28" t="s">
        <v>83</v>
      </c>
      <c r="K120" s="28" t="s">
        <v>448</v>
      </c>
    </row>
    <row r="121" spans="1:11" ht="39.6">
      <c r="A121" s="28">
        <v>120</v>
      </c>
      <c r="B121" s="48" t="s">
        <v>449</v>
      </c>
      <c r="C121" s="28" t="s">
        <v>40</v>
      </c>
      <c r="D121" s="28" t="s">
        <v>16</v>
      </c>
      <c r="E121" s="28" t="s">
        <v>2781</v>
      </c>
      <c r="F121" s="28" t="s">
        <v>83</v>
      </c>
      <c r="G121" s="28" t="s">
        <v>83</v>
      </c>
      <c r="H121" s="28" t="s">
        <v>450</v>
      </c>
      <c r="I121" s="54" t="s">
        <v>451</v>
      </c>
      <c r="J121" s="28" t="s">
        <v>83</v>
      </c>
      <c r="K121" s="28" t="s">
        <v>2611</v>
      </c>
    </row>
    <row r="122" spans="1:11" ht="39.6">
      <c r="A122" s="28">
        <v>121</v>
      </c>
      <c r="B122" s="48" t="s">
        <v>449</v>
      </c>
      <c r="C122" s="28" t="s">
        <v>40</v>
      </c>
      <c r="D122" s="28" t="s">
        <v>16</v>
      </c>
      <c r="E122" s="28" t="s">
        <v>2782</v>
      </c>
      <c r="F122" s="28" t="s">
        <v>83</v>
      </c>
      <c r="G122" s="28" t="s">
        <v>83</v>
      </c>
      <c r="H122" s="28" t="s">
        <v>2783</v>
      </c>
      <c r="I122" s="54" t="s">
        <v>452</v>
      </c>
      <c r="J122" s="28" t="s">
        <v>83</v>
      </c>
      <c r="K122" s="28" t="s">
        <v>453</v>
      </c>
    </row>
    <row r="123" spans="1:11" ht="66">
      <c r="A123" s="28">
        <v>122</v>
      </c>
      <c r="B123" s="48" t="s">
        <v>449</v>
      </c>
      <c r="C123" s="28" t="s">
        <v>40</v>
      </c>
      <c r="D123" s="28" t="s">
        <v>16</v>
      </c>
      <c r="E123" s="28" t="s">
        <v>2784</v>
      </c>
      <c r="F123" s="28" t="s">
        <v>83</v>
      </c>
      <c r="G123" s="28" t="s">
        <v>83</v>
      </c>
      <c r="H123" s="28" t="s">
        <v>454</v>
      </c>
      <c r="I123" s="54" t="s">
        <v>455</v>
      </c>
      <c r="J123" s="28" t="s">
        <v>83</v>
      </c>
      <c r="K123" s="28" t="s">
        <v>456</v>
      </c>
    </row>
    <row r="124" spans="1:11" ht="39.6">
      <c r="A124" s="28">
        <v>123</v>
      </c>
      <c r="B124" s="48" t="s">
        <v>449</v>
      </c>
      <c r="C124" s="28" t="s">
        <v>40</v>
      </c>
      <c r="D124" s="28" t="s">
        <v>16</v>
      </c>
      <c r="E124" s="28" t="s">
        <v>2785</v>
      </c>
      <c r="F124" s="28" t="s">
        <v>83</v>
      </c>
      <c r="G124" s="28" t="s">
        <v>83</v>
      </c>
      <c r="H124" s="28" t="s">
        <v>457</v>
      </c>
      <c r="I124" s="54" t="s">
        <v>455</v>
      </c>
      <c r="J124" s="28" t="s">
        <v>83</v>
      </c>
      <c r="K124" s="28" t="s">
        <v>458</v>
      </c>
    </row>
    <row r="125" spans="1:11" ht="39.6">
      <c r="A125" s="28">
        <v>124</v>
      </c>
      <c r="B125" s="48" t="s">
        <v>459</v>
      </c>
      <c r="C125" s="28" t="s">
        <v>460</v>
      </c>
      <c r="D125" s="28" t="s">
        <v>15</v>
      </c>
      <c r="E125" s="28" t="s">
        <v>2786</v>
      </c>
      <c r="F125" s="28" t="s">
        <v>87</v>
      </c>
      <c r="G125" s="28" t="s">
        <v>83</v>
      </c>
      <c r="H125" s="28" t="s">
        <v>461</v>
      </c>
      <c r="I125" s="54" t="s">
        <v>462</v>
      </c>
      <c r="J125" s="28" t="s">
        <v>83</v>
      </c>
      <c r="K125" s="28" t="s">
        <v>463</v>
      </c>
    </row>
    <row r="126" spans="1:11" ht="52.8">
      <c r="A126" s="28">
        <v>125</v>
      </c>
      <c r="B126" s="48" t="s">
        <v>2662</v>
      </c>
      <c r="C126" s="28" t="s">
        <v>83</v>
      </c>
      <c r="D126" s="28" t="s">
        <v>14</v>
      </c>
      <c r="E126" s="28" t="s">
        <v>464</v>
      </c>
      <c r="F126" s="28" t="s">
        <v>55</v>
      </c>
      <c r="G126" s="28" t="s">
        <v>97</v>
      </c>
      <c r="H126" s="28" t="s">
        <v>465</v>
      </c>
      <c r="I126" s="54">
        <v>45717</v>
      </c>
      <c r="J126" s="28" t="s">
        <v>466</v>
      </c>
      <c r="K126" s="28" t="s">
        <v>467</v>
      </c>
    </row>
    <row r="127" spans="1:11" ht="53.4">
      <c r="A127" s="28">
        <v>126</v>
      </c>
      <c r="B127" s="48" t="s">
        <v>2662</v>
      </c>
      <c r="C127" s="28" t="s">
        <v>83</v>
      </c>
      <c r="D127" s="28" t="s">
        <v>14</v>
      </c>
      <c r="E127" s="28" t="s">
        <v>2787</v>
      </c>
      <c r="F127" s="28" t="s">
        <v>58</v>
      </c>
      <c r="G127" s="28" t="s">
        <v>97</v>
      </c>
      <c r="H127" s="28" t="s">
        <v>2788</v>
      </c>
      <c r="I127" s="54">
        <v>45717</v>
      </c>
      <c r="J127" s="28">
        <v>19430647</v>
      </c>
      <c r="K127" s="28" t="s">
        <v>468</v>
      </c>
    </row>
    <row r="128" spans="1:11" ht="39.6">
      <c r="A128" s="28">
        <v>127</v>
      </c>
      <c r="B128" s="48" t="s">
        <v>2669</v>
      </c>
      <c r="C128" s="28" t="s">
        <v>83</v>
      </c>
      <c r="D128" s="28" t="s">
        <v>469</v>
      </c>
      <c r="E128" s="28" t="s">
        <v>470</v>
      </c>
      <c r="F128" s="28" t="s">
        <v>83</v>
      </c>
      <c r="G128" s="28" t="s">
        <v>83</v>
      </c>
      <c r="H128" s="28" t="s">
        <v>471</v>
      </c>
      <c r="I128" s="54" t="s">
        <v>147</v>
      </c>
      <c r="J128" s="28" t="s">
        <v>83</v>
      </c>
      <c r="K128" s="28" t="s">
        <v>472</v>
      </c>
    </row>
    <row r="129" spans="1:11" ht="52.8">
      <c r="A129" s="28">
        <v>128</v>
      </c>
      <c r="B129" s="48" t="s">
        <v>473</v>
      </c>
      <c r="C129" s="28" t="s">
        <v>83</v>
      </c>
      <c r="D129" s="28" t="s">
        <v>16</v>
      </c>
      <c r="E129" s="28" t="s">
        <v>2789</v>
      </c>
      <c r="F129" s="28" t="s">
        <v>83</v>
      </c>
      <c r="G129" s="28" t="s">
        <v>83</v>
      </c>
      <c r="H129" s="28" t="s">
        <v>474</v>
      </c>
      <c r="I129" s="54" t="s">
        <v>475</v>
      </c>
      <c r="J129" s="28" t="s">
        <v>83</v>
      </c>
      <c r="K129" s="28" t="s">
        <v>476</v>
      </c>
    </row>
    <row r="130" spans="1:11" ht="26.4">
      <c r="A130" s="28">
        <v>129</v>
      </c>
      <c r="B130" s="48" t="s">
        <v>477</v>
      </c>
      <c r="C130" s="28" t="s">
        <v>83</v>
      </c>
      <c r="D130" s="28" t="s">
        <v>16</v>
      </c>
      <c r="E130" s="28" t="s">
        <v>2790</v>
      </c>
      <c r="F130" s="28" t="s">
        <v>82</v>
      </c>
      <c r="G130" s="28" t="s">
        <v>83</v>
      </c>
      <c r="H130" s="28" t="s">
        <v>478</v>
      </c>
      <c r="I130" s="54" t="s">
        <v>479</v>
      </c>
      <c r="J130" s="28" t="s">
        <v>83</v>
      </c>
      <c r="K130" s="28" t="s">
        <v>480</v>
      </c>
    </row>
    <row r="131" spans="1:11" ht="52.8">
      <c r="A131" s="28">
        <v>130</v>
      </c>
      <c r="B131" s="48" t="s">
        <v>2791</v>
      </c>
      <c r="C131" s="28" t="s">
        <v>83</v>
      </c>
      <c r="D131" s="28" t="s">
        <v>16</v>
      </c>
      <c r="E131" s="28" t="s">
        <v>2792</v>
      </c>
      <c r="F131" s="28" t="s">
        <v>83</v>
      </c>
      <c r="G131" s="28" t="s">
        <v>83</v>
      </c>
      <c r="H131" s="28" t="s">
        <v>482</v>
      </c>
      <c r="I131" s="54" t="s">
        <v>483</v>
      </c>
      <c r="J131" s="28" t="s">
        <v>83</v>
      </c>
      <c r="K131" s="28" t="s">
        <v>484</v>
      </c>
    </row>
    <row r="132" spans="1:11" ht="52.8">
      <c r="A132" s="28">
        <v>131</v>
      </c>
      <c r="B132" s="48" t="s">
        <v>2791</v>
      </c>
      <c r="C132" s="28" t="s">
        <v>83</v>
      </c>
      <c r="D132" s="28" t="s">
        <v>16</v>
      </c>
      <c r="E132" s="28" t="s">
        <v>2793</v>
      </c>
      <c r="F132" s="28" t="s">
        <v>83</v>
      </c>
      <c r="G132" s="28" t="s">
        <v>83</v>
      </c>
      <c r="H132" s="28" t="s">
        <v>2794</v>
      </c>
      <c r="I132" s="54" t="s">
        <v>231</v>
      </c>
      <c r="J132" s="28" t="s">
        <v>83</v>
      </c>
      <c r="K132" s="28" t="s">
        <v>485</v>
      </c>
    </row>
    <row r="133" spans="1:11" ht="66">
      <c r="A133" s="28">
        <v>132</v>
      </c>
      <c r="B133" s="48" t="s">
        <v>2728</v>
      </c>
      <c r="C133" s="28" t="s">
        <v>486</v>
      </c>
      <c r="D133" s="28" t="s">
        <v>15</v>
      </c>
      <c r="E133" s="28" t="s">
        <v>2795</v>
      </c>
      <c r="F133" s="28" t="s">
        <v>87</v>
      </c>
      <c r="G133" s="28" t="s">
        <v>83</v>
      </c>
      <c r="H133" s="28" t="s">
        <v>487</v>
      </c>
      <c r="I133" s="54" t="s">
        <v>488</v>
      </c>
      <c r="J133" s="28" t="s">
        <v>83</v>
      </c>
      <c r="K133" s="28" t="s">
        <v>83</v>
      </c>
    </row>
    <row r="134" spans="1:11" ht="41.4">
      <c r="A134" s="28">
        <v>133</v>
      </c>
      <c r="B134" s="48" t="s">
        <v>219</v>
      </c>
      <c r="C134" s="28" t="s">
        <v>83</v>
      </c>
      <c r="D134" s="28" t="s">
        <v>14</v>
      </c>
      <c r="E134" s="28" t="s">
        <v>2796</v>
      </c>
      <c r="F134" s="28" t="s">
        <v>58</v>
      </c>
      <c r="G134" s="28" t="s">
        <v>97</v>
      </c>
      <c r="H134" s="28" t="s">
        <v>2797</v>
      </c>
      <c r="I134" s="54">
        <v>45717</v>
      </c>
      <c r="J134" s="28" t="s">
        <v>489</v>
      </c>
      <c r="K134" s="28" t="s">
        <v>490</v>
      </c>
    </row>
    <row r="135" spans="1:11" ht="39.6">
      <c r="A135" s="28">
        <v>134</v>
      </c>
      <c r="B135" s="48" t="s">
        <v>491</v>
      </c>
      <c r="C135" s="28" t="s">
        <v>83</v>
      </c>
      <c r="D135" s="28" t="s">
        <v>14</v>
      </c>
      <c r="E135" s="28" t="s">
        <v>2798</v>
      </c>
      <c r="F135" s="28" t="s">
        <v>176</v>
      </c>
      <c r="G135" s="28" t="s">
        <v>97</v>
      </c>
      <c r="H135" s="28" t="s">
        <v>2799</v>
      </c>
      <c r="I135" s="54">
        <v>45717</v>
      </c>
      <c r="J135" s="28" t="s">
        <v>492</v>
      </c>
      <c r="K135" s="28" t="s">
        <v>493</v>
      </c>
    </row>
    <row r="136" spans="1:11" ht="39.6">
      <c r="A136" s="28">
        <v>135</v>
      </c>
      <c r="B136" s="48" t="s">
        <v>2662</v>
      </c>
      <c r="C136" s="28" t="s">
        <v>83</v>
      </c>
      <c r="D136" s="28" t="s">
        <v>14</v>
      </c>
      <c r="E136" s="28" t="s">
        <v>494</v>
      </c>
      <c r="F136" s="28" t="s">
        <v>176</v>
      </c>
      <c r="G136" s="28" t="s">
        <v>97</v>
      </c>
      <c r="H136" s="28" t="s">
        <v>2800</v>
      </c>
      <c r="I136" s="54">
        <v>45717</v>
      </c>
      <c r="J136" s="28" t="s">
        <v>495</v>
      </c>
      <c r="K136" s="28" t="s">
        <v>496</v>
      </c>
    </row>
    <row r="137" spans="1:11" ht="26.4">
      <c r="A137" s="28">
        <v>136</v>
      </c>
      <c r="B137" s="48" t="s">
        <v>497</v>
      </c>
      <c r="C137" s="28" t="s">
        <v>83</v>
      </c>
      <c r="D137" s="28" t="s">
        <v>14</v>
      </c>
      <c r="E137" s="28" t="s">
        <v>498</v>
      </c>
      <c r="F137" s="28" t="s">
        <v>40</v>
      </c>
      <c r="G137" s="28" t="s">
        <v>83</v>
      </c>
      <c r="H137" s="28" t="s">
        <v>499</v>
      </c>
      <c r="I137" s="54">
        <v>45717</v>
      </c>
      <c r="J137" s="28" t="s">
        <v>83</v>
      </c>
      <c r="K137" s="28" t="s">
        <v>83</v>
      </c>
    </row>
    <row r="138" spans="1:11" ht="39.6">
      <c r="A138" s="28">
        <v>137</v>
      </c>
      <c r="B138" s="48" t="s">
        <v>497</v>
      </c>
      <c r="C138" s="28" t="s">
        <v>83</v>
      </c>
      <c r="D138" s="28" t="s">
        <v>14</v>
      </c>
      <c r="E138" s="28" t="s">
        <v>498</v>
      </c>
      <c r="F138" s="28" t="s">
        <v>40</v>
      </c>
      <c r="G138" s="28" t="s">
        <v>83</v>
      </c>
      <c r="H138" s="28" t="s">
        <v>2801</v>
      </c>
      <c r="I138" s="54">
        <v>45717</v>
      </c>
      <c r="J138" s="28" t="s">
        <v>83</v>
      </c>
      <c r="K138" s="28" t="s">
        <v>83</v>
      </c>
    </row>
    <row r="139" spans="1:11" ht="26.4">
      <c r="A139" s="28">
        <v>138</v>
      </c>
      <c r="B139" s="48" t="s">
        <v>500</v>
      </c>
      <c r="C139" s="28" t="s">
        <v>83</v>
      </c>
      <c r="D139" s="28" t="s">
        <v>154</v>
      </c>
      <c r="E139" s="28" t="s">
        <v>2612</v>
      </c>
      <c r="F139" s="28" t="s">
        <v>40</v>
      </c>
      <c r="G139" s="28" t="s">
        <v>97</v>
      </c>
      <c r="H139" s="28" t="s">
        <v>501</v>
      </c>
      <c r="I139" s="54" t="s">
        <v>502</v>
      </c>
      <c r="J139" s="28" t="s">
        <v>83</v>
      </c>
      <c r="K139" s="28" t="s">
        <v>83</v>
      </c>
    </row>
    <row r="140" spans="1:11" ht="39.6">
      <c r="A140" s="28">
        <v>139</v>
      </c>
      <c r="B140" s="48" t="s">
        <v>149</v>
      </c>
      <c r="C140" s="28" t="s">
        <v>83</v>
      </c>
      <c r="D140" s="28" t="s">
        <v>16</v>
      </c>
      <c r="E140" s="28" t="s">
        <v>2802</v>
      </c>
      <c r="F140" s="28" t="s">
        <v>83</v>
      </c>
      <c r="G140" s="28" t="s">
        <v>97</v>
      </c>
      <c r="H140" s="28" t="s">
        <v>503</v>
      </c>
      <c r="I140" s="54">
        <v>45737</v>
      </c>
      <c r="J140" s="28">
        <v>18695469</v>
      </c>
      <c r="K140" s="28" t="s">
        <v>504</v>
      </c>
    </row>
    <row r="141" spans="1:11" ht="52.8">
      <c r="A141" s="28">
        <v>140</v>
      </c>
      <c r="B141" s="48" t="s">
        <v>2803</v>
      </c>
      <c r="C141" s="28" t="s">
        <v>83</v>
      </c>
      <c r="D141" s="28" t="s">
        <v>22</v>
      </c>
      <c r="E141" s="28" t="s">
        <v>506</v>
      </c>
      <c r="F141" s="28" t="s">
        <v>82</v>
      </c>
      <c r="G141" s="28" t="s">
        <v>83</v>
      </c>
      <c r="H141" s="28" t="s">
        <v>2613</v>
      </c>
      <c r="I141" s="54">
        <v>45627</v>
      </c>
      <c r="J141" s="28" t="s">
        <v>507</v>
      </c>
      <c r="K141" s="28" t="s">
        <v>83</v>
      </c>
    </row>
    <row r="142" spans="1:11" ht="26.4">
      <c r="A142" s="28">
        <v>141</v>
      </c>
      <c r="B142" s="48" t="s">
        <v>508</v>
      </c>
      <c r="C142" s="28" t="s">
        <v>83</v>
      </c>
      <c r="D142" s="28" t="s">
        <v>16</v>
      </c>
      <c r="E142" s="28" t="s">
        <v>509</v>
      </c>
      <c r="F142" s="28" t="s">
        <v>40</v>
      </c>
      <c r="G142" s="28" t="s">
        <v>83</v>
      </c>
      <c r="H142" s="28" t="s">
        <v>510</v>
      </c>
      <c r="I142" s="54">
        <v>45809</v>
      </c>
      <c r="J142" s="28" t="s">
        <v>83</v>
      </c>
      <c r="K142" s="28" t="s">
        <v>511</v>
      </c>
    </row>
    <row r="143" spans="1:11" ht="52.8">
      <c r="A143" s="28">
        <v>142</v>
      </c>
      <c r="B143" s="48" t="s">
        <v>369</v>
      </c>
      <c r="C143" s="28" t="s">
        <v>512</v>
      </c>
      <c r="D143" s="28" t="s">
        <v>23</v>
      </c>
      <c r="E143" s="28" t="s">
        <v>2804</v>
      </c>
      <c r="F143" s="28" t="s">
        <v>87</v>
      </c>
      <c r="G143" s="28" t="s">
        <v>83</v>
      </c>
      <c r="H143" s="28" t="s">
        <v>513</v>
      </c>
      <c r="I143" s="54" t="s">
        <v>371</v>
      </c>
      <c r="J143" s="28" t="s">
        <v>83</v>
      </c>
      <c r="K143" s="28" t="s">
        <v>514</v>
      </c>
    </row>
    <row r="144" spans="1:11" ht="39.6">
      <c r="A144" s="28">
        <v>143</v>
      </c>
      <c r="B144" s="48" t="s">
        <v>515</v>
      </c>
      <c r="C144" s="28" t="s">
        <v>83</v>
      </c>
      <c r="D144" s="28" t="s">
        <v>23</v>
      </c>
      <c r="E144" s="28" t="s">
        <v>2805</v>
      </c>
      <c r="F144" s="28" t="s">
        <v>87</v>
      </c>
      <c r="G144" s="28" t="s">
        <v>83</v>
      </c>
      <c r="H144" s="28" t="s">
        <v>2806</v>
      </c>
      <c r="I144" s="54" t="s">
        <v>455</v>
      </c>
      <c r="J144" s="28" t="s">
        <v>83</v>
      </c>
      <c r="K144" s="28" t="s">
        <v>516</v>
      </c>
    </row>
    <row r="145" spans="1:11" ht="52.8">
      <c r="A145" s="28">
        <v>144</v>
      </c>
      <c r="B145" s="48" t="s">
        <v>3006</v>
      </c>
      <c r="C145" s="28" t="s">
        <v>83</v>
      </c>
      <c r="D145" s="28" t="s">
        <v>23</v>
      </c>
      <c r="E145" s="28" t="s">
        <v>2807</v>
      </c>
      <c r="F145" s="28" t="s">
        <v>87</v>
      </c>
      <c r="G145" s="28" t="s">
        <v>83</v>
      </c>
      <c r="H145" s="28" t="s">
        <v>2808</v>
      </c>
      <c r="I145" s="54" t="s">
        <v>147</v>
      </c>
      <c r="J145" s="28" t="s">
        <v>83</v>
      </c>
      <c r="K145" s="28" t="s">
        <v>2809</v>
      </c>
    </row>
    <row r="146" spans="1:11" ht="26.4">
      <c r="A146" s="28">
        <v>145</v>
      </c>
      <c r="B146" s="48" t="s">
        <v>473</v>
      </c>
      <c r="C146" s="28" t="s">
        <v>83</v>
      </c>
      <c r="D146" s="28" t="s">
        <v>16</v>
      </c>
      <c r="E146" s="28" t="s">
        <v>2810</v>
      </c>
      <c r="F146" s="28" t="s">
        <v>40</v>
      </c>
      <c r="G146" s="28" t="s">
        <v>40</v>
      </c>
      <c r="H146" s="28" t="s">
        <v>517</v>
      </c>
      <c r="I146" s="54" t="s">
        <v>3051</v>
      </c>
      <c r="J146" s="28" t="s">
        <v>40</v>
      </c>
      <c r="K146" s="28" t="s">
        <v>518</v>
      </c>
    </row>
    <row r="147" spans="1:11" ht="39.6">
      <c r="A147" s="28">
        <v>146</v>
      </c>
      <c r="B147" s="48" t="s">
        <v>519</v>
      </c>
      <c r="C147" s="28" t="s">
        <v>83</v>
      </c>
      <c r="D147" s="28" t="s">
        <v>15</v>
      </c>
      <c r="E147" s="28" t="s">
        <v>2811</v>
      </c>
      <c r="F147" s="28" t="s">
        <v>87</v>
      </c>
      <c r="G147" s="28" t="s">
        <v>83</v>
      </c>
      <c r="H147" s="28" t="s">
        <v>2614</v>
      </c>
      <c r="I147" s="54" t="s">
        <v>520</v>
      </c>
      <c r="J147" s="28" t="s">
        <v>83</v>
      </c>
      <c r="K147" s="28" t="s">
        <v>83</v>
      </c>
    </row>
    <row r="148" spans="1:11" ht="52.8">
      <c r="A148" s="28">
        <v>147</v>
      </c>
      <c r="B148" s="48" t="s">
        <v>305</v>
      </c>
      <c r="C148" s="28" t="s">
        <v>521</v>
      </c>
      <c r="D148" s="28" t="s">
        <v>15</v>
      </c>
      <c r="E148" s="28" t="s">
        <v>2812</v>
      </c>
      <c r="F148" s="28" t="s">
        <v>87</v>
      </c>
      <c r="G148" s="28" t="s">
        <v>83</v>
      </c>
      <c r="H148" s="28" t="s">
        <v>522</v>
      </c>
      <c r="I148" s="54" t="s">
        <v>523</v>
      </c>
      <c r="J148" s="28" t="s">
        <v>83</v>
      </c>
      <c r="K148" s="28" t="s">
        <v>83</v>
      </c>
    </row>
    <row r="149" spans="1:11" ht="52.8">
      <c r="A149" s="28">
        <v>148</v>
      </c>
      <c r="B149" s="48" t="s">
        <v>312</v>
      </c>
      <c r="C149" s="28" t="s">
        <v>524</v>
      </c>
      <c r="D149" s="28" t="s">
        <v>15</v>
      </c>
      <c r="E149" s="28" t="s">
        <v>2813</v>
      </c>
      <c r="F149" s="28" t="s">
        <v>87</v>
      </c>
      <c r="G149" s="28" t="s">
        <v>83</v>
      </c>
      <c r="H149" s="28" t="s">
        <v>525</v>
      </c>
      <c r="I149" s="54" t="s">
        <v>526</v>
      </c>
      <c r="J149" s="28" t="s">
        <v>83</v>
      </c>
      <c r="K149" s="28" t="s">
        <v>83</v>
      </c>
    </row>
    <row r="150" spans="1:11" ht="66">
      <c r="A150" s="28">
        <v>149</v>
      </c>
      <c r="B150" s="48" t="s">
        <v>527</v>
      </c>
      <c r="C150" s="28" t="s">
        <v>83</v>
      </c>
      <c r="D150" s="28" t="s">
        <v>20</v>
      </c>
      <c r="E150" s="28" t="s">
        <v>2814</v>
      </c>
      <c r="F150" s="28" t="s">
        <v>176</v>
      </c>
      <c r="G150" s="28" t="s">
        <v>83</v>
      </c>
      <c r="H150" s="28" t="s">
        <v>2615</v>
      </c>
      <c r="I150" s="54" t="s">
        <v>528</v>
      </c>
      <c r="J150" s="28" t="s">
        <v>83</v>
      </c>
      <c r="K150" s="28" t="s">
        <v>83</v>
      </c>
    </row>
    <row r="151" spans="1:11" ht="39.6">
      <c r="A151" s="28">
        <v>150</v>
      </c>
      <c r="B151" s="48" t="s">
        <v>529</v>
      </c>
      <c r="C151" s="28" t="s">
        <v>40</v>
      </c>
      <c r="D151" s="28" t="s">
        <v>16</v>
      </c>
      <c r="E151" s="28" t="s">
        <v>2815</v>
      </c>
      <c r="F151" s="28" t="s">
        <v>40</v>
      </c>
      <c r="G151" s="28" t="s">
        <v>40</v>
      </c>
      <c r="H151" s="28" t="s">
        <v>530</v>
      </c>
      <c r="I151" s="54" t="s">
        <v>455</v>
      </c>
      <c r="J151" s="28" t="s">
        <v>40</v>
      </c>
      <c r="K151" s="28" t="s">
        <v>531</v>
      </c>
    </row>
    <row r="152" spans="1:11" ht="39.6">
      <c r="A152" s="28">
        <v>151</v>
      </c>
      <c r="B152" s="48" t="s">
        <v>532</v>
      </c>
      <c r="C152" s="28" t="s">
        <v>97</v>
      </c>
      <c r="D152" s="28" t="s">
        <v>16</v>
      </c>
      <c r="E152" s="28" t="s">
        <v>2816</v>
      </c>
      <c r="F152" s="28" t="s">
        <v>40</v>
      </c>
      <c r="G152" s="28" t="s">
        <v>40</v>
      </c>
      <c r="H152" s="28" t="s">
        <v>533</v>
      </c>
      <c r="I152" s="54" t="s">
        <v>166</v>
      </c>
      <c r="J152" s="28" t="s">
        <v>83</v>
      </c>
      <c r="K152" s="28" t="s">
        <v>534</v>
      </c>
    </row>
    <row r="153" spans="1:11" ht="39.6">
      <c r="A153" s="28">
        <v>152</v>
      </c>
      <c r="B153" s="48" t="s">
        <v>2817</v>
      </c>
      <c r="C153" s="28" t="s">
        <v>97</v>
      </c>
      <c r="D153" s="28" t="s">
        <v>16</v>
      </c>
      <c r="E153" s="28" t="s">
        <v>2816</v>
      </c>
      <c r="F153" s="28" t="s">
        <v>40</v>
      </c>
      <c r="G153" s="28" t="s">
        <v>40</v>
      </c>
      <c r="H153" s="28" t="s">
        <v>535</v>
      </c>
      <c r="I153" s="54" t="s">
        <v>166</v>
      </c>
      <c r="J153" s="28" t="s">
        <v>83</v>
      </c>
      <c r="K153" s="28" t="s">
        <v>536</v>
      </c>
    </row>
    <row r="154" spans="1:11" ht="39.6">
      <c r="A154" s="28">
        <v>153</v>
      </c>
      <c r="B154" s="48" t="s">
        <v>2818</v>
      </c>
      <c r="C154" s="28" t="s">
        <v>83</v>
      </c>
      <c r="D154" s="28" t="s">
        <v>16</v>
      </c>
      <c r="E154" s="28" t="s">
        <v>2816</v>
      </c>
      <c r="F154" s="28" t="s">
        <v>40</v>
      </c>
      <c r="G154" s="28" t="s">
        <v>40</v>
      </c>
      <c r="H154" s="28" t="s">
        <v>2819</v>
      </c>
      <c r="I154" s="54" t="s">
        <v>537</v>
      </c>
      <c r="J154" s="28" t="s">
        <v>83</v>
      </c>
      <c r="K154" s="28" t="s">
        <v>2820</v>
      </c>
    </row>
    <row r="155" spans="1:11" ht="39.6">
      <c r="A155" s="28">
        <v>154</v>
      </c>
      <c r="B155" s="48" t="s">
        <v>2821</v>
      </c>
      <c r="C155" s="28" t="s">
        <v>83</v>
      </c>
      <c r="D155" s="28" t="s">
        <v>16</v>
      </c>
      <c r="E155" s="28" t="s">
        <v>2822</v>
      </c>
      <c r="F155" s="28" t="s">
        <v>83</v>
      </c>
      <c r="G155" s="28" t="s">
        <v>83</v>
      </c>
      <c r="H155" s="28" t="s">
        <v>538</v>
      </c>
      <c r="I155" s="54" t="s">
        <v>539</v>
      </c>
      <c r="J155" s="28" t="s">
        <v>540</v>
      </c>
      <c r="K155" s="28" t="s">
        <v>541</v>
      </c>
    </row>
    <row r="156" spans="1:11" ht="26.4">
      <c r="A156" s="28">
        <v>155</v>
      </c>
      <c r="B156" s="48" t="s">
        <v>542</v>
      </c>
      <c r="C156" s="28" t="s">
        <v>83</v>
      </c>
      <c r="D156" s="28" t="s">
        <v>14</v>
      </c>
      <c r="E156" s="28" t="s">
        <v>543</v>
      </c>
      <c r="F156" s="28" t="s">
        <v>83</v>
      </c>
      <c r="G156" s="28" t="s">
        <v>83</v>
      </c>
      <c r="H156" s="28" t="s">
        <v>544</v>
      </c>
      <c r="I156" s="54"/>
      <c r="J156" s="28" t="s">
        <v>83</v>
      </c>
      <c r="K156" s="28" t="s">
        <v>83</v>
      </c>
    </row>
    <row r="157" spans="1:11" ht="39.6">
      <c r="A157" s="28">
        <v>156</v>
      </c>
      <c r="B157" s="48" t="s">
        <v>2662</v>
      </c>
      <c r="C157" s="28" t="s">
        <v>83</v>
      </c>
      <c r="D157" s="28" t="s">
        <v>14</v>
      </c>
      <c r="E157" s="28" t="s">
        <v>545</v>
      </c>
      <c r="F157" s="28" t="s">
        <v>58</v>
      </c>
      <c r="G157" s="28" t="s">
        <v>97</v>
      </c>
      <c r="H157" s="28" t="s">
        <v>546</v>
      </c>
      <c r="I157" s="54">
        <v>45778</v>
      </c>
      <c r="J157" s="28" t="s">
        <v>547</v>
      </c>
      <c r="K157" s="28" t="s">
        <v>548</v>
      </c>
    </row>
    <row r="158" spans="1:11" ht="66">
      <c r="A158" s="28">
        <v>157</v>
      </c>
      <c r="B158" s="48" t="s">
        <v>2662</v>
      </c>
      <c r="C158" s="28" t="s">
        <v>83</v>
      </c>
      <c r="D158" s="28" t="s">
        <v>14</v>
      </c>
      <c r="E158" s="28" t="s">
        <v>2616</v>
      </c>
      <c r="F158" s="28" t="s">
        <v>55</v>
      </c>
      <c r="G158" s="28" t="s">
        <v>97</v>
      </c>
      <c r="H158" s="28" t="s">
        <v>2823</v>
      </c>
      <c r="I158" s="54">
        <v>45748</v>
      </c>
      <c r="J158" s="28" t="s">
        <v>549</v>
      </c>
      <c r="K158" s="28" t="s">
        <v>550</v>
      </c>
    </row>
    <row r="159" spans="1:11" ht="66">
      <c r="A159" s="28">
        <v>158</v>
      </c>
      <c r="B159" s="48" t="s">
        <v>497</v>
      </c>
      <c r="C159" s="28" t="s">
        <v>83</v>
      </c>
      <c r="D159" s="28" t="s">
        <v>14</v>
      </c>
      <c r="E159" s="28" t="s">
        <v>543</v>
      </c>
      <c r="F159" s="28" t="s">
        <v>83</v>
      </c>
      <c r="G159" s="28" t="s">
        <v>83</v>
      </c>
      <c r="H159" s="28" t="s">
        <v>2617</v>
      </c>
      <c r="I159" s="54">
        <v>45778</v>
      </c>
      <c r="J159" s="28" t="s">
        <v>40</v>
      </c>
      <c r="K159" s="28" t="s">
        <v>40</v>
      </c>
    </row>
    <row r="160" spans="1:11" ht="39.6">
      <c r="A160" s="28">
        <v>159</v>
      </c>
      <c r="B160" s="48" t="s">
        <v>402</v>
      </c>
      <c r="C160" s="28" t="s">
        <v>83</v>
      </c>
      <c r="D160" s="28" t="s">
        <v>14</v>
      </c>
      <c r="E160" s="28" t="s">
        <v>2824</v>
      </c>
      <c r="F160" s="28" t="s">
        <v>83</v>
      </c>
      <c r="G160" s="28" t="s">
        <v>2607</v>
      </c>
      <c r="H160" s="28" t="s">
        <v>2825</v>
      </c>
      <c r="I160" s="54" t="s">
        <v>403</v>
      </c>
      <c r="J160" s="28" t="s">
        <v>83</v>
      </c>
      <c r="K160" s="28" t="s">
        <v>83</v>
      </c>
    </row>
    <row r="161" spans="1:11" ht="39.6">
      <c r="A161" s="28">
        <v>160</v>
      </c>
      <c r="B161" s="48" t="s">
        <v>2662</v>
      </c>
      <c r="C161" s="28" t="s">
        <v>83</v>
      </c>
      <c r="D161" s="28" t="s">
        <v>14</v>
      </c>
      <c r="E161" s="28" t="s">
        <v>551</v>
      </c>
      <c r="F161" s="28" t="s">
        <v>55</v>
      </c>
      <c r="G161" s="28" t="s">
        <v>97</v>
      </c>
      <c r="H161" s="28" t="s">
        <v>2826</v>
      </c>
      <c r="I161" s="54">
        <v>45778</v>
      </c>
      <c r="J161" s="28" t="s">
        <v>552</v>
      </c>
      <c r="K161" s="28" t="s">
        <v>553</v>
      </c>
    </row>
    <row r="162" spans="1:11" ht="52.8">
      <c r="A162" s="28">
        <v>161</v>
      </c>
      <c r="B162" s="48" t="s">
        <v>215</v>
      </c>
      <c r="C162" s="28" t="s">
        <v>97</v>
      </c>
      <c r="D162" s="28" t="s">
        <v>16</v>
      </c>
      <c r="E162" s="28" t="s">
        <v>2827</v>
      </c>
      <c r="F162" s="28" t="s">
        <v>83</v>
      </c>
      <c r="G162" s="28" t="s">
        <v>83</v>
      </c>
      <c r="H162" s="28" t="s">
        <v>2618</v>
      </c>
      <c r="I162" s="54" t="s">
        <v>554</v>
      </c>
      <c r="J162" s="28" t="s">
        <v>83</v>
      </c>
      <c r="K162" s="28" t="s">
        <v>555</v>
      </c>
    </row>
    <row r="163" spans="1:11" ht="39.6">
      <c r="A163" s="28">
        <v>162</v>
      </c>
      <c r="B163" s="48" t="s">
        <v>215</v>
      </c>
      <c r="C163" s="28" t="s">
        <v>83</v>
      </c>
      <c r="D163" s="28" t="s">
        <v>16</v>
      </c>
      <c r="E163" s="28" t="s">
        <v>556</v>
      </c>
      <c r="F163" s="28" t="s">
        <v>83</v>
      </c>
      <c r="G163" s="28" t="s">
        <v>83</v>
      </c>
      <c r="H163" s="28" t="s">
        <v>557</v>
      </c>
      <c r="I163" s="54" t="s">
        <v>558</v>
      </c>
      <c r="J163" s="28" t="s">
        <v>83</v>
      </c>
      <c r="K163" s="28" t="s">
        <v>559</v>
      </c>
    </row>
    <row r="164" spans="1:11" ht="39.6">
      <c r="A164" s="28">
        <v>163</v>
      </c>
      <c r="B164" s="48" t="s">
        <v>560</v>
      </c>
      <c r="C164" s="28" t="s">
        <v>83</v>
      </c>
      <c r="D164" s="28" t="s">
        <v>16</v>
      </c>
      <c r="E164" s="28" t="s">
        <v>561</v>
      </c>
      <c r="F164" s="28" t="s">
        <v>83</v>
      </c>
      <c r="G164" s="28" t="s">
        <v>97</v>
      </c>
      <c r="H164" s="28" t="s">
        <v>2828</v>
      </c>
      <c r="I164" s="54" t="s">
        <v>558</v>
      </c>
      <c r="J164" s="28" t="s">
        <v>83</v>
      </c>
      <c r="K164" s="28" t="s">
        <v>562</v>
      </c>
    </row>
    <row r="165" spans="1:11" ht="39.6">
      <c r="A165" s="28">
        <v>164</v>
      </c>
      <c r="B165" s="48" t="s">
        <v>563</v>
      </c>
      <c r="C165" s="28" t="s">
        <v>83</v>
      </c>
      <c r="D165" s="28" t="s">
        <v>17</v>
      </c>
      <c r="E165" s="28" t="s">
        <v>2829</v>
      </c>
      <c r="F165" s="28" t="s">
        <v>83</v>
      </c>
      <c r="G165" s="28" t="s">
        <v>83</v>
      </c>
      <c r="H165" s="28" t="s">
        <v>2830</v>
      </c>
      <c r="I165" s="54" t="s">
        <v>564</v>
      </c>
      <c r="J165" s="28" t="s">
        <v>83</v>
      </c>
      <c r="K165" s="28" t="s">
        <v>83</v>
      </c>
    </row>
    <row r="166" spans="1:11" ht="39.6">
      <c r="A166" s="28">
        <v>165</v>
      </c>
      <c r="B166" s="48" t="s">
        <v>563</v>
      </c>
      <c r="C166" s="28" t="s">
        <v>83</v>
      </c>
      <c r="D166" s="28" t="s">
        <v>17</v>
      </c>
      <c r="E166" s="28" t="s">
        <v>2829</v>
      </c>
      <c r="F166" s="28" t="s">
        <v>83</v>
      </c>
      <c r="G166" s="28" t="s">
        <v>83</v>
      </c>
      <c r="H166" s="28" t="s">
        <v>2831</v>
      </c>
      <c r="I166" s="54" t="s">
        <v>564</v>
      </c>
      <c r="J166" s="28" t="s">
        <v>83</v>
      </c>
      <c r="K166" s="28" t="s">
        <v>83</v>
      </c>
    </row>
    <row r="167" spans="1:11" ht="26.4">
      <c r="A167" s="28">
        <v>166</v>
      </c>
      <c r="B167" s="48" t="s">
        <v>167</v>
      </c>
      <c r="C167" s="28" t="s">
        <v>83</v>
      </c>
      <c r="D167" s="28" t="s">
        <v>17</v>
      </c>
      <c r="E167" s="28" t="s">
        <v>2832</v>
      </c>
      <c r="F167" s="28" t="s">
        <v>83</v>
      </c>
      <c r="G167" s="28" t="s">
        <v>83</v>
      </c>
      <c r="H167" s="28" t="s">
        <v>2833</v>
      </c>
      <c r="I167" s="54" t="s">
        <v>565</v>
      </c>
      <c r="J167" s="28" t="s">
        <v>83</v>
      </c>
      <c r="K167" s="28" t="s">
        <v>83</v>
      </c>
    </row>
    <row r="168" spans="1:11" ht="39.6">
      <c r="A168" s="28">
        <v>167</v>
      </c>
      <c r="B168" s="48" t="s">
        <v>566</v>
      </c>
      <c r="C168" s="28" t="s">
        <v>83</v>
      </c>
      <c r="D168" s="28" t="s">
        <v>24</v>
      </c>
      <c r="E168" s="28" t="s">
        <v>2834</v>
      </c>
      <c r="F168" s="28" t="s">
        <v>83</v>
      </c>
      <c r="G168" s="28" t="s">
        <v>83</v>
      </c>
      <c r="H168" s="28" t="s">
        <v>2619</v>
      </c>
      <c r="I168" s="54" t="s">
        <v>567</v>
      </c>
      <c r="J168" s="28" t="s">
        <v>568</v>
      </c>
      <c r="K168" s="28" t="s">
        <v>2835</v>
      </c>
    </row>
    <row r="169" spans="1:11" ht="39.6">
      <c r="A169" s="28">
        <v>168</v>
      </c>
      <c r="B169" s="48" t="s">
        <v>566</v>
      </c>
      <c r="C169" s="28" t="s">
        <v>83</v>
      </c>
      <c r="D169" s="28" t="s">
        <v>24</v>
      </c>
      <c r="E169" s="28" t="s">
        <v>569</v>
      </c>
      <c r="F169" s="28" t="s">
        <v>82</v>
      </c>
      <c r="G169" s="28" t="s">
        <v>83</v>
      </c>
      <c r="H169" s="28" t="s">
        <v>2836</v>
      </c>
      <c r="I169" s="54" t="s">
        <v>570</v>
      </c>
      <c r="J169" s="28" t="s">
        <v>571</v>
      </c>
      <c r="K169" s="28" t="s">
        <v>2837</v>
      </c>
    </row>
    <row r="170" spans="1:11" ht="39.6">
      <c r="A170" s="28">
        <v>169</v>
      </c>
      <c r="B170" s="48" t="s">
        <v>572</v>
      </c>
      <c r="C170" s="28" t="s">
        <v>83</v>
      </c>
      <c r="D170" s="28" t="s">
        <v>24</v>
      </c>
      <c r="E170" s="28" t="s">
        <v>2834</v>
      </c>
      <c r="F170" s="28" t="s">
        <v>83</v>
      </c>
      <c r="G170" s="28" t="s">
        <v>83</v>
      </c>
      <c r="H170" s="28" t="s">
        <v>2620</v>
      </c>
      <c r="I170" s="54" t="s">
        <v>2838</v>
      </c>
      <c r="J170" s="28" t="s">
        <v>573</v>
      </c>
      <c r="K170" s="28" t="s">
        <v>2839</v>
      </c>
    </row>
    <row r="171" spans="1:11" ht="26.4">
      <c r="A171" s="28">
        <v>170</v>
      </c>
      <c r="B171" s="48" t="s">
        <v>572</v>
      </c>
      <c r="C171" s="28" t="s">
        <v>83</v>
      </c>
      <c r="D171" s="28" t="s">
        <v>24</v>
      </c>
      <c r="E171" s="28" t="s">
        <v>574</v>
      </c>
      <c r="F171" s="28" t="s">
        <v>575</v>
      </c>
      <c r="G171" s="28" t="s">
        <v>247</v>
      </c>
      <c r="H171" s="28" t="s">
        <v>576</v>
      </c>
      <c r="I171" s="54" t="s">
        <v>577</v>
      </c>
      <c r="J171" s="28" t="s">
        <v>83</v>
      </c>
      <c r="K171" s="28" t="s">
        <v>83</v>
      </c>
    </row>
    <row r="172" spans="1:11" ht="52.8">
      <c r="A172" s="28">
        <v>171</v>
      </c>
      <c r="B172" s="48" t="s">
        <v>578</v>
      </c>
      <c r="C172" s="28" t="s">
        <v>83</v>
      </c>
      <c r="D172" s="28" t="s">
        <v>24</v>
      </c>
      <c r="E172" s="28" t="s">
        <v>579</v>
      </c>
      <c r="F172" s="28" t="s">
        <v>55</v>
      </c>
      <c r="G172" s="28" t="s">
        <v>97</v>
      </c>
      <c r="H172" s="28" t="s">
        <v>580</v>
      </c>
      <c r="I172" s="54" t="s">
        <v>581</v>
      </c>
      <c r="J172" s="28" t="s">
        <v>582</v>
      </c>
      <c r="K172" s="28" t="s">
        <v>582</v>
      </c>
    </row>
    <row r="173" spans="1:11" ht="52.8">
      <c r="A173" s="28">
        <v>172</v>
      </c>
      <c r="B173" s="48" t="s">
        <v>578</v>
      </c>
      <c r="C173" s="28" t="s">
        <v>83</v>
      </c>
      <c r="D173" s="28" t="s">
        <v>24</v>
      </c>
      <c r="E173" s="28" t="s">
        <v>2834</v>
      </c>
      <c r="F173" s="28" t="s">
        <v>83</v>
      </c>
      <c r="G173" s="28" t="s">
        <v>83</v>
      </c>
      <c r="H173" s="28" t="s">
        <v>2840</v>
      </c>
      <c r="I173" s="54" t="s">
        <v>583</v>
      </c>
      <c r="J173" s="28" t="s">
        <v>584</v>
      </c>
      <c r="K173" s="28" t="s">
        <v>83</v>
      </c>
    </row>
    <row r="174" spans="1:11" ht="39.6">
      <c r="A174" s="28">
        <v>173</v>
      </c>
      <c r="B174" s="48" t="s">
        <v>572</v>
      </c>
      <c r="C174" s="28" t="s">
        <v>83</v>
      </c>
      <c r="D174" s="28" t="s">
        <v>24</v>
      </c>
      <c r="E174" s="28" t="s">
        <v>331</v>
      </c>
      <c r="F174" s="28" t="s">
        <v>575</v>
      </c>
      <c r="G174" s="28" t="s">
        <v>247</v>
      </c>
      <c r="H174" s="28" t="s">
        <v>585</v>
      </c>
      <c r="I174" s="54" t="s">
        <v>583</v>
      </c>
      <c r="J174" s="28" t="s">
        <v>83</v>
      </c>
      <c r="K174" s="28" t="s">
        <v>586</v>
      </c>
    </row>
    <row r="175" spans="1:11" ht="26.4">
      <c r="A175" s="28">
        <v>174</v>
      </c>
      <c r="B175" s="48" t="s">
        <v>578</v>
      </c>
      <c r="C175" s="28" t="s">
        <v>83</v>
      </c>
      <c r="D175" s="28" t="s">
        <v>24</v>
      </c>
      <c r="E175" s="28" t="s">
        <v>574</v>
      </c>
      <c r="F175" s="28" t="s">
        <v>575</v>
      </c>
      <c r="G175" s="28" t="s">
        <v>247</v>
      </c>
      <c r="H175" s="28" t="s">
        <v>576</v>
      </c>
      <c r="I175" s="54" t="s">
        <v>577</v>
      </c>
      <c r="J175" s="28" t="s">
        <v>83</v>
      </c>
      <c r="K175" s="28" t="s">
        <v>83</v>
      </c>
    </row>
    <row r="176" spans="1:11" ht="39.6">
      <c r="A176" s="28">
        <v>175</v>
      </c>
      <c r="B176" s="48" t="s">
        <v>572</v>
      </c>
      <c r="C176" s="28" t="s">
        <v>83</v>
      </c>
      <c r="D176" s="28" t="s">
        <v>24</v>
      </c>
      <c r="E176" s="28" t="s">
        <v>2834</v>
      </c>
      <c r="F176" s="28" t="s">
        <v>83</v>
      </c>
      <c r="G176" s="28" t="s">
        <v>83</v>
      </c>
      <c r="H176" s="28" t="s">
        <v>2841</v>
      </c>
      <c r="I176" s="54" t="s">
        <v>583</v>
      </c>
      <c r="J176" s="28" t="s">
        <v>83</v>
      </c>
      <c r="K176" s="28" t="s">
        <v>586</v>
      </c>
    </row>
    <row r="177" spans="1:11" ht="26.4">
      <c r="A177" s="28">
        <v>176</v>
      </c>
      <c r="B177" s="48" t="s">
        <v>587</v>
      </c>
      <c r="C177" s="28" t="s">
        <v>83</v>
      </c>
      <c r="D177" s="28" t="s">
        <v>15</v>
      </c>
      <c r="E177" s="28" t="s">
        <v>588</v>
      </c>
      <c r="F177" s="28" t="s">
        <v>87</v>
      </c>
      <c r="G177" s="28" t="s">
        <v>83</v>
      </c>
      <c r="H177" s="28" t="s">
        <v>589</v>
      </c>
      <c r="I177" s="54" t="s">
        <v>590</v>
      </c>
      <c r="J177" s="28" t="s">
        <v>83</v>
      </c>
      <c r="K177" s="28" t="s">
        <v>83</v>
      </c>
    </row>
    <row r="178" spans="1:11" ht="52.8">
      <c r="A178" s="28">
        <v>177</v>
      </c>
      <c r="B178" s="48" t="s">
        <v>591</v>
      </c>
      <c r="C178" s="28" t="s">
        <v>2842</v>
      </c>
      <c r="D178" s="28" t="s">
        <v>15</v>
      </c>
      <c r="E178" s="28" t="s">
        <v>2843</v>
      </c>
      <c r="F178" s="28" t="s">
        <v>87</v>
      </c>
      <c r="G178" s="28" t="s">
        <v>83</v>
      </c>
      <c r="H178" s="28" t="s">
        <v>592</v>
      </c>
      <c r="I178" s="54" t="s">
        <v>593</v>
      </c>
      <c r="J178" s="28" t="s">
        <v>83</v>
      </c>
      <c r="K178" s="28" t="s">
        <v>83</v>
      </c>
    </row>
    <row r="179" spans="1:11" ht="52.8">
      <c r="A179" s="28">
        <v>178</v>
      </c>
      <c r="B179" s="48" t="s">
        <v>257</v>
      </c>
      <c r="C179" s="28" t="s">
        <v>2844</v>
      </c>
      <c r="D179" s="28" t="s">
        <v>15</v>
      </c>
      <c r="E179" s="28" t="s">
        <v>2845</v>
      </c>
      <c r="F179" s="28" t="s">
        <v>87</v>
      </c>
      <c r="G179" s="28" t="s">
        <v>83</v>
      </c>
      <c r="H179" s="28" t="s">
        <v>2621</v>
      </c>
      <c r="I179" s="54" t="s">
        <v>593</v>
      </c>
      <c r="J179" s="28" t="s">
        <v>83</v>
      </c>
      <c r="K179" s="28" t="s">
        <v>83</v>
      </c>
    </row>
    <row r="180" spans="1:11" ht="39.6">
      <c r="A180" s="28">
        <v>179</v>
      </c>
      <c r="B180" s="48" t="s">
        <v>594</v>
      </c>
      <c r="C180" s="28" t="s">
        <v>83</v>
      </c>
      <c r="D180" s="28" t="s">
        <v>15</v>
      </c>
      <c r="E180" s="28" t="s">
        <v>2846</v>
      </c>
      <c r="F180" s="28" t="s">
        <v>87</v>
      </c>
      <c r="G180" s="28" t="s">
        <v>83</v>
      </c>
      <c r="H180" s="28" t="s">
        <v>595</v>
      </c>
      <c r="I180" s="54" t="s">
        <v>596</v>
      </c>
      <c r="J180" s="28" t="s">
        <v>83</v>
      </c>
      <c r="K180" s="28" t="s">
        <v>83</v>
      </c>
    </row>
    <row r="181" spans="1:11" ht="52.8">
      <c r="A181" s="28">
        <v>180</v>
      </c>
      <c r="B181" s="48" t="s">
        <v>597</v>
      </c>
      <c r="C181" s="28" t="s">
        <v>83</v>
      </c>
      <c r="D181" s="28" t="s">
        <v>15</v>
      </c>
      <c r="E181" s="28" t="s">
        <v>2847</v>
      </c>
      <c r="F181" s="28" t="s">
        <v>87</v>
      </c>
      <c r="G181" s="28" t="s">
        <v>83</v>
      </c>
      <c r="H181" s="28" t="s">
        <v>2848</v>
      </c>
      <c r="I181" s="54" t="s">
        <v>3048</v>
      </c>
      <c r="J181" s="28" t="s">
        <v>83</v>
      </c>
      <c r="K181" s="28" t="s">
        <v>83</v>
      </c>
    </row>
    <row r="182" spans="1:11" ht="52.8">
      <c r="A182" s="28">
        <v>181</v>
      </c>
      <c r="B182" s="48" t="s">
        <v>597</v>
      </c>
      <c r="C182" s="28" t="s">
        <v>83</v>
      </c>
      <c r="D182" s="28" t="s">
        <v>15</v>
      </c>
      <c r="E182" s="28" t="s">
        <v>2847</v>
      </c>
      <c r="F182" s="28" t="s">
        <v>87</v>
      </c>
      <c r="G182" s="28" t="s">
        <v>83</v>
      </c>
      <c r="H182" s="28" t="s">
        <v>598</v>
      </c>
      <c r="I182" s="54" t="s">
        <v>3049</v>
      </c>
      <c r="J182" s="28" t="s">
        <v>83</v>
      </c>
      <c r="K182" s="28" t="s">
        <v>83</v>
      </c>
    </row>
    <row r="183" spans="1:11" ht="79.2">
      <c r="A183" s="28">
        <v>182</v>
      </c>
      <c r="B183" s="48" t="s">
        <v>597</v>
      </c>
      <c r="C183" s="28" t="s">
        <v>2849</v>
      </c>
      <c r="D183" s="28" t="s">
        <v>15</v>
      </c>
      <c r="E183" s="28" t="s">
        <v>2850</v>
      </c>
      <c r="F183" s="28" t="s">
        <v>87</v>
      </c>
      <c r="G183" s="28" t="s">
        <v>83</v>
      </c>
      <c r="H183" s="28" t="s">
        <v>599</v>
      </c>
      <c r="I183" s="54" t="s">
        <v>3050</v>
      </c>
      <c r="J183" s="28" t="s">
        <v>83</v>
      </c>
      <c r="K183" s="28" t="s">
        <v>83</v>
      </c>
    </row>
    <row r="184" spans="1:11" ht="52.8">
      <c r="A184" s="28">
        <v>183</v>
      </c>
      <c r="B184" s="48" t="s">
        <v>587</v>
      </c>
      <c r="C184" s="28" t="s">
        <v>600</v>
      </c>
      <c r="D184" s="28" t="s">
        <v>15</v>
      </c>
      <c r="E184" s="28" t="s">
        <v>2851</v>
      </c>
      <c r="F184" s="28" t="s">
        <v>87</v>
      </c>
      <c r="G184" s="28" t="s">
        <v>83</v>
      </c>
      <c r="H184" s="28" t="s">
        <v>2852</v>
      </c>
      <c r="I184" s="54" t="s">
        <v>601</v>
      </c>
      <c r="J184" s="28" t="s">
        <v>83</v>
      </c>
      <c r="K184" s="28" t="s">
        <v>83</v>
      </c>
    </row>
    <row r="185" spans="1:11" ht="52.8">
      <c r="A185" s="28">
        <v>184</v>
      </c>
      <c r="B185" s="48" t="s">
        <v>602</v>
      </c>
      <c r="C185" s="28" t="s">
        <v>2853</v>
      </c>
      <c r="D185" s="28" t="s">
        <v>15</v>
      </c>
      <c r="E185" s="28" t="s">
        <v>2851</v>
      </c>
      <c r="F185" s="28" t="s">
        <v>87</v>
      </c>
      <c r="G185" s="28" t="s">
        <v>83</v>
      </c>
      <c r="H185" s="28" t="s">
        <v>2854</v>
      </c>
      <c r="I185" s="54" t="s">
        <v>603</v>
      </c>
      <c r="J185" s="28" t="s">
        <v>83</v>
      </c>
      <c r="K185" s="28" t="s">
        <v>83</v>
      </c>
    </row>
    <row r="186" spans="1:11" ht="39.6">
      <c r="A186" s="28">
        <v>185</v>
      </c>
      <c r="B186" s="48" t="s">
        <v>259</v>
      </c>
      <c r="C186" s="28" t="s">
        <v>83</v>
      </c>
      <c r="D186" s="28" t="s">
        <v>15</v>
      </c>
      <c r="E186" s="28" t="s">
        <v>604</v>
      </c>
      <c r="F186" s="28" t="s">
        <v>82</v>
      </c>
      <c r="G186" s="28" t="s">
        <v>83</v>
      </c>
      <c r="H186" s="28" t="s">
        <v>605</v>
      </c>
      <c r="I186" s="54" t="s">
        <v>384</v>
      </c>
      <c r="J186" s="28" t="s">
        <v>83</v>
      </c>
      <c r="K186" s="28" t="s">
        <v>83</v>
      </c>
    </row>
    <row r="187" spans="1:11" ht="52.8">
      <c r="A187" s="28">
        <v>186</v>
      </c>
      <c r="B187" s="48" t="s">
        <v>606</v>
      </c>
      <c r="C187" s="28" t="s">
        <v>247</v>
      </c>
      <c r="D187" s="28" t="s">
        <v>16</v>
      </c>
      <c r="E187" s="28" t="s">
        <v>2855</v>
      </c>
      <c r="F187" s="28" t="s">
        <v>87</v>
      </c>
      <c r="G187" s="28" t="s">
        <v>83</v>
      </c>
      <c r="H187" s="28" t="s">
        <v>2856</v>
      </c>
      <c r="I187" s="54" t="s">
        <v>607</v>
      </c>
      <c r="J187" s="28" t="s">
        <v>83</v>
      </c>
      <c r="K187" s="28" t="s">
        <v>608</v>
      </c>
    </row>
    <row r="188" spans="1:11" ht="52.8">
      <c r="A188" s="28">
        <v>187</v>
      </c>
      <c r="B188" s="48" t="s">
        <v>184</v>
      </c>
      <c r="C188" s="28" t="s">
        <v>2857</v>
      </c>
      <c r="D188" s="28" t="s">
        <v>15</v>
      </c>
      <c r="E188" s="28" t="s">
        <v>609</v>
      </c>
      <c r="F188" s="28" t="s">
        <v>610</v>
      </c>
      <c r="G188" s="28" t="s">
        <v>83</v>
      </c>
      <c r="H188" s="28" t="s">
        <v>2858</v>
      </c>
      <c r="I188" s="54" t="s">
        <v>611</v>
      </c>
      <c r="J188" s="28" t="s">
        <v>83</v>
      </c>
      <c r="K188" s="28" t="s">
        <v>83</v>
      </c>
    </row>
    <row r="189" spans="1:11" ht="52.8">
      <c r="A189" s="28">
        <v>188</v>
      </c>
      <c r="B189" s="48" t="s">
        <v>267</v>
      </c>
      <c r="C189" s="28" t="s">
        <v>83</v>
      </c>
      <c r="D189" s="28" t="s">
        <v>16</v>
      </c>
      <c r="E189" s="28" t="s">
        <v>612</v>
      </c>
      <c r="F189" s="28" t="s">
        <v>610</v>
      </c>
      <c r="G189" s="28" t="s">
        <v>83</v>
      </c>
      <c r="H189" s="28" t="s">
        <v>2859</v>
      </c>
      <c r="I189" s="54" t="s">
        <v>613</v>
      </c>
      <c r="J189" s="28" t="s">
        <v>83</v>
      </c>
      <c r="K189" s="28" t="s">
        <v>614</v>
      </c>
    </row>
    <row r="190" spans="1:11" ht="52.8">
      <c r="A190" s="28">
        <v>189</v>
      </c>
      <c r="B190" s="48" t="s">
        <v>280</v>
      </c>
      <c r="C190" s="28" t="s">
        <v>83</v>
      </c>
      <c r="D190" s="28" t="s">
        <v>16</v>
      </c>
      <c r="E190" s="28" t="s">
        <v>615</v>
      </c>
      <c r="F190" s="28" t="s">
        <v>55</v>
      </c>
      <c r="G190" s="28" t="s">
        <v>83</v>
      </c>
      <c r="H190" s="28" t="s">
        <v>616</v>
      </c>
      <c r="I190" s="54" t="s">
        <v>617</v>
      </c>
      <c r="J190" s="28" t="s">
        <v>83</v>
      </c>
      <c r="K190" s="28" t="s">
        <v>618</v>
      </c>
    </row>
    <row r="191" spans="1:11" ht="39.6">
      <c r="A191" s="28">
        <v>190</v>
      </c>
      <c r="B191" s="48" t="s">
        <v>619</v>
      </c>
      <c r="C191" s="28" t="s">
        <v>83</v>
      </c>
      <c r="D191" s="28" t="s">
        <v>20</v>
      </c>
      <c r="E191" s="28" t="s">
        <v>620</v>
      </c>
      <c r="F191" s="28" t="s">
        <v>83</v>
      </c>
      <c r="G191" s="28" t="s">
        <v>83</v>
      </c>
      <c r="H191" s="28" t="s">
        <v>2860</v>
      </c>
      <c r="I191" s="54" t="s">
        <v>621</v>
      </c>
      <c r="J191" s="28" t="s">
        <v>83</v>
      </c>
      <c r="K191" s="28" t="s">
        <v>83</v>
      </c>
    </row>
    <row r="192" spans="1:11" ht="39.6">
      <c r="A192" s="28">
        <v>191</v>
      </c>
      <c r="B192" s="48" t="s">
        <v>622</v>
      </c>
      <c r="C192" s="28" t="s">
        <v>83</v>
      </c>
      <c r="D192" s="28" t="s">
        <v>20</v>
      </c>
      <c r="E192" s="28" t="s">
        <v>2861</v>
      </c>
      <c r="F192" s="28" t="s">
        <v>83</v>
      </c>
      <c r="G192" s="28" t="s">
        <v>83</v>
      </c>
      <c r="H192" s="28" t="s">
        <v>623</v>
      </c>
      <c r="I192" s="54" t="s">
        <v>624</v>
      </c>
      <c r="J192" s="28" t="s">
        <v>83</v>
      </c>
      <c r="K192" s="28" t="s">
        <v>83</v>
      </c>
    </row>
    <row r="193" spans="1:11" ht="39.6">
      <c r="A193" s="28">
        <v>192</v>
      </c>
      <c r="B193" s="48" t="s">
        <v>625</v>
      </c>
      <c r="C193" s="28" t="s">
        <v>626</v>
      </c>
      <c r="D193" s="28" t="s">
        <v>20</v>
      </c>
      <c r="E193" s="28" t="s">
        <v>2862</v>
      </c>
      <c r="F193" s="28" t="s">
        <v>82</v>
      </c>
      <c r="G193" s="28" t="s">
        <v>83</v>
      </c>
      <c r="H193" s="28" t="s">
        <v>2863</v>
      </c>
      <c r="I193" s="54" t="s">
        <v>627</v>
      </c>
      <c r="J193" s="28" t="s">
        <v>83</v>
      </c>
      <c r="K193" s="28" t="s">
        <v>83</v>
      </c>
    </row>
    <row r="194" spans="1:11" ht="39.6">
      <c r="A194" s="28">
        <v>193</v>
      </c>
      <c r="B194" s="48" t="s">
        <v>2690</v>
      </c>
      <c r="C194" s="28" t="s">
        <v>628</v>
      </c>
      <c r="D194" s="28" t="s">
        <v>20</v>
      </c>
      <c r="E194" s="28" t="s">
        <v>629</v>
      </c>
      <c r="F194" s="28" t="s">
        <v>83</v>
      </c>
      <c r="G194" s="28" t="s">
        <v>83</v>
      </c>
      <c r="H194" s="28" t="s">
        <v>2864</v>
      </c>
      <c r="I194" s="54" t="s">
        <v>630</v>
      </c>
      <c r="J194" s="28" t="s">
        <v>83</v>
      </c>
      <c r="K194" s="28" t="s">
        <v>83</v>
      </c>
    </row>
    <row r="195" spans="1:11" ht="39.6">
      <c r="A195" s="28">
        <v>194</v>
      </c>
      <c r="B195" s="48" t="s">
        <v>631</v>
      </c>
      <c r="C195" s="28" t="s">
        <v>83</v>
      </c>
      <c r="D195" s="28" t="s">
        <v>20</v>
      </c>
      <c r="E195" s="28" t="s">
        <v>632</v>
      </c>
      <c r="F195" s="28" t="s">
        <v>83</v>
      </c>
      <c r="G195" s="28" t="s">
        <v>83</v>
      </c>
      <c r="H195" s="28" t="s">
        <v>633</v>
      </c>
      <c r="I195" s="54" t="s">
        <v>634</v>
      </c>
      <c r="J195" s="28" t="s">
        <v>83</v>
      </c>
      <c r="K195" s="28" t="s">
        <v>83</v>
      </c>
    </row>
    <row r="196" spans="1:11" ht="39.6">
      <c r="A196" s="28">
        <v>195</v>
      </c>
      <c r="B196" s="48" t="s">
        <v>635</v>
      </c>
      <c r="C196" s="28" t="s">
        <v>83</v>
      </c>
      <c r="D196" s="28" t="s">
        <v>20</v>
      </c>
      <c r="E196" s="28" t="s">
        <v>636</v>
      </c>
      <c r="F196" s="28" t="s">
        <v>83</v>
      </c>
      <c r="G196" s="28" t="s">
        <v>83</v>
      </c>
      <c r="H196" s="28" t="s">
        <v>637</v>
      </c>
      <c r="I196" s="54" t="s">
        <v>634</v>
      </c>
      <c r="J196" s="28" t="s">
        <v>83</v>
      </c>
      <c r="K196" s="28" t="s">
        <v>83</v>
      </c>
    </row>
    <row r="197" spans="1:11" ht="26.4">
      <c r="A197" s="28">
        <v>196</v>
      </c>
      <c r="B197" s="48" t="s">
        <v>631</v>
      </c>
      <c r="C197" s="28" t="s">
        <v>83</v>
      </c>
      <c r="D197" s="28" t="s">
        <v>20</v>
      </c>
      <c r="E197" s="28" t="s">
        <v>638</v>
      </c>
      <c r="F197" s="28" t="s">
        <v>83</v>
      </c>
      <c r="G197" s="28" t="s">
        <v>83</v>
      </c>
      <c r="H197" s="28" t="s">
        <v>639</v>
      </c>
      <c r="I197" s="54" t="s">
        <v>634</v>
      </c>
      <c r="J197" s="28" t="s">
        <v>83</v>
      </c>
      <c r="K197" s="28" t="s">
        <v>83</v>
      </c>
    </row>
    <row r="198" spans="1:11" ht="39.6">
      <c r="A198" s="28">
        <v>197</v>
      </c>
      <c r="B198" s="48" t="s">
        <v>369</v>
      </c>
      <c r="C198" s="28" t="s">
        <v>83</v>
      </c>
      <c r="D198" s="28" t="s">
        <v>23</v>
      </c>
      <c r="E198" s="28" t="s">
        <v>2865</v>
      </c>
      <c r="F198" s="28" t="s">
        <v>176</v>
      </c>
      <c r="G198" s="28" t="s">
        <v>83</v>
      </c>
      <c r="H198" s="28" t="s">
        <v>640</v>
      </c>
      <c r="I198" s="54" t="s">
        <v>641</v>
      </c>
      <c r="J198" s="28" t="s">
        <v>83</v>
      </c>
      <c r="K198" s="28" t="s">
        <v>2622</v>
      </c>
    </row>
    <row r="199" spans="1:11" ht="39.6">
      <c r="A199" s="28">
        <v>198</v>
      </c>
      <c r="B199" s="48" t="s">
        <v>642</v>
      </c>
      <c r="C199" s="28" t="s">
        <v>643</v>
      </c>
      <c r="D199" s="28" t="s">
        <v>23</v>
      </c>
      <c r="E199" s="28" t="s">
        <v>2866</v>
      </c>
      <c r="F199" s="28" t="s">
        <v>87</v>
      </c>
      <c r="G199" s="28" t="s">
        <v>83</v>
      </c>
      <c r="H199" s="28" t="s">
        <v>2867</v>
      </c>
      <c r="I199" s="54" t="s">
        <v>455</v>
      </c>
      <c r="J199" s="28" t="s">
        <v>83</v>
      </c>
      <c r="K199" s="28" t="s">
        <v>644</v>
      </c>
    </row>
    <row r="200" spans="1:11" ht="39.6">
      <c r="A200" s="28">
        <v>199</v>
      </c>
      <c r="B200" s="48" t="s">
        <v>642</v>
      </c>
      <c r="C200" s="28" t="s">
        <v>83</v>
      </c>
      <c r="D200" s="28" t="s">
        <v>23</v>
      </c>
      <c r="E200" s="28" t="s">
        <v>2868</v>
      </c>
      <c r="F200" s="28" t="s">
        <v>87</v>
      </c>
      <c r="G200" s="28" t="s">
        <v>83</v>
      </c>
      <c r="H200" s="28" t="s">
        <v>645</v>
      </c>
      <c r="I200" s="54" t="s">
        <v>455</v>
      </c>
      <c r="J200" s="28" t="s">
        <v>83</v>
      </c>
      <c r="K200" s="28" t="s">
        <v>646</v>
      </c>
    </row>
    <row r="201" spans="1:11" ht="39.6">
      <c r="A201" s="28">
        <v>200</v>
      </c>
      <c r="B201" s="48" t="s">
        <v>647</v>
      </c>
      <c r="C201" s="28" t="s">
        <v>83</v>
      </c>
      <c r="D201" s="28" t="s">
        <v>23</v>
      </c>
      <c r="E201" s="28" t="s">
        <v>2869</v>
      </c>
      <c r="F201" s="28" t="s">
        <v>87</v>
      </c>
      <c r="G201" s="28" t="s">
        <v>83</v>
      </c>
      <c r="H201" s="28" t="s">
        <v>648</v>
      </c>
      <c r="I201" s="54" t="s">
        <v>455</v>
      </c>
      <c r="J201" s="28" t="s">
        <v>83</v>
      </c>
      <c r="K201" s="28" t="s">
        <v>649</v>
      </c>
    </row>
    <row r="202" spans="1:11" ht="66">
      <c r="A202" s="28">
        <v>201</v>
      </c>
      <c r="B202" s="48" t="s">
        <v>3006</v>
      </c>
      <c r="C202" s="28" t="s">
        <v>650</v>
      </c>
      <c r="D202" s="28" t="s">
        <v>23</v>
      </c>
      <c r="E202" s="28" t="s">
        <v>2870</v>
      </c>
      <c r="F202" s="28" t="s">
        <v>87</v>
      </c>
      <c r="G202" s="28" t="s">
        <v>83</v>
      </c>
      <c r="H202" s="28" t="s">
        <v>2623</v>
      </c>
      <c r="I202" s="54" t="s">
        <v>455</v>
      </c>
      <c r="J202" s="28" t="s">
        <v>83</v>
      </c>
      <c r="K202" s="28" t="s">
        <v>651</v>
      </c>
    </row>
    <row r="203" spans="1:11" ht="92.4">
      <c r="A203" s="28">
        <v>202</v>
      </c>
      <c r="B203" s="48" t="s">
        <v>203</v>
      </c>
      <c r="C203" s="28" t="s">
        <v>652</v>
      </c>
      <c r="D203" s="28" t="s">
        <v>23</v>
      </c>
      <c r="E203" s="28" t="s">
        <v>2869</v>
      </c>
      <c r="F203" s="28" t="s">
        <v>87</v>
      </c>
      <c r="G203" s="28" t="s">
        <v>83</v>
      </c>
      <c r="H203" s="28" t="s">
        <v>2871</v>
      </c>
      <c r="I203" s="54" t="s">
        <v>455</v>
      </c>
      <c r="J203" s="28" t="s">
        <v>83</v>
      </c>
      <c r="K203" s="28" t="s">
        <v>2872</v>
      </c>
    </row>
    <row r="204" spans="1:11" ht="52.8">
      <c r="A204" s="28">
        <v>203</v>
      </c>
      <c r="B204" s="48" t="s">
        <v>369</v>
      </c>
      <c r="C204" s="28" t="s">
        <v>83</v>
      </c>
      <c r="D204" s="28" t="s">
        <v>23</v>
      </c>
      <c r="E204" s="28" t="s">
        <v>2873</v>
      </c>
      <c r="F204" s="28" t="s">
        <v>87</v>
      </c>
      <c r="G204" s="28" t="s">
        <v>83</v>
      </c>
      <c r="H204" s="28" t="s">
        <v>2874</v>
      </c>
      <c r="I204" s="54" t="s">
        <v>371</v>
      </c>
      <c r="J204" s="28" t="s">
        <v>83</v>
      </c>
      <c r="K204" s="28" t="s">
        <v>653</v>
      </c>
    </row>
    <row r="205" spans="1:11" ht="39.6">
      <c r="A205" s="28">
        <v>204</v>
      </c>
      <c r="B205" s="48" t="s">
        <v>210</v>
      </c>
      <c r="C205" s="28" t="s">
        <v>83</v>
      </c>
      <c r="D205" s="28" t="s">
        <v>16</v>
      </c>
      <c r="E205" s="28" t="s">
        <v>2875</v>
      </c>
      <c r="F205" s="28" t="s">
        <v>87</v>
      </c>
      <c r="G205" s="28" t="s">
        <v>83</v>
      </c>
      <c r="H205" s="28" t="s">
        <v>654</v>
      </c>
      <c r="I205" s="54" t="s">
        <v>371</v>
      </c>
      <c r="J205" s="28" t="s">
        <v>83</v>
      </c>
      <c r="K205" s="28" t="s">
        <v>2624</v>
      </c>
    </row>
    <row r="206" spans="1:11" ht="52.8">
      <c r="A206" s="28">
        <v>205</v>
      </c>
      <c r="B206" s="48" t="s">
        <v>210</v>
      </c>
      <c r="C206" s="28" t="s">
        <v>83</v>
      </c>
      <c r="D206" s="28" t="s">
        <v>16</v>
      </c>
      <c r="E206" s="28" t="s">
        <v>2875</v>
      </c>
      <c r="F206" s="28" t="s">
        <v>87</v>
      </c>
      <c r="G206" s="28" t="s">
        <v>83</v>
      </c>
      <c r="H206" s="28" t="s">
        <v>655</v>
      </c>
      <c r="I206" s="54" t="s">
        <v>371</v>
      </c>
      <c r="J206" s="28" t="s">
        <v>83</v>
      </c>
      <c r="K206" s="28" t="s">
        <v>2625</v>
      </c>
    </row>
    <row r="207" spans="1:11" ht="39.6">
      <c r="A207" s="28">
        <v>206</v>
      </c>
      <c r="B207" s="48" t="s">
        <v>656</v>
      </c>
      <c r="C207" s="28" t="s">
        <v>83</v>
      </c>
      <c r="D207" s="28" t="s">
        <v>16</v>
      </c>
      <c r="E207" s="28" t="s">
        <v>2876</v>
      </c>
      <c r="F207" s="28" t="s">
        <v>87</v>
      </c>
      <c r="G207" s="28" t="s">
        <v>83</v>
      </c>
      <c r="H207" s="28" t="s">
        <v>657</v>
      </c>
      <c r="I207" s="54" t="s">
        <v>147</v>
      </c>
      <c r="J207" s="28" t="s">
        <v>83</v>
      </c>
      <c r="K207" s="28" t="s">
        <v>658</v>
      </c>
    </row>
    <row r="208" spans="1:11" ht="52.8">
      <c r="A208" s="28">
        <v>207</v>
      </c>
      <c r="B208" s="48" t="s">
        <v>659</v>
      </c>
      <c r="C208" s="28" t="s">
        <v>83</v>
      </c>
      <c r="D208" s="28" t="s">
        <v>16</v>
      </c>
      <c r="E208" s="28" t="s">
        <v>2877</v>
      </c>
      <c r="F208" s="28" t="s">
        <v>87</v>
      </c>
      <c r="G208" s="28" t="s">
        <v>83</v>
      </c>
      <c r="H208" s="28" t="s">
        <v>2878</v>
      </c>
      <c r="I208" s="54"/>
      <c r="J208" s="28" t="s">
        <v>83</v>
      </c>
      <c r="K208" s="28" t="s">
        <v>660</v>
      </c>
    </row>
    <row r="209" spans="1:15" ht="52.8">
      <c r="A209" s="28">
        <v>208</v>
      </c>
      <c r="B209" s="48" t="s">
        <v>659</v>
      </c>
      <c r="C209" s="28" t="s">
        <v>83</v>
      </c>
      <c r="D209" s="28" t="s">
        <v>16</v>
      </c>
      <c r="E209" s="28" t="s">
        <v>661</v>
      </c>
      <c r="F209" s="28" t="s">
        <v>87</v>
      </c>
      <c r="G209" s="28" t="s">
        <v>83</v>
      </c>
      <c r="H209" s="28" t="s">
        <v>2879</v>
      </c>
      <c r="I209" s="54"/>
      <c r="J209" s="28" t="s">
        <v>83</v>
      </c>
      <c r="K209" s="28" t="s">
        <v>662</v>
      </c>
    </row>
    <row r="210" spans="1:15" ht="39.6">
      <c r="A210" s="28">
        <v>209</v>
      </c>
      <c r="B210" s="48" t="s">
        <v>149</v>
      </c>
      <c r="C210" s="28" t="s">
        <v>97</v>
      </c>
      <c r="D210" s="28" t="s">
        <v>16</v>
      </c>
      <c r="E210" s="28" t="s">
        <v>2880</v>
      </c>
      <c r="F210" s="28" t="s">
        <v>87</v>
      </c>
      <c r="G210" s="28" t="s">
        <v>83</v>
      </c>
      <c r="H210" s="28" t="s">
        <v>663</v>
      </c>
      <c r="I210" s="54"/>
      <c r="J210" s="28" t="s">
        <v>83</v>
      </c>
      <c r="K210" s="28" t="s">
        <v>664</v>
      </c>
    </row>
    <row r="211" spans="1:15" ht="52.8">
      <c r="A211" s="28">
        <v>210</v>
      </c>
      <c r="B211" s="48" t="s">
        <v>665</v>
      </c>
      <c r="C211" s="28" t="s">
        <v>97</v>
      </c>
      <c r="D211" s="28" t="s">
        <v>16</v>
      </c>
      <c r="E211" s="28" t="s">
        <v>2626</v>
      </c>
      <c r="F211" s="28" t="s">
        <v>87</v>
      </c>
      <c r="G211" s="28" t="s">
        <v>83</v>
      </c>
      <c r="H211" s="28" t="s">
        <v>666</v>
      </c>
      <c r="I211" s="54"/>
      <c r="J211" s="28" t="s">
        <v>83</v>
      </c>
      <c r="K211" s="28" t="s">
        <v>667</v>
      </c>
    </row>
    <row r="212" spans="1:15" ht="52.8">
      <c r="A212" s="28">
        <v>211</v>
      </c>
      <c r="B212" s="48" t="s">
        <v>665</v>
      </c>
      <c r="C212" s="28" t="s">
        <v>83</v>
      </c>
      <c r="D212" s="28" t="s">
        <v>16</v>
      </c>
      <c r="E212" s="28" t="s">
        <v>2626</v>
      </c>
      <c r="F212" s="28" t="s">
        <v>87</v>
      </c>
      <c r="G212" s="28" t="s">
        <v>83</v>
      </c>
      <c r="H212" s="28" t="s">
        <v>668</v>
      </c>
      <c r="I212" s="54"/>
      <c r="J212" s="28" t="s">
        <v>83</v>
      </c>
      <c r="K212" s="28" t="s">
        <v>669</v>
      </c>
    </row>
    <row r="213" spans="1:15" ht="52.8">
      <c r="A213" s="28">
        <v>212</v>
      </c>
      <c r="B213" s="48" t="s">
        <v>670</v>
      </c>
      <c r="C213" s="28" t="s">
        <v>83</v>
      </c>
      <c r="D213" s="28" t="s">
        <v>17</v>
      </c>
      <c r="E213" s="28" t="s">
        <v>543</v>
      </c>
      <c r="F213" s="28" t="s">
        <v>87</v>
      </c>
      <c r="G213" s="28" t="s">
        <v>83</v>
      </c>
      <c r="H213" s="28" t="s">
        <v>671</v>
      </c>
      <c r="I213" s="54" t="s">
        <v>672</v>
      </c>
      <c r="J213" s="28" t="s">
        <v>83</v>
      </c>
      <c r="K213" s="28" t="s">
        <v>83</v>
      </c>
    </row>
    <row r="214" spans="1:15" ht="26.4">
      <c r="A214" s="28">
        <v>213</v>
      </c>
      <c r="B214" s="48" t="s">
        <v>673</v>
      </c>
      <c r="C214" s="28" t="s">
        <v>97</v>
      </c>
      <c r="D214" s="28" t="s">
        <v>16</v>
      </c>
      <c r="E214" s="28" t="s">
        <v>661</v>
      </c>
      <c r="F214" s="28" t="s">
        <v>87</v>
      </c>
      <c r="G214" s="28" t="s">
        <v>83</v>
      </c>
      <c r="H214" s="28" t="s">
        <v>674</v>
      </c>
      <c r="I214" s="54"/>
      <c r="J214" s="28" t="s">
        <v>83</v>
      </c>
      <c r="K214" s="28" t="s">
        <v>675</v>
      </c>
    </row>
    <row r="215" spans="1:15" ht="39.6">
      <c r="A215" s="28">
        <v>214</v>
      </c>
      <c r="B215" s="48" t="s">
        <v>676</v>
      </c>
      <c r="C215" s="28" t="s">
        <v>677</v>
      </c>
      <c r="D215" s="28" t="s">
        <v>154</v>
      </c>
      <c r="E215" s="28" t="s">
        <v>2881</v>
      </c>
      <c r="F215" s="28" t="s">
        <v>87</v>
      </c>
      <c r="G215" s="28" t="s">
        <v>83</v>
      </c>
      <c r="H215" s="28" t="s">
        <v>678</v>
      </c>
      <c r="I215" s="54" t="s">
        <v>679</v>
      </c>
      <c r="J215" s="28" t="s">
        <v>83</v>
      </c>
      <c r="K215" s="28" t="s">
        <v>83</v>
      </c>
    </row>
    <row r="216" spans="1:15" ht="39.6">
      <c r="A216" s="28">
        <v>215</v>
      </c>
      <c r="B216" s="48" t="s">
        <v>680</v>
      </c>
      <c r="C216" s="28" t="s">
        <v>40</v>
      </c>
      <c r="D216" s="28" t="s">
        <v>154</v>
      </c>
      <c r="E216" s="28" t="s">
        <v>681</v>
      </c>
      <c r="F216" s="28" t="s">
        <v>87</v>
      </c>
      <c r="G216" s="28" t="s">
        <v>83</v>
      </c>
      <c r="H216" s="28" t="s">
        <v>2882</v>
      </c>
      <c r="I216" s="54" t="s">
        <v>455</v>
      </c>
      <c r="J216" s="28" t="s">
        <v>83</v>
      </c>
      <c r="K216" s="28" t="s">
        <v>83</v>
      </c>
      <c r="N216" t="s">
        <v>682</v>
      </c>
      <c r="O216" t="s">
        <v>683</v>
      </c>
    </row>
    <row r="217" spans="1:15" ht="39.6">
      <c r="A217" s="28">
        <v>216</v>
      </c>
      <c r="B217" s="48" t="s">
        <v>684</v>
      </c>
      <c r="C217" s="28" t="s">
        <v>83</v>
      </c>
      <c r="D217" s="28" t="s">
        <v>154</v>
      </c>
      <c r="E217" s="28" t="s">
        <v>2883</v>
      </c>
      <c r="F217" s="28" t="s">
        <v>87</v>
      </c>
      <c r="G217" s="28" t="s">
        <v>83</v>
      </c>
      <c r="H217" s="28" t="s">
        <v>2884</v>
      </c>
      <c r="I217" s="54" t="s">
        <v>685</v>
      </c>
      <c r="J217" s="28" t="s">
        <v>83</v>
      </c>
      <c r="K217" s="28" t="s">
        <v>83</v>
      </c>
      <c r="O217" t="s">
        <v>686</v>
      </c>
    </row>
    <row r="218" spans="1:15" ht="39.6">
      <c r="A218" s="28">
        <v>217</v>
      </c>
      <c r="B218" s="48" t="s">
        <v>687</v>
      </c>
      <c r="C218" s="28" t="s">
        <v>83</v>
      </c>
      <c r="D218" s="28" t="s">
        <v>154</v>
      </c>
      <c r="E218" s="28" t="s">
        <v>2885</v>
      </c>
      <c r="F218" s="28" t="s">
        <v>87</v>
      </c>
      <c r="G218" s="28" t="s">
        <v>83</v>
      </c>
      <c r="H218" s="28" t="s">
        <v>688</v>
      </c>
      <c r="I218" s="54" t="s">
        <v>3047</v>
      </c>
      <c r="J218" s="28" t="s">
        <v>83</v>
      </c>
      <c r="K218" s="28" t="s">
        <v>83</v>
      </c>
    </row>
    <row r="219" spans="1:15" ht="39.6">
      <c r="A219" s="28">
        <v>218</v>
      </c>
      <c r="B219" s="48" t="s">
        <v>689</v>
      </c>
      <c r="C219" s="28" t="s">
        <v>40</v>
      </c>
      <c r="D219" s="28" t="s">
        <v>154</v>
      </c>
      <c r="E219" s="28" t="s">
        <v>2886</v>
      </c>
      <c r="F219" s="28" t="s">
        <v>87</v>
      </c>
      <c r="G219" s="28" t="s">
        <v>83</v>
      </c>
      <c r="H219" s="28" t="s">
        <v>690</v>
      </c>
      <c r="I219" s="54" t="s">
        <v>691</v>
      </c>
      <c r="J219" s="28" t="s">
        <v>83</v>
      </c>
      <c r="K219" s="28" t="s">
        <v>83</v>
      </c>
    </row>
    <row r="220" spans="1:15" ht="39.6">
      <c r="A220" s="28">
        <v>219</v>
      </c>
      <c r="B220" s="48" t="s">
        <v>689</v>
      </c>
      <c r="C220" s="28" t="s">
        <v>83</v>
      </c>
      <c r="D220" s="28" t="s">
        <v>154</v>
      </c>
      <c r="E220" s="28" t="s">
        <v>2886</v>
      </c>
      <c r="F220" s="28" t="s">
        <v>87</v>
      </c>
      <c r="G220" s="28" t="s">
        <v>83</v>
      </c>
      <c r="H220" s="28" t="s">
        <v>692</v>
      </c>
      <c r="I220" s="54" t="s">
        <v>693</v>
      </c>
      <c r="J220" s="28" t="s">
        <v>83</v>
      </c>
      <c r="K220" s="28" t="s">
        <v>83</v>
      </c>
    </row>
    <row r="221" spans="1:15" ht="39.6">
      <c r="A221" s="28">
        <v>220</v>
      </c>
      <c r="B221" s="48" t="s">
        <v>694</v>
      </c>
      <c r="C221" s="28" t="s">
        <v>83</v>
      </c>
      <c r="D221" s="28" t="s">
        <v>15</v>
      </c>
      <c r="E221" s="28" t="s">
        <v>661</v>
      </c>
      <c r="F221" s="28" t="s">
        <v>83</v>
      </c>
      <c r="G221" s="28" t="s">
        <v>83</v>
      </c>
      <c r="H221" s="28" t="s">
        <v>695</v>
      </c>
      <c r="I221" s="54" t="s">
        <v>696</v>
      </c>
      <c r="J221" s="28" t="s">
        <v>83</v>
      </c>
      <c r="K221" s="28" t="s">
        <v>83</v>
      </c>
    </row>
    <row r="222" spans="1:15" ht="26.4">
      <c r="A222" s="28">
        <v>221</v>
      </c>
      <c r="B222" s="48" t="s">
        <v>587</v>
      </c>
      <c r="C222" s="28" t="s">
        <v>83</v>
      </c>
      <c r="D222" s="28" t="s">
        <v>15</v>
      </c>
      <c r="E222" s="28" t="s">
        <v>2887</v>
      </c>
      <c r="F222" s="28" t="s">
        <v>83</v>
      </c>
      <c r="G222" s="28" t="s">
        <v>83</v>
      </c>
      <c r="H222" s="28" t="s">
        <v>697</v>
      </c>
      <c r="I222" s="54" t="s">
        <v>698</v>
      </c>
      <c r="J222" s="28" t="s">
        <v>83</v>
      </c>
      <c r="K222" s="28" t="s">
        <v>83</v>
      </c>
    </row>
    <row r="223" spans="1:15" ht="39.6">
      <c r="A223" s="28">
        <v>222</v>
      </c>
      <c r="B223" s="48" t="s">
        <v>699</v>
      </c>
      <c r="C223" s="28" t="s">
        <v>700</v>
      </c>
      <c r="D223" s="28" t="s">
        <v>15</v>
      </c>
      <c r="E223" s="28" t="s">
        <v>2888</v>
      </c>
      <c r="F223" s="28" t="s">
        <v>83</v>
      </c>
      <c r="G223" s="28" t="s">
        <v>83</v>
      </c>
      <c r="H223" s="28" t="s">
        <v>2889</v>
      </c>
      <c r="I223" s="54" t="s">
        <v>701</v>
      </c>
      <c r="J223" s="28" t="s">
        <v>83</v>
      </c>
      <c r="K223" s="28" t="s">
        <v>83</v>
      </c>
    </row>
    <row r="224" spans="1:15" ht="39.6">
      <c r="A224" s="28">
        <v>223</v>
      </c>
      <c r="B224" s="48" t="s">
        <v>699</v>
      </c>
      <c r="C224" s="28" t="s">
        <v>83</v>
      </c>
      <c r="D224" s="28" t="s">
        <v>15</v>
      </c>
      <c r="E224" s="28" t="s">
        <v>2890</v>
      </c>
      <c r="F224" s="28" t="s">
        <v>83</v>
      </c>
      <c r="G224" s="28" t="s">
        <v>83</v>
      </c>
      <c r="H224" s="28" t="s">
        <v>702</v>
      </c>
      <c r="I224" s="54" t="s">
        <v>703</v>
      </c>
      <c r="J224" s="28" t="s">
        <v>83</v>
      </c>
      <c r="K224" s="28" t="s">
        <v>83</v>
      </c>
    </row>
    <row r="225" spans="1:11" ht="39.6">
      <c r="A225" s="28">
        <v>224</v>
      </c>
      <c r="B225" s="48" t="s">
        <v>2891</v>
      </c>
      <c r="C225" s="28" t="s">
        <v>83</v>
      </c>
      <c r="D225" s="28" t="s">
        <v>15</v>
      </c>
      <c r="E225" s="28" t="s">
        <v>2888</v>
      </c>
      <c r="F225" s="28" t="s">
        <v>83</v>
      </c>
      <c r="G225" s="28" t="s">
        <v>83</v>
      </c>
      <c r="H225" s="28" t="s">
        <v>704</v>
      </c>
      <c r="I225" s="54" t="s">
        <v>701</v>
      </c>
      <c r="J225" s="28" t="s">
        <v>83</v>
      </c>
      <c r="K225" s="28" t="s">
        <v>83</v>
      </c>
    </row>
    <row r="226" spans="1:11" ht="39.6">
      <c r="A226" s="28">
        <v>225</v>
      </c>
      <c r="B226" s="48" t="s">
        <v>705</v>
      </c>
      <c r="C226" s="28" t="s">
        <v>83</v>
      </c>
      <c r="D226" s="28" t="s">
        <v>15</v>
      </c>
      <c r="E226" s="28" t="s">
        <v>2892</v>
      </c>
      <c r="F226" s="28" t="s">
        <v>83</v>
      </c>
      <c r="G226" s="28" t="s">
        <v>83</v>
      </c>
      <c r="H226" s="28" t="s">
        <v>2627</v>
      </c>
      <c r="I226" s="54" t="s">
        <v>706</v>
      </c>
      <c r="J226" s="28" t="s">
        <v>83</v>
      </c>
      <c r="K226" s="28" t="s">
        <v>83</v>
      </c>
    </row>
    <row r="227" spans="1:11" ht="52.8">
      <c r="A227" s="28">
        <v>226</v>
      </c>
      <c r="B227" s="48" t="s">
        <v>707</v>
      </c>
      <c r="C227" s="28" t="s">
        <v>708</v>
      </c>
      <c r="D227" s="28" t="s">
        <v>15</v>
      </c>
      <c r="E227" s="28" t="s">
        <v>2893</v>
      </c>
      <c r="F227" s="28" t="s">
        <v>83</v>
      </c>
      <c r="G227" s="28" t="s">
        <v>83</v>
      </c>
      <c r="H227" s="28" t="s">
        <v>709</v>
      </c>
      <c r="I227" s="54" t="s">
        <v>710</v>
      </c>
      <c r="J227" s="28" t="s">
        <v>83</v>
      </c>
      <c r="K227" s="28" t="s">
        <v>83</v>
      </c>
    </row>
    <row r="228" spans="1:11" ht="52.8">
      <c r="A228" s="28">
        <v>227</v>
      </c>
      <c r="B228" s="48" t="s">
        <v>594</v>
      </c>
      <c r="C228" s="28" t="s">
        <v>711</v>
      </c>
      <c r="D228" s="28" t="s">
        <v>15</v>
      </c>
      <c r="E228" s="28" t="s">
        <v>2893</v>
      </c>
      <c r="F228" s="28" t="s">
        <v>83</v>
      </c>
      <c r="G228" s="28" t="s">
        <v>83</v>
      </c>
      <c r="H228" s="28" t="s">
        <v>712</v>
      </c>
      <c r="I228" s="54" t="s">
        <v>710</v>
      </c>
      <c r="J228" s="28" t="s">
        <v>83</v>
      </c>
      <c r="K228" s="28" t="s">
        <v>83</v>
      </c>
    </row>
    <row r="229" spans="1:11" ht="26.4">
      <c r="A229" s="28">
        <v>228</v>
      </c>
      <c r="B229" s="48" t="s">
        <v>2716</v>
      </c>
      <c r="C229" s="28" t="s">
        <v>713</v>
      </c>
      <c r="D229" s="28" t="s">
        <v>15</v>
      </c>
      <c r="E229" s="28" t="s">
        <v>2893</v>
      </c>
      <c r="F229" s="28" t="s">
        <v>83</v>
      </c>
      <c r="G229" s="28" t="s">
        <v>83</v>
      </c>
      <c r="H229" s="28" t="s">
        <v>714</v>
      </c>
      <c r="I229" s="54" t="s">
        <v>710</v>
      </c>
      <c r="J229" s="28" t="s">
        <v>83</v>
      </c>
      <c r="K229" s="28" t="s">
        <v>83</v>
      </c>
    </row>
    <row r="230" spans="1:11" ht="39.6">
      <c r="A230" s="28">
        <v>229</v>
      </c>
      <c r="B230" s="48" t="s">
        <v>2716</v>
      </c>
      <c r="C230" s="28" t="s">
        <v>83</v>
      </c>
      <c r="D230" s="28" t="s">
        <v>15</v>
      </c>
      <c r="E230" s="28" t="s">
        <v>2894</v>
      </c>
      <c r="F230" s="28" t="s">
        <v>83</v>
      </c>
      <c r="G230" s="28" t="s">
        <v>83</v>
      </c>
      <c r="H230" s="28" t="s">
        <v>715</v>
      </c>
      <c r="I230" s="54" t="s">
        <v>716</v>
      </c>
      <c r="J230" s="28" t="s">
        <v>83</v>
      </c>
      <c r="K230" s="28" t="s">
        <v>83</v>
      </c>
    </row>
    <row r="231" spans="1:11" ht="26.4">
      <c r="A231" s="28">
        <v>230</v>
      </c>
      <c r="B231" s="48" t="s">
        <v>717</v>
      </c>
      <c r="C231" s="28" t="s">
        <v>83</v>
      </c>
      <c r="D231" s="28" t="s">
        <v>15</v>
      </c>
      <c r="E231" s="28" t="s">
        <v>2895</v>
      </c>
      <c r="F231" s="28" t="s">
        <v>176</v>
      </c>
      <c r="G231" s="28" t="s">
        <v>83</v>
      </c>
      <c r="H231" s="28" t="s">
        <v>718</v>
      </c>
      <c r="I231" s="54" t="s">
        <v>719</v>
      </c>
      <c r="J231" s="28" t="s">
        <v>83</v>
      </c>
      <c r="K231" s="28" t="s">
        <v>83</v>
      </c>
    </row>
    <row r="232" spans="1:11" ht="39.6">
      <c r="A232" s="28">
        <v>231</v>
      </c>
      <c r="B232" s="48" t="s">
        <v>717</v>
      </c>
      <c r="C232" s="28" t="s">
        <v>83</v>
      </c>
      <c r="D232" s="28" t="s">
        <v>15</v>
      </c>
      <c r="E232" s="28" t="s">
        <v>2896</v>
      </c>
      <c r="F232" s="28" t="s">
        <v>176</v>
      </c>
      <c r="G232" s="28" t="s">
        <v>83</v>
      </c>
      <c r="H232" s="28" t="s">
        <v>2897</v>
      </c>
      <c r="I232" s="54" t="s">
        <v>720</v>
      </c>
      <c r="J232" s="28" t="s">
        <v>83</v>
      </c>
      <c r="K232" s="28" t="s">
        <v>83</v>
      </c>
    </row>
    <row r="233" spans="1:11" ht="26.4">
      <c r="A233" s="28">
        <v>232</v>
      </c>
      <c r="B233" s="48" t="s">
        <v>721</v>
      </c>
      <c r="C233" s="28" t="s">
        <v>83</v>
      </c>
      <c r="D233" s="28" t="s">
        <v>722</v>
      </c>
      <c r="E233" s="28" t="s">
        <v>2898</v>
      </c>
      <c r="F233" s="28" t="s">
        <v>83</v>
      </c>
      <c r="G233" s="28" t="s">
        <v>83</v>
      </c>
      <c r="H233" s="28" t="s">
        <v>723</v>
      </c>
      <c r="I233" s="54" t="s">
        <v>455</v>
      </c>
      <c r="J233" s="28" t="s">
        <v>83</v>
      </c>
      <c r="K233" s="28" t="s">
        <v>724</v>
      </c>
    </row>
    <row r="234" spans="1:11" ht="26.4">
      <c r="A234" s="28">
        <v>233</v>
      </c>
      <c r="B234" s="48" t="s">
        <v>635</v>
      </c>
      <c r="C234" s="28" t="s">
        <v>83</v>
      </c>
      <c r="D234" s="28" t="s">
        <v>20</v>
      </c>
      <c r="E234" s="28" t="s">
        <v>725</v>
      </c>
      <c r="F234" s="28" t="s">
        <v>83</v>
      </c>
      <c r="G234" s="28" t="s">
        <v>83</v>
      </c>
      <c r="H234" s="28" t="s">
        <v>2899</v>
      </c>
      <c r="I234" s="54" t="s">
        <v>710</v>
      </c>
      <c r="J234" s="28" t="s">
        <v>83</v>
      </c>
      <c r="K234" s="28" t="s">
        <v>83</v>
      </c>
    </row>
    <row r="235" spans="1:11" ht="26.4">
      <c r="A235" s="28">
        <v>234</v>
      </c>
      <c r="B235" s="48" t="s">
        <v>726</v>
      </c>
      <c r="C235" s="28" t="s">
        <v>83</v>
      </c>
      <c r="D235" s="28" t="s">
        <v>83</v>
      </c>
      <c r="E235" s="28" t="s">
        <v>727</v>
      </c>
      <c r="F235" s="28" t="s">
        <v>83</v>
      </c>
      <c r="G235" s="28" t="s">
        <v>83</v>
      </c>
      <c r="H235" s="28" t="s">
        <v>723</v>
      </c>
      <c r="I235" s="54" t="s">
        <v>728</v>
      </c>
      <c r="J235" s="28" t="s">
        <v>83</v>
      </c>
      <c r="K235" s="28" t="s">
        <v>83</v>
      </c>
    </row>
    <row r="236" spans="1:11" ht="26.4">
      <c r="A236" s="28">
        <v>235</v>
      </c>
      <c r="B236" s="48" t="s">
        <v>190</v>
      </c>
      <c r="C236" s="28" t="s">
        <v>83</v>
      </c>
      <c r="D236" s="28" t="s">
        <v>20</v>
      </c>
      <c r="E236" s="28" t="s">
        <v>729</v>
      </c>
      <c r="F236" s="28" t="s">
        <v>82</v>
      </c>
      <c r="G236" s="28" t="s">
        <v>83</v>
      </c>
      <c r="H236" s="28" t="s">
        <v>730</v>
      </c>
      <c r="I236" s="54" t="s">
        <v>710</v>
      </c>
      <c r="J236" s="28" t="s">
        <v>83</v>
      </c>
      <c r="K236" s="28" t="s">
        <v>83</v>
      </c>
    </row>
    <row r="237" spans="1:11" ht="39.6">
      <c r="A237" s="28">
        <v>236</v>
      </c>
      <c r="B237" s="48" t="s">
        <v>731</v>
      </c>
      <c r="C237" s="28" t="s">
        <v>732</v>
      </c>
      <c r="D237" s="28" t="s">
        <v>154</v>
      </c>
      <c r="E237" s="28" t="s">
        <v>2900</v>
      </c>
      <c r="F237" s="28" t="s">
        <v>87</v>
      </c>
      <c r="G237" s="28" t="s">
        <v>83</v>
      </c>
      <c r="H237" s="28" t="s">
        <v>733</v>
      </c>
      <c r="I237" s="54" t="s">
        <v>734</v>
      </c>
      <c r="J237" s="28" t="s">
        <v>83</v>
      </c>
      <c r="K237" s="28" t="s">
        <v>83</v>
      </c>
    </row>
    <row r="238" spans="1:11" ht="39.6">
      <c r="A238" s="28">
        <v>237</v>
      </c>
      <c r="B238" s="48" t="s">
        <v>2683</v>
      </c>
      <c r="C238" s="28" t="s">
        <v>735</v>
      </c>
      <c r="D238" s="28" t="s">
        <v>154</v>
      </c>
      <c r="E238" s="28" t="s">
        <v>2901</v>
      </c>
      <c r="F238" s="28" t="s">
        <v>87</v>
      </c>
      <c r="G238" s="28" t="s">
        <v>83</v>
      </c>
      <c r="H238" s="28" t="s">
        <v>736</v>
      </c>
      <c r="I238" s="54" t="s">
        <v>737</v>
      </c>
      <c r="J238" s="28" t="s">
        <v>83</v>
      </c>
      <c r="K238" s="28" t="s">
        <v>83</v>
      </c>
    </row>
    <row r="239" spans="1:11" ht="52.8">
      <c r="A239" s="28">
        <v>238</v>
      </c>
      <c r="B239" s="48" t="s">
        <v>2902</v>
      </c>
      <c r="C239" s="28" t="s">
        <v>40</v>
      </c>
      <c r="D239" s="28" t="s">
        <v>154</v>
      </c>
      <c r="E239" s="28" t="s">
        <v>2883</v>
      </c>
      <c r="F239" s="28" t="s">
        <v>87</v>
      </c>
      <c r="G239" s="28" t="s">
        <v>83</v>
      </c>
      <c r="H239" s="28" t="s">
        <v>2903</v>
      </c>
      <c r="I239" s="54" t="s">
        <v>685</v>
      </c>
      <c r="J239" s="28" t="s">
        <v>83</v>
      </c>
      <c r="K239" s="27" t="s">
        <v>738</v>
      </c>
    </row>
    <row r="240" spans="1:11" ht="39.6">
      <c r="A240" s="28">
        <v>239</v>
      </c>
      <c r="B240" s="48" t="s">
        <v>739</v>
      </c>
      <c r="C240" s="28" t="s">
        <v>40</v>
      </c>
      <c r="D240" s="28" t="s">
        <v>154</v>
      </c>
      <c r="E240" s="28" t="s">
        <v>2904</v>
      </c>
      <c r="F240" s="28" t="s">
        <v>87</v>
      </c>
      <c r="G240" s="28" t="s">
        <v>83</v>
      </c>
      <c r="H240" s="28" t="s">
        <v>2628</v>
      </c>
      <c r="I240" s="54" t="s">
        <v>740</v>
      </c>
      <c r="J240" s="28" t="s">
        <v>83</v>
      </c>
      <c r="K240" s="28" t="s">
        <v>83</v>
      </c>
    </row>
    <row r="241" spans="1:11" ht="39.6">
      <c r="A241" s="28">
        <v>240</v>
      </c>
      <c r="B241" s="48" t="s">
        <v>741</v>
      </c>
      <c r="C241" s="28" t="s">
        <v>40</v>
      </c>
      <c r="D241" s="28" t="s">
        <v>154</v>
      </c>
      <c r="E241" s="28" t="s">
        <v>2905</v>
      </c>
      <c r="F241" s="28" t="s">
        <v>87</v>
      </c>
      <c r="G241" s="28" t="s">
        <v>83</v>
      </c>
      <c r="H241" s="28" t="s">
        <v>2906</v>
      </c>
      <c r="I241" s="54" t="s">
        <v>742</v>
      </c>
      <c r="J241" s="28" t="s">
        <v>83</v>
      </c>
      <c r="K241" s="28" t="s">
        <v>83</v>
      </c>
    </row>
    <row r="242" spans="1:11" ht="52.8">
      <c r="A242" s="28">
        <v>241</v>
      </c>
      <c r="B242" s="48" t="s">
        <v>2907</v>
      </c>
      <c r="C242" s="28" t="s">
        <v>83</v>
      </c>
      <c r="D242" s="28" t="s">
        <v>17</v>
      </c>
      <c r="E242" s="28" t="s">
        <v>744</v>
      </c>
      <c r="F242" s="28" t="s">
        <v>87</v>
      </c>
      <c r="G242" s="28" t="s">
        <v>83</v>
      </c>
      <c r="H242" s="28" t="s">
        <v>745</v>
      </c>
      <c r="I242" s="54" t="s">
        <v>746</v>
      </c>
      <c r="J242" s="28" t="s">
        <v>747</v>
      </c>
      <c r="K242" s="28" t="s">
        <v>748</v>
      </c>
    </row>
    <row r="243" spans="1:11" ht="39.6">
      <c r="A243" s="28">
        <v>242</v>
      </c>
      <c r="B243" s="48" t="s">
        <v>2907</v>
      </c>
      <c r="C243" s="28" t="s">
        <v>83</v>
      </c>
      <c r="D243" s="28" t="s">
        <v>17</v>
      </c>
      <c r="E243" s="28" t="s">
        <v>543</v>
      </c>
      <c r="F243" s="28" t="s">
        <v>87</v>
      </c>
      <c r="G243" s="28" t="s">
        <v>83</v>
      </c>
      <c r="H243" s="28" t="s">
        <v>749</v>
      </c>
      <c r="I243" s="54" t="s">
        <v>3046</v>
      </c>
      <c r="J243" s="28" t="s">
        <v>83</v>
      </c>
      <c r="K243" s="28" t="s">
        <v>83</v>
      </c>
    </row>
    <row r="244" spans="1:11" ht="52.8">
      <c r="A244" s="28">
        <v>243</v>
      </c>
      <c r="B244" s="48" t="s">
        <v>750</v>
      </c>
      <c r="C244" s="28" t="s">
        <v>83</v>
      </c>
      <c r="D244" s="28" t="s">
        <v>16</v>
      </c>
      <c r="E244" s="28" t="s">
        <v>2901</v>
      </c>
      <c r="F244" s="28" t="s">
        <v>87</v>
      </c>
      <c r="G244" s="28" t="s">
        <v>83</v>
      </c>
      <c r="H244" s="28" t="s">
        <v>2908</v>
      </c>
      <c r="I244" s="54" t="s">
        <v>455</v>
      </c>
      <c r="J244" s="28" t="s">
        <v>83</v>
      </c>
      <c r="K244" s="28" t="s">
        <v>751</v>
      </c>
    </row>
    <row r="245" spans="1:11" ht="39.6">
      <c r="A245" s="28">
        <v>244</v>
      </c>
      <c r="B245" s="48" t="s">
        <v>2909</v>
      </c>
      <c r="C245" s="28" t="s">
        <v>83</v>
      </c>
      <c r="D245" s="28" t="s">
        <v>424</v>
      </c>
      <c r="E245" s="28" t="s">
        <v>753</v>
      </c>
      <c r="F245" s="28" t="s">
        <v>754</v>
      </c>
      <c r="G245" s="28" t="s">
        <v>83</v>
      </c>
      <c r="H245" s="28" t="s">
        <v>756</v>
      </c>
      <c r="I245" s="54" t="s">
        <v>757</v>
      </c>
      <c r="J245" s="28" t="s">
        <v>83</v>
      </c>
      <c r="K245" s="28" t="s">
        <v>83</v>
      </c>
    </row>
    <row r="246" spans="1:11" ht="66">
      <c r="A246" s="28">
        <v>245</v>
      </c>
      <c r="B246" s="48" t="s">
        <v>2909</v>
      </c>
      <c r="C246" s="28" t="s">
        <v>83</v>
      </c>
      <c r="D246" s="28" t="s">
        <v>424</v>
      </c>
      <c r="E246" s="28" t="s">
        <v>2910</v>
      </c>
      <c r="F246" s="28" t="s">
        <v>55</v>
      </c>
      <c r="G246" s="28" t="s">
        <v>83</v>
      </c>
      <c r="H246" s="28" t="s">
        <v>2911</v>
      </c>
      <c r="I246" s="54" t="s">
        <v>758</v>
      </c>
      <c r="J246" s="28" t="s">
        <v>83</v>
      </c>
      <c r="K246" s="28" t="s">
        <v>759</v>
      </c>
    </row>
    <row r="247" spans="1:11" ht="79.2">
      <c r="A247" s="28">
        <v>246</v>
      </c>
      <c r="B247" s="48" t="s">
        <v>2909</v>
      </c>
      <c r="C247" s="28" t="s">
        <v>83</v>
      </c>
      <c r="D247" s="28" t="s">
        <v>424</v>
      </c>
      <c r="E247" s="28" t="s">
        <v>760</v>
      </c>
      <c r="F247" s="28" t="s">
        <v>58</v>
      </c>
      <c r="G247" s="28" t="s">
        <v>83</v>
      </c>
      <c r="H247" s="28" t="s">
        <v>761</v>
      </c>
      <c r="I247" s="54" t="s">
        <v>758</v>
      </c>
      <c r="J247" s="28" t="s">
        <v>83</v>
      </c>
      <c r="K247" s="28" t="s">
        <v>759</v>
      </c>
    </row>
    <row r="248" spans="1:11" ht="26.4">
      <c r="A248" s="28">
        <v>247</v>
      </c>
      <c r="B248" s="48" t="s">
        <v>2629</v>
      </c>
      <c r="C248" s="28" t="s">
        <v>83</v>
      </c>
      <c r="D248" s="28" t="s">
        <v>154</v>
      </c>
      <c r="E248" s="28" t="s">
        <v>2912</v>
      </c>
      <c r="F248" s="28" t="s">
        <v>87</v>
      </c>
      <c r="G248" s="28" t="s">
        <v>83</v>
      </c>
      <c r="H248" s="28" t="s">
        <v>762</v>
      </c>
      <c r="I248" s="54" t="s">
        <v>3045</v>
      </c>
      <c r="J248" s="28" t="s">
        <v>83</v>
      </c>
      <c r="K248" s="28" t="s">
        <v>83</v>
      </c>
    </row>
    <row r="249" spans="1:11" ht="26.4">
      <c r="A249" s="28">
        <v>248</v>
      </c>
      <c r="B249" s="48" t="s">
        <v>2629</v>
      </c>
      <c r="C249" s="28" t="s">
        <v>83</v>
      </c>
      <c r="D249" s="28" t="s">
        <v>154</v>
      </c>
      <c r="E249" s="28" t="s">
        <v>2912</v>
      </c>
      <c r="F249" s="28" t="s">
        <v>87</v>
      </c>
      <c r="G249" s="28" t="s">
        <v>83</v>
      </c>
      <c r="H249" s="28" t="s">
        <v>763</v>
      </c>
      <c r="I249" s="54" t="s">
        <v>3044</v>
      </c>
      <c r="J249" s="28" t="s">
        <v>83</v>
      </c>
      <c r="K249" s="28" t="s">
        <v>83</v>
      </c>
    </row>
    <row r="250" spans="1:11" ht="26.4">
      <c r="A250" s="28">
        <v>249</v>
      </c>
      <c r="B250" s="48" t="s">
        <v>2629</v>
      </c>
      <c r="C250" s="28" t="s">
        <v>83</v>
      </c>
      <c r="D250" s="28" t="s">
        <v>154</v>
      </c>
      <c r="E250" s="28" t="s">
        <v>2913</v>
      </c>
      <c r="F250" s="28" t="s">
        <v>87</v>
      </c>
      <c r="G250" s="28" t="s">
        <v>83</v>
      </c>
      <c r="H250" s="28" t="s">
        <v>2914</v>
      </c>
      <c r="I250" s="54" t="s">
        <v>3033</v>
      </c>
      <c r="J250" s="28" t="s">
        <v>83</v>
      </c>
      <c r="K250" s="28" t="s">
        <v>83</v>
      </c>
    </row>
    <row r="251" spans="1:11" ht="66">
      <c r="A251" s="28">
        <v>250</v>
      </c>
      <c r="B251" s="48" t="s">
        <v>764</v>
      </c>
      <c r="C251" s="28" t="s">
        <v>2915</v>
      </c>
      <c r="D251" s="28" t="s">
        <v>23</v>
      </c>
      <c r="E251" s="28" t="s">
        <v>2916</v>
      </c>
      <c r="F251" s="28" t="s">
        <v>87</v>
      </c>
      <c r="G251" s="28" t="s">
        <v>83</v>
      </c>
      <c r="H251" s="28" t="s">
        <v>765</v>
      </c>
      <c r="I251" s="54" t="s">
        <v>3043</v>
      </c>
      <c r="J251" s="28" t="s">
        <v>83</v>
      </c>
      <c r="K251" s="28" t="s">
        <v>766</v>
      </c>
    </row>
    <row r="252" spans="1:11" ht="39.6">
      <c r="A252" s="28">
        <v>251</v>
      </c>
      <c r="B252" s="48" t="s">
        <v>764</v>
      </c>
      <c r="C252" s="28" t="s">
        <v>767</v>
      </c>
      <c r="D252" s="28" t="s">
        <v>23</v>
      </c>
      <c r="E252" s="28" t="s">
        <v>2917</v>
      </c>
      <c r="F252" s="28" t="s">
        <v>176</v>
      </c>
      <c r="G252" s="28" t="s">
        <v>83</v>
      </c>
      <c r="H252" s="28" t="s">
        <v>768</v>
      </c>
      <c r="I252" s="54" t="s">
        <v>769</v>
      </c>
      <c r="J252" s="28" t="s">
        <v>83</v>
      </c>
      <c r="K252" s="28" t="s">
        <v>770</v>
      </c>
    </row>
    <row r="253" spans="1:11" ht="52.8">
      <c r="A253" s="28">
        <v>252</v>
      </c>
      <c r="B253" s="48" t="s">
        <v>764</v>
      </c>
      <c r="C253" s="28" t="s">
        <v>83</v>
      </c>
      <c r="D253" s="28" t="s">
        <v>23</v>
      </c>
      <c r="E253" s="28" t="s">
        <v>2918</v>
      </c>
      <c r="F253" s="28" t="s">
        <v>87</v>
      </c>
      <c r="G253" s="28" t="s">
        <v>83</v>
      </c>
      <c r="H253" s="28" t="s">
        <v>2919</v>
      </c>
      <c r="I253" s="54" t="s">
        <v>455</v>
      </c>
      <c r="J253" s="28" t="s">
        <v>83</v>
      </c>
      <c r="K253" s="28" t="s">
        <v>771</v>
      </c>
    </row>
    <row r="254" spans="1:11" ht="66">
      <c r="A254" s="28">
        <v>253</v>
      </c>
      <c r="B254" s="48" t="s">
        <v>3006</v>
      </c>
      <c r="C254" s="28" t="s">
        <v>83</v>
      </c>
      <c r="D254" s="28" t="s">
        <v>23</v>
      </c>
      <c r="E254" s="28" t="s">
        <v>2920</v>
      </c>
      <c r="F254" s="28" t="s">
        <v>176</v>
      </c>
      <c r="G254" s="28" t="s">
        <v>83</v>
      </c>
      <c r="H254" s="28" t="s">
        <v>772</v>
      </c>
      <c r="I254" s="54" t="s">
        <v>455</v>
      </c>
      <c r="J254" s="28" t="s">
        <v>83</v>
      </c>
      <c r="K254" s="28" t="s">
        <v>773</v>
      </c>
    </row>
    <row r="255" spans="1:11" ht="52.8">
      <c r="A255" s="28">
        <v>254</v>
      </c>
      <c r="B255" s="48" t="s">
        <v>3006</v>
      </c>
      <c r="C255" s="28" t="s">
        <v>83</v>
      </c>
      <c r="D255" s="28" t="s">
        <v>23</v>
      </c>
      <c r="E255" s="28" t="s">
        <v>2921</v>
      </c>
      <c r="F255" s="28" t="s">
        <v>176</v>
      </c>
      <c r="G255" s="28" t="s">
        <v>83</v>
      </c>
      <c r="H255" s="28" t="s">
        <v>2922</v>
      </c>
      <c r="I255" s="54" t="s">
        <v>455</v>
      </c>
      <c r="J255" s="28" t="s">
        <v>83</v>
      </c>
      <c r="K255" s="28" t="s">
        <v>774</v>
      </c>
    </row>
    <row r="256" spans="1:11" ht="39.6">
      <c r="A256" s="28">
        <v>255</v>
      </c>
      <c r="B256" s="48" t="s">
        <v>515</v>
      </c>
      <c r="C256" s="28" t="s">
        <v>83</v>
      </c>
      <c r="D256" s="28" t="s">
        <v>23</v>
      </c>
      <c r="E256" s="28" t="s">
        <v>775</v>
      </c>
      <c r="F256" s="28" t="s">
        <v>58</v>
      </c>
      <c r="G256" s="28" t="s">
        <v>83</v>
      </c>
      <c r="H256" s="28" t="s">
        <v>2630</v>
      </c>
      <c r="I256" s="54" t="s">
        <v>3041</v>
      </c>
      <c r="J256" s="28" t="s">
        <v>776</v>
      </c>
      <c r="K256" s="28" t="s">
        <v>777</v>
      </c>
    </row>
    <row r="257" spans="1:11" ht="52.8">
      <c r="A257" s="28">
        <v>256</v>
      </c>
      <c r="B257" s="48" t="s">
        <v>778</v>
      </c>
      <c r="C257" s="28" t="s">
        <v>83</v>
      </c>
      <c r="D257" s="28" t="s">
        <v>23</v>
      </c>
      <c r="E257" s="28" t="s">
        <v>2923</v>
      </c>
      <c r="F257" s="28" t="s">
        <v>87</v>
      </c>
      <c r="G257" s="28" t="s">
        <v>83</v>
      </c>
      <c r="H257" s="28" t="s">
        <v>2631</v>
      </c>
      <c r="I257" s="54" t="s">
        <v>3042</v>
      </c>
      <c r="J257" s="28" t="s">
        <v>83</v>
      </c>
      <c r="K257" s="28" t="s">
        <v>779</v>
      </c>
    </row>
    <row r="258" spans="1:11" ht="53.4">
      <c r="A258" s="28">
        <v>257</v>
      </c>
      <c r="B258" s="48" t="s">
        <v>207</v>
      </c>
      <c r="C258" s="28" t="s">
        <v>83</v>
      </c>
      <c r="D258" s="28" t="s">
        <v>23</v>
      </c>
      <c r="E258" s="28" t="s">
        <v>2924</v>
      </c>
      <c r="F258" s="28" t="s">
        <v>87</v>
      </c>
      <c r="G258" s="28" t="s">
        <v>83</v>
      </c>
      <c r="H258" s="28" t="s">
        <v>780</v>
      </c>
      <c r="I258" s="54" t="s">
        <v>455</v>
      </c>
      <c r="J258" s="28" t="s">
        <v>83</v>
      </c>
      <c r="K258" s="28" t="s">
        <v>781</v>
      </c>
    </row>
    <row r="259" spans="1:11" ht="66">
      <c r="A259" s="28">
        <v>258</v>
      </c>
      <c r="B259" s="48" t="s">
        <v>782</v>
      </c>
      <c r="C259" s="28" t="s">
        <v>83</v>
      </c>
      <c r="D259" s="28" t="s">
        <v>23</v>
      </c>
      <c r="E259" s="28" t="s">
        <v>2924</v>
      </c>
      <c r="F259" s="28" t="s">
        <v>87</v>
      </c>
      <c r="G259" s="28" t="s">
        <v>83</v>
      </c>
      <c r="H259" s="28" t="s">
        <v>783</v>
      </c>
      <c r="I259" s="54" t="s">
        <v>455</v>
      </c>
      <c r="J259" s="28" t="s">
        <v>83</v>
      </c>
      <c r="K259" s="28" t="s">
        <v>784</v>
      </c>
    </row>
    <row r="260" spans="1:11" ht="39.6">
      <c r="A260" s="28">
        <v>259</v>
      </c>
      <c r="B260" s="48" t="s">
        <v>782</v>
      </c>
      <c r="C260" s="28" t="s">
        <v>83</v>
      </c>
      <c r="D260" s="28" t="s">
        <v>23</v>
      </c>
      <c r="E260" s="28" t="s">
        <v>2923</v>
      </c>
      <c r="F260" s="28" t="s">
        <v>87</v>
      </c>
      <c r="G260" s="28" t="s">
        <v>83</v>
      </c>
      <c r="H260" s="28" t="s">
        <v>2925</v>
      </c>
      <c r="I260" s="54" t="s">
        <v>455</v>
      </c>
      <c r="J260" s="28" t="s">
        <v>83</v>
      </c>
      <c r="K260" s="28" t="s">
        <v>785</v>
      </c>
    </row>
    <row r="261" spans="1:11" ht="39.6">
      <c r="A261" s="28">
        <v>260</v>
      </c>
      <c r="B261" s="48" t="s">
        <v>786</v>
      </c>
      <c r="C261" s="28" t="s">
        <v>83</v>
      </c>
      <c r="D261" s="28" t="s">
        <v>23</v>
      </c>
      <c r="E261" s="28" t="s">
        <v>2923</v>
      </c>
      <c r="F261" s="28" t="s">
        <v>87</v>
      </c>
      <c r="G261" s="28" t="s">
        <v>83</v>
      </c>
      <c r="H261" s="28" t="s">
        <v>787</v>
      </c>
      <c r="I261" s="54" t="s">
        <v>455</v>
      </c>
      <c r="J261" s="28" t="s">
        <v>83</v>
      </c>
      <c r="K261" s="28" t="s">
        <v>788</v>
      </c>
    </row>
    <row r="262" spans="1:11" ht="52.8">
      <c r="A262" s="28">
        <v>261</v>
      </c>
      <c r="B262" s="48" t="s">
        <v>786</v>
      </c>
      <c r="C262" s="28" t="s">
        <v>83</v>
      </c>
      <c r="D262" s="28" t="s">
        <v>23</v>
      </c>
      <c r="E262" s="28" t="s">
        <v>2926</v>
      </c>
      <c r="F262" s="28" t="s">
        <v>82</v>
      </c>
      <c r="G262" s="28" t="s">
        <v>83</v>
      </c>
      <c r="H262" s="28" t="s">
        <v>789</v>
      </c>
      <c r="I262" s="54" t="s">
        <v>147</v>
      </c>
      <c r="J262" s="28" t="s">
        <v>83</v>
      </c>
      <c r="K262" s="28" t="s">
        <v>788</v>
      </c>
    </row>
    <row r="263" spans="1:11" ht="66">
      <c r="A263" s="28">
        <v>262</v>
      </c>
      <c r="B263" s="48" t="s">
        <v>219</v>
      </c>
      <c r="C263" s="28" t="s">
        <v>83</v>
      </c>
      <c r="D263" s="28" t="s">
        <v>14</v>
      </c>
      <c r="E263" s="28" t="s">
        <v>2798</v>
      </c>
      <c r="F263" s="28" t="s">
        <v>176</v>
      </c>
      <c r="G263" s="28" t="s">
        <v>97</v>
      </c>
      <c r="H263" s="28" t="s">
        <v>2927</v>
      </c>
      <c r="I263" s="54">
        <v>45778</v>
      </c>
      <c r="J263" s="28" t="s">
        <v>790</v>
      </c>
      <c r="K263" s="28" t="s">
        <v>791</v>
      </c>
    </row>
    <row r="264" spans="1:11" ht="52.8">
      <c r="A264" s="28">
        <v>263</v>
      </c>
      <c r="B264" s="48" t="s">
        <v>219</v>
      </c>
      <c r="C264" s="28" t="s">
        <v>83</v>
      </c>
      <c r="D264" s="28" t="s">
        <v>14</v>
      </c>
      <c r="E264" s="28" t="s">
        <v>792</v>
      </c>
      <c r="F264" s="28" t="s">
        <v>55</v>
      </c>
      <c r="G264" s="28" t="s">
        <v>97</v>
      </c>
      <c r="H264" s="28" t="s">
        <v>793</v>
      </c>
      <c r="I264" s="54">
        <v>45778</v>
      </c>
      <c r="J264" s="28" t="s">
        <v>794</v>
      </c>
      <c r="K264" s="28" t="s">
        <v>795</v>
      </c>
    </row>
    <row r="265" spans="1:11" ht="39.6">
      <c r="A265" s="28">
        <v>264</v>
      </c>
      <c r="B265" s="48" t="s">
        <v>391</v>
      </c>
      <c r="C265" s="28" t="s">
        <v>83</v>
      </c>
      <c r="D265" s="28" t="s">
        <v>14</v>
      </c>
      <c r="E265" s="28" t="s">
        <v>543</v>
      </c>
      <c r="F265" s="28" t="s">
        <v>83</v>
      </c>
      <c r="G265" s="28" t="s">
        <v>97</v>
      </c>
      <c r="H265" s="28" t="s">
        <v>796</v>
      </c>
      <c r="I265" s="54" t="s">
        <v>3038</v>
      </c>
      <c r="J265" s="28" t="s">
        <v>83</v>
      </c>
      <c r="K265" s="28" t="s">
        <v>83</v>
      </c>
    </row>
    <row r="266" spans="1:11" ht="26.4">
      <c r="A266" s="28">
        <v>265</v>
      </c>
      <c r="B266" s="48" t="s">
        <v>797</v>
      </c>
      <c r="C266" s="28" t="s">
        <v>83</v>
      </c>
      <c r="D266" s="28" t="s">
        <v>14</v>
      </c>
      <c r="E266" s="28" t="s">
        <v>798</v>
      </c>
      <c r="F266" s="28" t="s">
        <v>83</v>
      </c>
      <c r="G266" s="28" t="s">
        <v>2632</v>
      </c>
      <c r="H266" s="28" t="s">
        <v>2928</v>
      </c>
      <c r="I266" s="54" t="s">
        <v>3039</v>
      </c>
      <c r="J266" s="28" t="s">
        <v>83</v>
      </c>
      <c r="K266" s="28" t="s">
        <v>83</v>
      </c>
    </row>
    <row r="267" spans="1:11" ht="39.6">
      <c r="A267" s="28">
        <v>266</v>
      </c>
      <c r="B267" s="48" t="s">
        <v>799</v>
      </c>
      <c r="C267" s="28" t="s">
        <v>83</v>
      </c>
      <c r="D267" s="28" t="s">
        <v>14</v>
      </c>
      <c r="E267" s="28" t="s">
        <v>800</v>
      </c>
      <c r="F267" s="28" t="s">
        <v>83</v>
      </c>
      <c r="G267" s="28" t="s">
        <v>2632</v>
      </c>
      <c r="H267" s="28" t="s">
        <v>2929</v>
      </c>
      <c r="I267" s="54" t="s">
        <v>3040</v>
      </c>
      <c r="J267" s="28" t="s">
        <v>83</v>
      </c>
      <c r="K267" s="28" t="s">
        <v>83</v>
      </c>
    </row>
    <row r="268" spans="1:11" ht="52.8">
      <c r="A268" s="28">
        <v>267</v>
      </c>
      <c r="B268" s="48" t="s">
        <v>2930</v>
      </c>
      <c r="C268" s="28" t="s">
        <v>83</v>
      </c>
      <c r="D268" s="28" t="s">
        <v>14</v>
      </c>
      <c r="E268" s="28" t="s">
        <v>2931</v>
      </c>
      <c r="F268" s="28" t="s">
        <v>83</v>
      </c>
      <c r="G268" s="28" t="s">
        <v>802</v>
      </c>
      <c r="H268" s="28" t="s">
        <v>2932</v>
      </c>
      <c r="I268" s="54" t="s">
        <v>803</v>
      </c>
      <c r="J268" s="28" t="s">
        <v>83</v>
      </c>
      <c r="K268" s="28" t="s">
        <v>2933</v>
      </c>
    </row>
    <row r="269" spans="1:11" ht="39.6">
      <c r="A269" s="28">
        <v>268</v>
      </c>
      <c r="B269" s="48" t="s">
        <v>2662</v>
      </c>
      <c r="C269" s="28" t="s">
        <v>83</v>
      </c>
      <c r="D269" s="28" t="s">
        <v>14</v>
      </c>
      <c r="E269" s="28" t="s">
        <v>804</v>
      </c>
      <c r="F269" s="28" t="s">
        <v>83</v>
      </c>
      <c r="G269" s="28" t="s">
        <v>97</v>
      </c>
      <c r="H269" s="28" t="s">
        <v>2934</v>
      </c>
      <c r="I269" s="54" t="s">
        <v>696</v>
      </c>
      <c r="J269" s="28" t="s">
        <v>83</v>
      </c>
      <c r="K269" s="28" t="s">
        <v>83</v>
      </c>
    </row>
    <row r="270" spans="1:11" ht="39.6">
      <c r="A270" s="28">
        <v>269</v>
      </c>
      <c r="B270" s="48" t="s">
        <v>805</v>
      </c>
      <c r="C270" s="28" t="s">
        <v>83</v>
      </c>
      <c r="D270" s="28" t="s">
        <v>14</v>
      </c>
      <c r="E270" s="28" t="s">
        <v>2935</v>
      </c>
      <c r="F270" s="28" t="s">
        <v>83</v>
      </c>
      <c r="G270" s="28" t="s">
        <v>802</v>
      </c>
      <c r="H270" s="28" t="s">
        <v>806</v>
      </c>
      <c r="I270" s="54" t="s">
        <v>807</v>
      </c>
      <c r="J270" s="28" t="s">
        <v>83</v>
      </c>
      <c r="K270" s="28" t="s">
        <v>83</v>
      </c>
    </row>
    <row r="271" spans="1:11" ht="52.8">
      <c r="A271" s="28">
        <v>270</v>
      </c>
      <c r="B271" s="48" t="s">
        <v>808</v>
      </c>
      <c r="C271" s="28" t="s">
        <v>83</v>
      </c>
      <c r="D271" s="28" t="s">
        <v>14</v>
      </c>
      <c r="E271" s="28" t="s">
        <v>2935</v>
      </c>
      <c r="F271" s="28" t="s">
        <v>83</v>
      </c>
      <c r="G271" s="28" t="s">
        <v>802</v>
      </c>
      <c r="H271" s="28" t="s">
        <v>809</v>
      </c>
      <c r="I271" s="54" t="s">
        <v>807</v>
      </c>
      <c r="J271" s="28" t="s">
        <v>83</v>
      </c>
      <c r="K271" s="28" t="s">
        <v>83</v>
      </c>
    </row>
    <row r="272" spans="1:11" ht="26.4">
      <c r="A272" s="28">
        <v>271</v>
      </c>
      <c r="B272" s="48" t="s">
        <v>810</v>
      </c>
      <c r="C272" s="28" t="s">
        <v>83</v>
      </c>
      <c r="D272" s="28" t="s">
        <v>14</v>
      </c>
      <c r="E272" s="28" t="s">
        <v>2935</v>
      </c>
      <c r="F272" s="28" t="s">
        <v>83</v>
      </c>
      <c r="G272" s="28" t="s">
        <v>802</v>
      </c>
      <c r="H272" s="28" t="s">
        <v>2936</v>
      </c>
      <c r="I272" s="54" t="s">
        <v>807</v>
      </c>
      <c r="J272" s="28" t="s">
        <v>83</v>
      </c>
      <c r="K272" s="28" t="s">
        <v>83</v>
      </c>
    </row>
    <row r="273" spans="1:11" ht="39.6">
      <c r="A273" s="28">
        <v>272</v>
      </c>
      <c r="B273" s="48" t="s">
        <v>2937</v>
      </c>
      <c r="C273" s="28" t="s">
        <v>2938</v>
      </c>
      <c r="D273" s="28" t="s">
        <v>14</v>
      </c>
      <c r="E273" s="28" t="s">
        <v>2939</v>
      </c>
      <c r="F273" s="28" t="s">
        <v>83</v>
      </c>
      <c r="G273" s="28" t="s">
        <v>802</v>
      </c>
      <c r="H273" s="28" t="s">
        <v>812</v>
      </c>
      <c r="I273" s="54" t="s">
        <v>813</v>
      </c>
      <c r="J273" s="28" t="s">
        <v>83</v>
      </c>
      <c r="K273" s="28" t="s">
        <v>814</v>
      </c>
    </row>
    <row r="274" spans="1:11" ht="52.8">
      <c r="A274" s="28">
        <v>273</v>
      </c>
      <c r="B274" s="48" t="s">
        <v>2940</v>
      </c>
      <c r="C274" s="28" t="s">
        <v>83</v>
      </c>
      <c r="D274" s="28" t="s">
        <v>14</v>
      </c>
      <c r="E274" s="28" t="s">
        <v>2939</v>
      </c>
      <c r="F274" s="28" t="s">
        <v>83</v>
      </c>
      <c r="G274" s="28" t="s">
        <v>802</v>
      </c>
      <c r="H274" s="28" t="s">
        <v>2941</v>
      </c>
      <c r="I274" s="54" t="s">
        <v>813</v>
      </c>
      <c r="J274" s="28" t="s">
        <v>83</v>
      </c>
      <c r="K274" s="28" t="s">
        <v>815</v>
      </c>
    </row>
    <row r="275" spans="1:11" ht="52.8">
      <c r="A275" s="28">
        <v>274</v>
      </c>
      <c r="B275" s="48" t="s">
        <v>816</v>
      </c>
      <c r="C275" s="28" t="s">
        <v>83</v>
      </c>
      <c r="D275" s="28" t="s">
        <v>14</v>
      </c>
      <c r="E275" s="28" t="s">
        <v>2942</v>
      </c>
      <c r="F275" s="28" t="s">
        <v>82</v>
      </c>
      <c r="G275" s="28" t="s">
        <v>802</v>
      </c>
      <c r="H275" s="28" t="s">
        <v>2943</v>
      </c>
      <c r="I275" s="54" t="s">
        <v>696</v>
      </c>
      <c r="J275" s="28" t="s">
        <v>83</v>
      </c>
      <c r="K275" s="28" t="s">
        <v>2633</v>
      </c>
    </row>
    <row r="276" spans="1:11" ht="39.6">
      <c r="A276" s="28">
        <v>275</v>
      </c>
      <c r="B276" s="48" t="s">
        <v>817</v>
      </c>
      <c r="C276" s="28" t="s">
        <v>83</v>
      </c>
      <c r="D276" s="28" t="s">
        <v>14</v>
      </c>
      <c r="E276" s="28" t="s">
        <v>2944</v>
      </c>
      <c r="F276" s="28" t="s">
        <v>82</v>
      </c>
      <c r="G276" s="28" t="s">
        <v>802</v>
      </c>
      <c r="H276" s="28" t="s">
        <v>2634</v>
      </c>
      <c r="I276" s="54"/>
      <c r="J276" s="28" t="s">
        <v>83</v>
      </c>
      <c r="K276" s="28" t="s">
        <v>83</v>
      </c>
    </row>
    <row r="277" spans="1:11" ht="52.8">
      <c r="A277" s="28">
        <v>276</v>
      </c>
      <c r="B277" s="48" t="s">
        <v>817</v>
      </c>
      <c r="C277" s="28" t="s">
        <v>83</v>
      </c>
      <c r="D277" s="28" t="s">
        <v>14</v>
      </c>
      <c r="E277" s="28" t="s">
        <v>2945</v>
      </c>
      <c r="F277" s="28" t="s">
        <v>176</v>
      </c>
      <c r="G277" s="28" t="s">
        <v>802</v>
      </c>
      <c r="H277" s="28" t="s">
        <v>818</v>
      </c>
      <c r="I277" s="54"/>
      <c r="J277" s="28" t="s">
        <v>83</v>
      </c>
      <c r="K277" s="28" t="s">
        <v>83</v>
      </c>
    </row>
    <row r="278" spans="1:11" ht="52.8">
      <c r="A278" s="28">
        <v>277</v>
      </c>
      <c r="B278" s="48" t="s">
        <v>819</v>
      </c>
      <c r="C278" s="28" t="s">
        <v>83</v>
      </c>
      <c r="D278" s="28" t="s">
        <v>14</v>
      </c>
      <c r="E278" s="28" t="s">
        <v>725</v>
      </c>
      <c r="F278" s="28" t="s">
        <v>83</v>
      </c>
      <c r="G278" s="28" t="s">
        <v>820</v>
      </c>
      <c r="H278" s="28" t="s">
        <v>2946</v>
      </c>
      <c r="I278" s="54" t="s">
        <v>696</v>
      </c>
      <c r="J278" s="28" t="s">
        <v>83</v>
      </c>
      <c r="K278" s="28" t="s">
        <v>83</v>
      </c>
    </row>
    <row r="279" spans="1:11" ht="39.6">
      <c r="A279" s="28">
        <v>278</v>
      </c>
      <c r="B279" s="48" t="s">
        <v>233</v>
      </c>
      <c r="C279" s="28" t="s">
        <v>83</v>
      </c>
      <c r="D279" s="28" t="s">
        <v>14</v>
      </c>
      <c r="E279" s="28" t="s">
        <v>821</v>
      </c>
      <c r="F279" s="28" t="s">
        <v>83</v>
      </c>
      <c r="G279" s="28" t="s">
        <v>97</v>
      </c>
      <c r="H279" s="28" t="s">
        <v>822</v>
      </c>
      <c r="I279" s="54" t="s">
        <v>696</v>
      </c>
      <c r="J279" s="28" t="s">
        <v>83</v>
      </c>
      <c r="K279" s="28" t="s">
        <v>823</v>
      </c>
    </row>
    <row r="280" spans="1:11" ht="39.6">
      <c r="A280" s="28">
        <v>279</v>
      </c>
      <c r="B280" s="48" t="s">
        <v>404</v>
      </c>
      <c r="C280" s="28" t="s">
        <v>83</v>
      </c>
      <c r="D280" s="28" t="s">
        <v>14</v>
      </c>
      <c r="E280" s="28" t="s">
        <v>2699</v>
      </c>
      <c r="F280" s="28" t="s">
        <v>83</v>
      </c>
      <c r="G280" s="28" t="s">
        <v>314</v>
      </c>
      <c r="H280" s="28" t="s">
        <v>824</v>
      </c>
      <c r="I280" s="54" t="s">
        <v>825</v>
      </c>
      <c r="J280" s="28" t="s">
        <v>826</v>
      </c>
      <c r="K280" s="28" t="s">
        <v>827</v>
      </c>
    </row>
    <row r="281" spans="1:11" ht="52.8">
      <c r="A281" s="28">
        <v>280</v>
      </c>
      <c r="B281" s="48" t="s">
        <v>828</v>
      </c>
      <c r="C281" s="28" t="s">
        <v>83</v>
      </c>
      <c r="D281" s="28" t="s">
        <v>14</v>
      </c>
      <c r="E281" s="28" t="s">
        <v>829</v>
      </c>
      <c r="F281" s="28" t="s">
        <v>83</v>
      </c>
      <c r="G281" s="28" t="s">
        <v>83</v>
      </c>
      <c r="H281" s="28" t="s">
        <v>2635</v>
      </c>
      <c r="I281" s="54">
        <v>45778</v>
      </c>
      <c r="J281" s="28" t="s">
        <v>830</v>
      </c>
      <c r="K281" s="28" t="s">
        <v>830</v>
      </c>
    </row>
    <row r="282" spans="1:11" ht="39.6">
      <c r="A282" s="28">
        <v>281</v>
      </c>
      <c r="B282" s="48" t="s">
        <v>831</v>
      </c>
      <c r="C282" s="28" t="s">
        <v>83</v>
      </c>
      <c r="D282" s="28" t="s">
        <v>14</v>
      </c>
      <c r="E282" s="28" t="s">
        <v>2947</v>
      </c>
      <c r="F282" s="28" t="s">
        <v>83</v>
      </c>
      <c r="G282" s="28" t="s">
        <v>83</v>
      </c>
      <c r="H282" s="28" t="s">
        <v>832</v>
      </c>
      <c r="I282" s="54">
        <v>45748</v>
      </c>
      <c r="J282" s="28" t="s">
        <v>833</v>
      </c>
      <c r="K282" s="28" t="s">
        <v>834</v>
      </c>
    </row>
    <row r="283" spans="1:11" ht="52.8">
      <c r="A283" s="28">
        <v>282</v>
      </c>
      <c r="B283" s="48" t="s">
        <v>831</v>
      </c>
      <c r="C283" s="28" t="s">
        <v>83</v>
      </c>
      <c r="D283" s="28" t="s">
        <v>14</v>
      </c>
      <c r="E283" s="28" t="s">
        <v>835</v>
      </c>
      <c r="F283" s="28" t="s">
        <v>83</v>
      </c>
      <c r="G283" s="28" t="s">
        <v>83</v>
      </c>
      <c r="H283" s="28" t="s">
        <v>2948</v>
      </c>
      <c r="I283" s="54" t="s">
        <v>836</v>
      </c>
      <c r="J283" s="28" t="s">
        <v>83</v>
      </c>
      <c r="K283" s="28" t="s">
        <v>83</v>
      </c>
    </row>
    <row r="284" spans="1:11" ht="105.6">
      <c r="A284" s="28">
        <v>283</v>
      </c>
      <c r="B284" s="48" t="s">
        <v>831</v>
      </c>
      <c r="C284" s="28" t="s">
        <v>83</v>
      </c>
      <c r="D284" s="28" t="s">
        <v>14</v>
      </c>
      <c r="E284" s="28" t="s">
        <v>2949</v>
      </c>
      <c r="F284" s="28" t="s">
        <v>83</v>
      </c>
      <c r="G284" s="28" t="s">
        <v>83</v>
      </c>
      <c r="H284" s="28" t="s">
        <v>837</v>
      </c>
      <c r="I284" s="54" t="s">
        <v>838</v>
      </c>
      <c r="J284" s="28" t="s">
        <v>83</v>
      </c>
      <c r="K284" s="28" t="s">
        <v>83</v>
      </c>
    </row>
    <row r="285" spans="1:11" ht="26.4">
      <c r="A285" s="28">
        <v>284</v>
      </c>
      <c r="B285" s="48" t="s">
        <v>819</v>
      </c>
      <c r="C285" s="28" t="s">
        <v>83</v>
      </c>
      <c r="D285" s="28" t="s">
        <v>14</v>
      </c>
      <c r="E285" s="28" t="s">
        <v>725</v>
      </c>
      <c r="F285" s="28" t="s">
        <v>83</v>
      </c>
      <c r="G285" s="28" t="s">
        <v>83</v>
      </c>
      <c r="H285" s="28" t="s">
        <v>839</v>
      </c>
      <c r="I285" s="54" t="s">
        <v>607</v>
      </c>
      <c r="J285" s="28" t="s">
        <v>83</v>
      </c>
      <c r="K285" s="28" t="s">
        <v>83</v>
      </c>
    </row>
    <row r="286" spans="1:11" ht="26.4">
      <c r="A286" s="28">
        <v>285</v>
      </c>
      <c r="B286" s="48" t="s">
        <v>840</v>
      </c>
      <c r="C286" s="28" t="s">
        <v>83</v>
      </c>
      <c r="D286" s="28" t="s">
        <v>14</v>
      </c>
      <c r="E286" s="28" t="s">
        <v>841</v>
      </c>
      <c r="F286" s="28" t="s">
        <v>83</v>
      </c>
      <c r="G286" s="28" t="s">
        <v>83</v>
      </c>
      <c r="H286" s="28" t="s">
        <v>2636</v>
      </c>
      <c r="I286" s="54" t="s">
        <v>607</v>
      </c>
      <c r="J286" s="28" t="s">
        <v>83</v>
      </c>
      <c r="K286" s="28" t="s">
        <v>83</v>
      </c>
    </row>
    <row r="287" spans="1:11" ht="52.8">
      <c r="A287" s="28">
        <v>286</v>
      </c>
      <c r="B287" s="48" t="s">
        <v>842</v>
      </c>
      <c r="C287" s="28" t="s">
        <v>2950</v>
      </c>
      <c r="D287" s="28" t="s">
        <v>14</v>
      </c>
      <c r="E287" s="28" t="s">
        <v>843</v>
      </c>
      <c r="F287" s="28" t="s">
        <v>83</v>
      </c>
      <c r="G287" s="28" t="s">
        <v>83</v>
      </c>
      <c r="H287" s="28" t="s">
        <v>2951</v>
      </c>
      <c r="I287" s="54" t="s">
        <v>607</v>
      </c>
      <c r="J287" s="28" t="s">
        <v>83</v>
      </c>
      <c r="K287" s="28" t="s">
        <v>83</v>
      </c>
    </row>
    <row r="288" spans="1:11" ht="26.4">
      <c r="A288" s="28">
        <v>287</v>
      </c>
      <c r="B288" s="48" t="s">
        <v>842</v>
      </c>
      <c r="C288" s="28" t="s">
        <v>83</v>
      </c>
      <c r="D288" s="28" t="s">
        <v>14</v>
      </c>
      <c r="E288" s="28" t="s">
        <v>844</v>
      </c>
      <c r="F288" s="28" t="s">
        <v>83</v>
      </c>
      <c r="G288" s="28" t="s">
        <v>83</v>
      </c>
      <c r="H288" s="28" t="s">
        <v>845</v>
      </c>
      <c r="I288" s="54" t="s">
        <v>607</v>
      </c>
      <c r="J288" s="28" t="s">
        <v>83</v>
      </c>
      <c r="K288" s="28" t="s">
        <v>83</v>
      </c>
    </row>
    <row r="289" spans="1:11" ht="26.4">
      <c r="A289" s="28">
        <v>288</v>
      </c>
      <c r="B289" s="48" t="s">
        <v>2952</v>
      </c>
      <c r="C289" s="28" t="s">
        <v>847</v>
      </c>
      <c r="D289" s="28" t="s">
        <v>14</v>
      </c>
      <c r="E289" s="28" t="s">
        <v>848</v>
      </c>
      <c r="F289" s="28" t="s">
        <v>83</v>
      </c>
      <c r="G289" s="28" t="s">
        <v>83</v>
      </c>
      <c r="H289" s="28" t="s">
        <v>2637</v>
      </c>
      <c r="I289" s="54" t="s">
        <v>696</v>
      </c>
      <c r="J289" s="28" t="s">
        <v>83</v>
      </c>
      <c r="K289" s="28" t="s">
        <v>83</v>
      </c>
    </row>
    <row r="290" spans="1:11" ht="39.6">
      <c r="A290" s="28">
        <v>289</v>
      </c>
      <c r="B290" s="48" t="s">
        <v>2953</v>
      </c>
      <c r="C290" s="28" t="s">
        <v>83</v>
      </c>
      <c r="D290" s="28" t="s">
        <v>14</v>
      </c>
      <c r="E290" s="28" t="s">
        <v>850</v>
      </c>
      <c r="F290" s="28" t="s">
        <v>83</v>
      </c>
      <c r="G290" s="28" t="s">
        <v>83</v>
      </c>
      <c r="H290" s="28" t="s">
        <v>2638</v>
      </c>
      <c r="I290" s="54" t="s">
        <v>696</v>
      </c>
      <c r="J290" s="28" t="s">
        <v>83</v>
      </c>
      <c r="K290" s="28" t="s">
        <v>83</v>
      </c>
    </row>
    <row r="291" spans="1:11" ht="26.4">
      <c r="A291" s="28">
        <v>290</v>
      </c>
      <c r="B291" s="48" t="s">
        <v>2954</v>
      </c>
      <c r="C291" s="28" t="s">
        <v>83</v>
      </c>
      <c r="D291" s="28" t="s">
        <v>14</v>
      </c>
      <c r="E291" s="28" t="s">
        <v>851</v>
      </c>
      <c r="F291" s="28" t="s">
        <v>83</v>
      </c>
      <c r="G291" s="28" t="s">
        <v>83</v>
      </c>
      <c r="H291" s="28" t="s">
        <v>852</v>
      </c>
      <c r="I291" s="54" t="s">
        <v>443</v>
      </c>
      <c r="J291" s="28" t="s">
        <v>83</v>
      </c>
      <c r="K291" s="28" t="s">
        <v>83</v>
      </c>
    </row>
    <row r="292" spans="1:11" ht="39.6">
      <c r="A292" s="28">
        <v>291</v>
      </c>
      <c r="B292" s="48" t="s">
        <v>2955</v>
      </c>
      <c r="C292" s="28" t="s">
        <v>83</v>
      </c>
      <c r="D292" s="28" t="s">
        <v>14</v>
      </c>
      <c r="E292" s="28" t="s">
        <v>853</v>
      </c>
      <c r="F292" s="28" t="s">
        <v>83</v>
      </c>
      <c r="G292" s="28" t="s">
        <v>83</v>
      </c>
      <c r="H292" s="28" t="s">
        <v>854</v>
      </c>
      <c r="I292" s="54" t="s">
        <v>813</v>
      </c>
      <c r="J292" s="28" t="s">
        <v>83</v>
      </c>
      <c r="K292" s="28" t="s">
        <v>83</v>
      </c>
    </row>
    <row r="293" spans="1:11" ht="39.6">
      <c r="A293" s="28">
        <v>292</v>
      </c>
      <c r="B293" s="48" t="s">
        <v>855</v>
      </c>
      <c r="C293" s="28" t="s">
        <v>83</v>
      </c>
      <c r="D293" s="28" t="s">
        <v>14</v>
      </c>
      <c r="E293" s="28" t="s">
        <v>856</v>
      </c>
      <c r="F293" s="28" t="s">
        <v>82</v>
      </c>
      <c r="G293" s="28" t="s">
        <v>97</v>
      </c>
      <c r="H293" s="28" t="s">
        <v>2956</v>
      </c>
      <c r="I293" s="54" t="s">
        <v>857</v>
      </c>
      <c r="J293" s="28">
        <v>9781032665443</v>
      </c>
      <c r="K293" s="28" t="s">
        <v>858</v>
      </c>
    </row>
    <row r="294" spans="1:11" ht="39.6">
      <c r="A294" s="28">
        <v>293</v>
      </c>
      <c r="B294" s="48" t="s">
        <v>855</v>
      </c>
      <c r="C294" s="28" t="s">
        <v>97</v>
      </c>
      <c r="D294" s="28" t="s">
        <v>14</v>
      </c>
      <c r="E294" s="28" t="s">
        <v>543</v>
      </c>
      <c r="F294" s="28" t="s">
        <v>83</v>
      </c>
      <c r="G294" s="28" t="s">
        <v>83</v>
      </c>
      <c r="H294" s="28" t="s">
        <v>859</v>
      </c>
      <c r="I294" s="54" t="s">
        <v>813</v>
      </c>
      <c r="J294" s="28" t="s">
        <v>83</v>
      </c>
      <c r="K294" s="28" t="s">
        <v>83</v>
      </c>
    </row>
    <row r="295" spans="1:11" ht="39.6">
      <c r="A295" s="28">
        <v>294</v>
      </c>
      <c r="B295" s="48" t="s">
        <v>860</v>
      </c>
      <c r="C295" s="28" t="s">
        <v>97</v>
      </c>
      <c r="D295" s="28" t="s">
        <v>14</v>
      </c>
      <c r="E295" s="28" t="s">
        <v>861</v>
      </c>
      <c r="F295" s="28" t="s">
        <v>83</v>
      </c>
      <c r="G295" s="28" t="s">
        <v>83</v>
      </c>
      <c r="H295" s="28" t="s">
        <v>2639</v>
      </c>
      <c r="I295" s="54" t="s">
        <v>696</v>
      </c>
      <c r="J295" s="28" t="s">
        <v>83</v>
      </c>
      <c r="K295" s="28" t="s">
        <v>83</v>
      </c>
    </row>
    <row r="296" spans="1:11" ht="39.6">
      <c r="A296" s="28">
        <v>295</v>
      </c>
      <c r="B296" s="48" t="s">
        <v>860</v>
      </c>
      <c r="C296" s="28" t="s">
        <v>83</v>
      </c>
      <c r="D296" s="28" t="s">
        <v>14</v>
      </c>
      <c r="E296" s="28" t="s">
        <v>862</v>
      </c>
      <c r="F296" s="28" t="s">
        <v>83</v>
      </c>
      <c r="G296" s="28" t="s">
        <v>83</v>
      </c>
      <c r="H296" s="28" t="s">
        <v>863</v>
      </c>
      <c r="I296" s="54" t="s">
        <v>696</v>
      </c>
      <c r="J296" s="28" t="s">
        <v>83</v>
      </c>
      <c r="K296" s="28" t="s">
        <v>83</v>
      </c>
    </row>
    <row r="297" spans="1:11" ht="26.4">
      <c r="A297" s="28">
        <v>296</v>
      </c>
      <c r="B297" s="48" t="s">
        <v>864</v>
      </c>
      <c r="C297" s="28" t="s">
        <v>83</v>
      </c>
      <c r="D297" s="28" t="s">
        <v>14</v>
      </c>
      <c r="E297" s="28" t="s">
        <v>865</v>
      </c>
      <c r="F297" s="28" t="s">
        <v>83</v>
      </c>
      <c r="G297" s="28" t="s">
        <v>83</v>
      </c>
      <c r="H297" s="28" t="s">
        <v>2957</v>
      </c>
      <c r="I297" s="54" t="s">
        <v>696</v>
      </c>
      <c r="J297" s="28" t="s">
        <v>83</v>
      </c>
      <c r="K297" s="28" t="s">
        <v>83</v>
      </c>
    </row>
    <row r="298" spans="1:11" ht="52.8">
      <c r="A298" s="28">
        <v>297</v>
      </c>
      <c r="B298" s="48" t="s">
        <v>866</v>
      </c>
      <c r="C298" s="28" t="s">
        <v>83</v>
      </c>
      <c r="D298" s="28" t="s">
        <v>14</v>
      </c>
      <c r="E298" s="28" t="s">
        <v>867</v>
      </c>
      <c r="F298" s="28" t="s">
        <v>83</v>
      </c>
      <c r="G298" s="28" t="s">
        <v>83</v>
      </c>
      <c r="H298" s="28" t="s">
        <v>868</v>
      </c>
      <c r="I298" s="54" t="s">
        <v>696</v>
      </c>
      <c r="J298" s="28" t="s">
        <v>83</v>
      </c>
      <c r="K298" s="28" t="s">
        <v>83</v>
      </c>
    </row>
    <row r="299" spans="1:11" ht="26.4">
      <c r="A299" s="28">
        <v>298</v>
      </c>
      <c r="B299" s="48" t="s">
        <v>869</v>
      </c>
      <c r="C299" s="28" t="s">
        <v>83</v>
      </c>
      <c r="D299" s="28" t="s">
        <v>14</v>
      </c>
      <c r="E299" s="28" t="s">
        <v>870</v>
      </c>
      <c r="F299" s="28" t="s">
        <v>83</v>
      </c>
      <c r="G299" s="28" t="s">
        <v>83</v>
      </c>
      <c r="H299" s="28" t="s">
        <v>2958</v>
      </c>
      <c r="I299" s="54" t="s">
        <v>813</v>
      </c>
      <c r="J299" s="28" t="s">
        <v>871</v>
      </c>
      <c r="K299" s="28" t="s">
        <v>83</v>
      </c>
    </row>
    <row r="300" spans="1:11" ht="39.6">
      <c r="A300" s="28">
        <v>299</v>
      </c>
      <c r="B300" s="48" t="s">
        <v>869</v>
      </c>
      <c r="C300" s="28" t="s">
        <v>83</v>
      </c>
      <c r="D300" s="28" t="s">
        <v>14</v>
      </c>
      <c r="E300" s="28" t="s">
        <v>870</v>
      </c>
      <c r="F300" s="28" t="s">
        <v>83</v>
      </c>
      <c r="G300" s="28" t="s">
        <v>83</v>
      </c>
      <c r="H300" s="28" t="s">
        <v>872</v>
      </c>
      <c r="I300" s="54" t="s">
        <v>813</v>
      </c>
      <c r="J300" s="28" t="s">
        <v>871</v>
      </c>
      <c r="K300" s="28" t="s">
        <v>83</v>
      </c>
    </row>
    <row r="301" spans="1:11" ht="39.6">
      <c r="A301" s="28">
        <v>300</v>
      </c>
      <c r="B301" s="48" t="s">
        <v>869</v>
      </c>
      <c r="C301" s="28" t="s">
        <v>83</v>
      </c>
      <c r="D301" s="28" t="s">
        <v>14</v>
      </c>
      <c r="E301" s="28" t="s">
        <v>2959</v>
      </c>
      <c r="F301" s="28" t="s">
        <v>83</v>
      </c>
      <c r="G301" s="28" t="s">
        <v>83</v>
      </c>
      <c r="H301" s="28" t="s">
        <v>873</v>
      </c>
      <c r="I301" s="54" t="s">
        <v>462</v>
      </c>
      <c r="J301" s="28" t="s">
        <v>874</v>
      </c>
      <c r="K301" s="28" t="s">
        <v>875</v>
      </c>
    </row>
    <row r="302" spans="1:11" ht="13.2">
      <c r="A302" s="28">
        <v>301</v>
      </c>
      <c r="B302" s="48" t="s">
        <v>876</v>
      </c>
      <c r="C302" s="28" t="s">
        <v>83</v>
      </c>
      <c r="D302" s="28" t="s">
        <v>14</v>
      </c>
      <c r="E302" s="28" t="s">
        <v>870</v>
      </c>
      <c r="F302" s="28" t="s">
        <v>83</v>
      </c>
      <c r="G302" s="28" t="s">
        <v>83</v>
      </c>
      <c r="H302" s="28" t="s">
        <v>877</v>
      </c>
      <c r="I302" s="54" t="s">
        <v>813</v>
      </c>
      <c r="J302" s="28" t="s">
        <v>878</v>
      </c>
      <c r="K302" s="28" t="s">
        <v>83</v>
      </c>
    </row>
    <row r="303" spans="1:11" ht="52.8">
      <c r="A303" s="28">
        <v>302</v>
      </c>
      <c r="B303" s="48" t="s">
        <v>876</v>
      </c>
      <c r="C303" s="28" t="s">
        <v>83</v>
      </c>
      <c r="D303" s="28" t="s">
        <v>14</v>
      </c>
      <c r="E303" s="28" t="s">
        <v>879</v>
      </c>
      <c r="F303" s="28" t="s">
        <v>83</v>
      </c>
      <c r="G303" s="28" t="s">
        <v>83</v>
      </c>
      <c r="H303" s="28" t="s">
        <v>880</v>
      </c>
      <c r="I303" s="54"/>
      <c r="J303" s="28" t="s">
        <v>83</v>
      </c>
      <c r="K303" s="28" t="s">
        <v>83</v>
      </c>
    </row>
    <row r="304" spans="1:11" ht="39.6">
      <c r="A304" s="28">
        <v>303</v>
      </c>
      <c r="B304" s="48" t="s">
        <v>881</v>
      </c>
      <c r="C304" s="28" t="s">
        <v>83</v>
      </c>
      <c r="D304" s="28" t="s">
        <v>17</v>
      </c>
      <c r="E304" s="28" t="s">
        <v>882</v>
      </c>
      <c r="F304" s="28" t="s">
        <v>83</v>
      </c>
      <c r="G304" s="28" t="s">
        <v>83</v>
      </c>
      <c r="H304" s="28" t="s">
        <v>883</v>
      </c>
      <c r="I304" s="54" t="s">
        <v>884</v>
      </c>
      <c r="J304" s="28" t="s">
        <v>83</v>
      </c>
      <c r="K304" s="28" t="s">
        <v>83</v>
      </c>
    </row>
    <row r="305" spans="1:11" ht="39.6">
      <c r="A305" s="28">
        <v>304</v>
      </c>
      <c r="B305" s="48" t="s">
        <v>881</v>
      </c>
      <c r="C305" s="28" t="s">
        <v>83</v>
      </c>
      <c r="D305" s="28" t="s">
        <v>17</v>
      </c>
      <c r="E305" s="28" t="s">
        <v>882</v>
      </c>
      <c r="F305" s="28" t="s">
        <v>83</v>
      </c>
      <c r="G305" s="28" t="s">
        <v>83</v>
      </c>
      <c r="H305" s="28" t="s">
        <v>885</v>
      </c>
      <c r="I305" s="54" t="s">
        <v>884</v>
      </c>
      <c r="J305" s="28" t="s">
        <v>83</v>
      </c>
      <c r="K305" s="28" t="s">
        <v>83</v>
      </c>
    </row>
    <row r="306" spans="1:11" ht="52.8">
      <c r="A306" s="28">
        <v>305</v>
      </c>
      <c r="B306" s="48" t="s">
        <v>2907</v>
      </c>
      <c r="C306" s="28" t="s">
        <v>83</v>
      </c>
      <c r="D306" s="28" t="s">
        <v>17</v>
      </c>
      <c r="E306" s="28" t="s">
        <v>2960</v>
      </c>
      <c r="F306" s="28" t="s">
        <v>83</v>
      </c>
      <c r="G306" s="28" t="s">
        <v>83</v>
      </c>
      <c r="H306" s="28" t="s">
        <v>2961</v>
      </c>
      <c r="I306" s="54" t="s">
        <v>886</v>
      </c>
      <c r="J306" s="28" t="s">
        <v>83</v>
      </c>
      <c r="K306" s="28" t="s">
        <v>83</v>
      </c>
    </row>
    <row r="307" spans="1:11" ht="39.6">
      <c r="A307" s="28">
        <v>306</v>
      </c>
      <c r="B307" s="48" t="s">
        <v>782</v>
      </c>
      <c r="C307" s="28" t="s">
        <v>83</v>
      </c>
      <c r="D307" s="28"/>
      <c r="E307" s="28" t="s">
        <v>2923</v>
      </c>
      <c r="F307" s="28" t="s">
        <v>83</v>
      </c>
      <c r="G307" s="28" t="s">
        <v>455</v>
      </c>
      <c r="H307" s="28" t="s">
        <v>887</v>
      </c>
      <c r="I307" s="54" t="s">
        <v>455</v>
      </c>
      <c r="J307" s="28" t="s">
        <v>83</v>
      </c>
      <c r="K307" s="28" t="s">
        <v>888</v>
      </c>
    </row>
    <row r="308" spans="1:11" ht="118.8">
      <c r="A308" s="28">
        <v>307</v>
      </c>
      <c r="B308" s="48" t="s">
        <v>2962</v>
      </c>
      <c r="C308" s="28" t="s">
        <v>83</v>
      </c>
      <c r="D308" s="28" t="s">
        <v>15</v>
      </c>
      <c r="E308" s="28" t="s">
        <v>2963</v>
      </c>
      <c r="F308" s="28" t="s">
        <v>83</v>
      </c>
      <c r="G308" s="28" t="s">
        <v>83</v>
      </c>
      <c r="H308" s="28" t="s">
        <v>889</v>
      </c>
      <c r="I308" s="54" t="s">
        <v>890</v>
      </c>
      <c r="J308" s="28" t="s">
        <v>83</v>
      </c>
      <c r="K308" s="28" t="s">
        <v>83</v>
      </c>
    </row>
    <row r="309" spans="1:11" ht="39.6">
      <c r="A309" s="28">
        <v>308</v>
      </c>
      <c r="B309" s="48" t="s">
        <v>891</v>
      </c>
      <c r="C309" s="28" t="s">
        <v>83</v>
      </c>
      <c r="D309" s="28" t="s">
        <v>892</v>
      </c>
      <c r="E309" s="28" t="s">
        <v>2913</v>
      </c>
      <c r="F309" s="28" t="s">
        <v>83</v>
      </c>
      <c r="G309" s="28" t="s">
        <v>87</v>
      </c>
      <c r="H309" s="28" t="s">
        <v>893</v>
      </c>
      <c r="I309" s="54" t="s">
        <v>147</v>
      </c>
      <c r="J309" s="28" t="s">
        <v>83</v>
      </c>
      <c r="K309" s="28" t="s">
        <v>894</v>
      </c>
    </row>
    <row r="310" spans="1:11" ht="39.6">
      <c r="A310" s="28">
        <v>309</v>
      </c>
      <c r="B310" s="48" t="s">
        <v>2964</v>
      </c>
      <c r="C310" s="28" t="s">
        <v>83</v>
      </c>
      <c r="D310" s="28" t="s">
        <v>895</v>
      </c>
      <c r="E310" s="28" t="s">
        <v>2965</v>
      </c>
      <c r="F310" s="28" t="s">
        <v>176</v>
      </c>
      <c r="G310" s="28" t="s">
        <v>97</v>
      </c>
      <c r="H310" s="28" t="s">
        <v>2966</v>
      </c>
      <c r="I310" s="54" t="s">
        <v>896</v>
      </c>
      <c r="J310" s="28" t="s">
        <v>897</v>
      </c>
      <c r="K310" s="28" t="s">
        <v>898</v>
      </c>
    </row>
    <row r="311" spans="1:11" ht="40.200000000000003">
      <c r="A311" s="28">
        <v>310</v>
      </c>
      <c r="B311" s="48" t="s">
        <v>2964</v>
      </c>
      <c r="C311" s="28" t="s">
        <v>83</v>
      </c>
      <c r="D311" s="28" t="s">
        <v>895</v>
      </c>
      <c r="E311" s="28" t="s">
        <v>2967</v>
      </c>
      <c r="F311" s="28" t="s">
        <v>87</v>
      </c>
      <c r="G311" s="28" t="s">
        <v>83</v>
      </c>
      <c r="H311" s="28" t="s">
        <v>2968</v>
      </c>
      <c r="I311" s="54" t="s">
        <v>899</v>
      </c>
      <c r="J311" s="28" t="s">
        <v>900</v>
      </c>
      <c r="K311" s="28" t="s">
        <v>901</v>
      </c>
    </row>
    <row r="312" spans="1:11" ht="52.8">
      <c r="A312" s="28">
        <v>311</v>
      </c>
      <c r="B312" s="48" t="s">
        <v>902</v>
      </c>
      <c r="C312" s="28" t="s">
        <v>83</v>
      </c>
      <c r="D312" s="28" t="s">
        <v>895</v>
      </c>
      <c r="E312" s="28" t="s">
        <v>2640</v>
      </c>
      <c r="F312" s="28" t="s">
        <v>87</v>
      </c>
      <c r="G312" s="28" t="s">
        <v>83</v>
      </c>
      <c r="H312" s="28" t="s">
        <v>903</v>
      </c>
      <c r="I312" s="54">
        <v>45566</v>
      </c>
      <c r="J312" s="28" t="s">
        <v>904</v>
      </c>
      <c r="K312" s="28" t="s">
        <v>905</v>
      </c>
    </row>
    <row r="313" spans="1:11" ht="52.8">
      <c r="A313" s="28">
        <v>312</v>
      </c>
      <c r="B313" s="48" t="s">
        <v>906</v>
      </c>
      <c r="C313" s="28" t="s">
        <v>83</v>
      </c>
      <c r="D313" s="28" t="s">
        <v>895</v>
      </c>
      <c r="E313" s="28" t="s">
        <v>2969</v>
      </c>
      <c r="F313" s="28" t="s">
        <v>55</v>
      </c>
      <c r="G313" s="28" t="s">
        <v>97</v>
      </c>
      <c r="H313" s="28" t="s">
        <v>2970</v>
      </c>
      <c r="I313" s="54" t="s">
        <v>3037</v>
      </c>
      <c r="J313" s="28" t="s">
        <v>907</v>
      </c>
      <c r="K313" s="28" t="s">
        <v>908</v>
      </c>
    </row>
    <row r="314" spans="1:11" ht="52.8">
      <c r="A314" s="28">
        <v>313</v>
      </c>
      <c r="B314" s="48" t="s">
        <v>906</v>
      </c>
      <c r="C314" s="28" t="s">
        <v>83</v>
      </c>
      <c r="D314" s="28" t="s">
        <v>895</v>
      </c>
      <c r="E314" s="28" t="s">
        <v>909</v>
      </c>
      <c r="F314" s="28" t="s">
        <v>55</v>
      </c>
      <c r="G314" s="28" t="s">
        <v>97</v>
      </c>
      <c r="H314" s="28" t="s">
        <v>2971</v>
      </c>
      <c r="I314" s="54" t="s">
        <v>910</v>
      </c>
      <c r="J314" s="28" t="s">
        <v>911</v>
      </c>
      <c r="K314" s="28" t="s">
        <v>912</v>
      </c>
    </row>
    <row r="315" spans="1:11" ht="53.4">
      <c r="A315" s="28">
        <v>314</v>
      </c>
      <c r="B315" s="48" t="s">
        <v>2964</v>
      </c>
      <c r="C315" s="28" t="s">
        <v>83</v>
      </c>
      <c r="D315" s="28" t="s">
        <v>895</v>
      </c>
      <c r="E315" s="28" t="s">
        <v>2972</v>
      </c>
      <c r="F315" s="28" t="s">
        <v>55</v>
      </c>
      <c r="G315" s="28" t="s">
        <v>97</v>
      </c>
      <c r="H315" s="28" t="s">
        <v>2973</v>
      </c>
      <c r="I315" s="54" t="s">
        <v>913</v>
      </c>
      <c r="J315" s="28" t="s">
        <v>914</v>
      </c>
      <c r="K315" s="28" t="s">
        <v>915</v>
      </c>
    </row>
    <row r="316" spans="1:11" ht="53.4">
      <c r="A316" s="28">
        <v>315</v>
      </c>
      <c r="B316" s="48" t="s">
        <v>2964</v>
      </c>
      <c r="C316" s="28" t="s">
        <v>83</v>
      </c>
      <c r="D316" s="28" t="s">
        <v>895</v>
      </c>
      <c r="E316" s="28" t="s">
        <v>2974</v>
      </c>
      <c r="F316" s="28" t="s">
        <v>55</v>
      </c>
      <c r="G316" s="28" t="s">
        <v>97</v>
      </c>
      <c r="H316" s="28" t="s">
        <v>2975</v>
      </c>
      <c r="I316" s="54" t="s">
        <v>916</v>
      </c>
      <c r="J316" s="28" t="s">
        <v>917</v>
      </c>
      <c r="K316" s="28" t="s">
        <v>918</v>
      </c>
    </row>
    <row r="317" spans="1:11" ht="52.8">
      <c r="A317" s="28">
        <v>316</v>
      </c>
      <c r="B317" s="48" t="s">
        <v>919</v>
      </c>
      <c r="C317" s="28" t="s">
        <v>83</v>
      </c>
      <c r="D317" s="28" t="s">
        <v>895</v>
      </c>
      <c r="E317" s="28" t="s">
        <v>2976</v>
      </c>
      <c r="F317" s="28" t="s">
        <v>55</v>
      </c>
      <c r="G317" s="28" t="s">
        <v>97</v>
      </c>
      <c r="H317" s="28" t="s">
        <v>2977</v>
      </c>
      <c r="I317" s="54" t="s">
        <v>920</v>
      </c>
      <c r="J317" s="28" t="s">
        <v>921</v>
      </c>
      <c r="K317" s="28" t="s">
        <v>922</v>
      </c>
    </row>
    <row r="318" spans="1:11" ht="39.6">
      <c r="A318" s="28">
        <v>317</v>
      </c>
      <c r="B318" s="48" t="s">
        <v>2978</v>
      </c>
      <c r="C318" s="28" t="s">
        <v>83</v>
      </c>
      <c r="D318" s="28" t="s">
        <v>895</v>
      </c>
      <c r="E318" s="28" t="s">
        <v>2979</v>
      </c>
      <c r="F318" s="28" t="s">
        <v>55</v>
      </c>
      <c r="G318" s="28" t="s">
        <v>97</v>
      </c>
      <c r="H318" s="28" t="s">
        <v>2980</v>
      </c>
      <c r="I318" s="54">
        <v>45778</v>
      </c>
      <c r="J318" s="28" t="s">
        <v>923</v>
      </c>
      <c r="K318" s="28" t="s">
        <v>924</v>
      </c>
    </row>
    <row r="319" spans="1:11" ht="39.6">
      <c r="A319" s="28">
        <v>318</v>
      </c>
      <c r="B319" s="48" t="s">
        <v>925</v>
      </c>
      <c r="C319" s="28" t="s">
        <v>83</v>
      </c>
      <c r="D319" s="28" t="s">
        <v>895</v>
      </c>
      <c r="E319" s="28" t="s">
        <v>2981</v>
      </c>
      <c r="F319" s="28" t="s">
        <v>926</v>
      </c>
      <c r="G319" s="28" t="s">
        <v>97</v>
      </c>
      <c r="H319" s="28" t="s">
        <v>2982</v>
      </c>
      <c r="I319" s="54">
        <v>45778</v>
      </c>
      <c r="J319" s="28" t="s">
        <v>927</v>
      </c>
      <c r="K319" s="28" t="s">
        <v>928</v>
      </c>
    </row>
    <row r="320" spans="1:11" ht="39.6">
      <c r="A320" s="28">
        <v>319</v>
      </c>
      <c r="B320" s="48" t="s">
        <v>2964</v>
      </c>
      <c r="C320" s="28" t="s">
        <v>83</v>
      </c>
      <c r="D320" s="28" t="s">
        <v>895</v>
      </c>
      <c r="E320" s="28" t="s">
        <v>2983</v>
      </c>
      <c r="F320" s="28" t="s">
        <v>87</v>
      </c>
      <c r="G320" s="28" t="s">
        <v>83</v>
      </c>
      <c r="H320" s="28" t="s">
        <v>2984</v>
      </c>
      <c r="I320" s="54">
        <v>45778</v>
      </c>
      <c r="J320" s="28">
        <v>9781394287697</v>
      </c>
      <c r="K320" s="28" t="s">
        <v>929</v>
      </c>
    </row>
    <row r="321" spans="1:11" ht="52.8">
      <c r="A321" s="28">
        <v>320</v>
      </c>
      <c r="B321" s="48" t="s">
        <v>930</v>
      </c>
      <c r="C321" s="28" t="s">
        <v>83</v>
      </c>
      <c r="D321" s="28" t="s">
        <v>19</v>
      </c>
      <c r="E321" s="28" t="s">
        <v>2659</v>
      </c>
      <c r="F321" s="28" t="s">
        <v>58</v>
      </c>
      <c r="G321" s="28" t="s">
        <v>97</v>
      </c>
      <c r="H321" s="28" t="s">
        <v>2641</v>
      </c>
      <c r="I321" s="54" t="s">
        <v>931</v>
      </c>
      <c r="J321" s="28" t="s">
        <v>110</v>
      </c>
      <c r="K321" s="28" t="s">
        <v>932</v>
      </c>
    </row>
    <row r="322" spans="1:11" ht="39.6">
      <c r="A322" s="28">
        <v>321</v>
      </c>
      <c r="B322" s="48" t="s">
        <v>933</v>
      </c>
      <c r="C322" s="28" t="s">
        <v>83</v>
      </c>
      <c r="D322" s="28" t="s">
        <v>19</v>
      </c>
      <c r="E322" s="28" t="s">
        <v>2642</v>
      </c>
      <c r="F322" s="28" t="s">
        <v>55</v>
      </c>
      <c r="G322" s="28" t="s">
        <v>97</v>
      </c>
      <c r="H322" s="28" t="s">
        <v>2985</v>
      </c>
      <c r="I322" s="54" t="s">
        <v>934</v>
      </c>
      <c r="J322" s="28" t="s">
        <v>935</v>
      </c>
      <c r="K322" s="28" t="s">
        <v>936</v>
      </c>
    </row>
    <row r="323" spans="1:11" ht="39.6">
      <c r="A323" s="28">
        <v>322</v>
      </c>
      <c r="B323" s="48" t="s">
        <v>937</v>
      </c>
      <c r="C323" s="28" t="s">
        <v>83</v>
      </c>
      <c r="D323" s="28" t="s">
        <v>19</v>
      </c>
      <c r="E323" s="28" t="s">
        <v>2986</v>
      </c>
      <c r="F323" s="28" t="s">
        <v>58</v>
      </c>
      <c r="G323" s="28" t="s">
        <v>97</v>
      </c>
      <c r="H323" s="28" t="s">
        <v>938</v>
      </c>
      <c r="I323" s="54" t="s">
        <v>939</v>
      </c>
      <c r="J323" s="28" t="s">
        <v>940</v>
      </c>
      <c r="K323" s="28" t="s">
        <v>941</v>
      </c>
    </row>
    <row r="324" spans="1:11" ht="39.6">
      <c r="A324" s="28">
        <v>323</v>
      </c>
      <c r="B324" s="48" t="s">
        <v>942</v>
      </c>
      <c r="C324" s="28" t="s">
        <v>83</v>
      </c>
      <c r="D324" s="28" t="s">
        <v>19</v>
      </c>
      <c r="E324" s="28" t="s">
        <v>943</v>
      </c>
      <c r="F324" s="28" t="s">
        <v>176</v>
      </c>
      <c r="G324" s="28" t="s">
        <v>97</v>
      </c>
      <c r="H324" s="28" t="s">
        <v>944</v>
      </c>
      <c r="I324" s="54" t="s">
        <v>945</v>
      </c>
      <c r="J324" s="28" t="s">
        <v>946</v>
      </c>
      <c r="K324" s="28" t="s">
        <v>947</v>
      </c>
    </row>
    <row r="325" spans="1:11" ht="66">
      <c r="A325" s="28">
        <v>324</v>
      </c>
      <c r="B325" s="48" t="s">
        <v>948</v>
      </c>
      <c r="C325" s="28" t="s">
        <v>83</v>
      </c>
      <c r="D325" s="28" t="s">
        <v>19</v>
      </c>
      <c r="E325" s="28" t="s">
        <v>2987</v>
      </c>
      <c r="F325" s="28" t="s">
        <v>83</v>
      </c>
      <c r="G325" s="28" t="s">
        <v>97</v>
      </c>
      <c r="H325" s="28" t="s">
        <v>2988</v>
      </c>
      <c r="I325" s="54">
        <v>45566</v>
      </c>
      <c r="J325" s="28" t="s">
        <v>949</v>
      </c>
      <c r="K325" s="28" t="s">
        <v>950</v>
      </c>
    </row>
    <row r="326" spans="1:11" ht="52.8">
      <c r="A326" s="28">
        <v>325</v>
      </c>
      <c r="B326" s="48" t="s">
        <v>948</v>
      </c>
      <c r="C326" s="28" t="s">
        <v>83</v>
      </c>
      <c r="D326" s="28" t="s">
        <v>19</v>
      </c>
      <c r="E326" s="28" t="s">
        <v>2987</v>
      </c>
      <c r="F326" s="28" t="s">
        <v>83</v>
      </c>
      <c r="G326" s="28" t="s">
        <v>97</v>
      </c>
      <c r="H326" s="28" t="s">
        <v>2989</v>
      </c>
      <c r="I326" s="54">
        <v>45566</v>
      </c>
      <c r="J326" s="28" t="s">
        <v>949</v>
      </c>
      <c r="K326" s="28" t="s">
        <v>951</v>
      </c>
    </row>
    <row r="327" spans="1:11" ht="39.6">
      <c r="A327" s="28">
        <v>326</v>
      </c>
      <c r="B327" s="48" t="s">
        <v>948</v>
      </c>
      <c r="C327" s="28" t="s">
        <v>83</v>
      </c>
      <c r="D327" s="28" t="s">
        <v>19</v>
      </c>
      <c r="E327" s="28" t="s">
        <v>2990</v>
      </c>
      <c r="F327" s="28" t="s">
        <v>83</v>
      </c>
      <c r="G327" s="28" t="s">
        <v>83</v>
      </c>
      <c r="H327" s="28" t="s">
        <v>2991</v>
      </c>
      <c r="I327" s="54">
        <v>45597</v>
      </c>
      <c r="J327" s="28" t="s">
        <v>952</v>
      </c>
      <c r="K327" s="28" t="s">
        <v>953</v>
      </c>
    </row>
    <row r="328" spans="1:11" ht="52.8">
      <c r="A328" s="28">
        <v>327</v>
      </c>
      <c r="B328" s="48" t="s">
        <v>948</v>
      </c>
      <c r="C328" s="28" t="s">
        <v>83</v>
      </c>
      <c r="D328" s="28" t="s">
        <v>19</v>
      </c>
      <c r="E328" s="28" t="s">
        <v>2990</v>
      </c>
      <c r="F328" s="28" t="s">
        <v>83</v>
      </c>
      <c r="G328" s="28" t="s">
        <v>83</v>
      </c>
      <c r="H328" s="28" t="s">
        <v>2992</v>
      </c>
      <c r="I328" s="54">
        <v>45597</v>
      </c>
      <c r="J328" s="28" t="s">
        <v>952</v>
      </c>
      <c r="K328" s="28" t="s">
        <v>954</v>
      </c>
    </row>
    <row r="329" spans="1:11" ht="66">
      <c r="A329" s="28">
        <v>328</v>
      </c>
      <c r="B329" s="48" t="s">
        <v>930</v>
      </c>
      <c r="C329" s="28" t="s">
        <v>83</v>
      </c>
      <c r="D329" s="28" t="s">
        <v>19</v>
      </c>
      <c r="E329" s="28" t="s">
        <v>2642</v>
      </c>
      <c r="F329" s="28" t="s">
        <v>55</v>
      </c>
      <c r="G329" s="28" t="s">
        <v>97</v>
      </c>
      <c r="H329" s="28" t="s">
        <v>2993</v>
      </c>
      <c r="I329" s="54" t="s">
        <v>3036</v>
      </c>
      <c r="J329" s="28" t="s">
        <v>935</v>
      </c>
      <c r="K329" s="28" t="s">
        <v>2643</v>
      </c>
    </row>
    <row r="330" spans="1:11" ht="39.6">
      <c r="A330" s="28">
        <v>329</v>
      </c>
      <c r="B330" s="48" t="s">
        <v>955</v>
      </c>
      <c r="C330" s="28" t="s">
        <v>83</v>
      </c>
      <c r="D330" s="28" t="s">
        <v>19</v>
      </c>
      <c r="E330" s="28" t="s">
        <v>2994</v>
      </c>
      <c r="F330" s="28" t="s">
        <v>83</v>
      </c>
      <c r="G330" s="28" t="s">
        <v>83</v>
      </c>
      <c r="H330" s="28" t="s">
        <v>2991</v>
      </c>
      <c r="I330" s="54">
        <v>45597</v>
      </c>
      <c r="J330" s="28" t="s">
        <v>952</v>
      </c>
      <c r="K330" s="28" t="s">
        <v>953</v>
      </c>
    </row>
    <row r="331" spans="1:11" ht="39.6">
      <c r="A331" s="28">
        <v>330</v>
      </c>
      <c r="B331" s="48" t="s">
        <v>937</v>
      </c>
      <c r="C331" s="28" t="s">
        <v>83</v>
      </c>
      <c r="D331" s="28" t="s">
        <v>19</v>
      </c>
      <c r="E331" s="28" t="s">
        <v>2995</v>
      </c>
      <c r="F331" s="28" t="s">
        <v>176</v>
      </c>
      <c r="G331" s="28" t="s">
        <v>97</v>
      </c>
      <c r="H331" s="28" t="s">
        <v>2996</v>
      </c>
      <c r="I331" s="54">
        <v>41974</v>
      </c>
      <c r="J331" s="28" t="s">
        <v>956</v>
      </c>
      <c r="K331" s="28" t="s">
        <v>957</v>
      </c>
    </row>
    <row r="332" spans="1:11" ht="39.6">
      <c r="A332" s="28">
        <v>331</v>
      </c>
      <c r="B332" s="48" t="s">
        <v>937</v>
      </c>
      <c r="C332" s="28" t="s">
        <v>83</v>
      </c>
      <c r="D332" s="28" t="s">
        <v>19</v>
      </c>
      <c r="E332" s="28" t="s">
        <v>958</v>
      </c>
      <c r="F332" s="28" t="s">
        <v>58</v>
      </c>
      <c r="G332" s="28" t="s">
        <v>97</v>
      </c>
      <c r="H332" s="28" t="s">
        <v>959</v>
      </c>
      <c r="I332" s="54" t="s">
        <v>3035</v>
      </c>
      <c r="J332" s="28" t="s">
        <v>960</v>
      </c>
      <c r="K332" s="28" t="s">
        <v>961</v>
      </c>
    </row>
    <row r="333" spans="1:11" ht="52.8">
      <c r="A333" s="28">
        <v>332</v>
      </c>
      <c r="B333" s="48" t="s">
        <v>933</v>
      </c>
      <c r="C333" s="28" t="s">
        <v>83</v>
      </c>
      <c r="D333" s="28" t="s">
        <v>19</v>
      </c>
      <c r="E333" s="28" t="s">
        <v>962</v>
      </c>
      <c r="F333" s="28" t="s">
        <v>55</v>
      </c>
      <c r="G333" s="28" t="s">
        <v>83</v>
      </c>
      <c r="H333" s="28" t="s">
        <v>2997</v>
      </c>
      <c r="I333" s="54" t="s">
        <v>3034</v>
      </c>
      <c r="J333" s="28" t="s">
        <v>963</v>
      </c>
      <c r="K333" s="28" t="s">
        <v>964</v>
      </c>
    </row>
    <row r="334" spans="1:11" ht="52.8">
      <c r="A334" s="28">
        <v>333</v>
      </c>
      <c r="B334" s="48" t="s">
        <v>948</v>
      </c>
      <c r="C334" s="28" t="s">
        <v>83</v>
      </c>
      <c r="D334" s="28" t="s">
        <v>19</v>
      </c>
      <c r="E334" s="28" t="s">
        <v>965</v>
      </c>
      <c r="F334" s="28" t="s">
        <v>55</v>
      </c>
      <c r="G334" s="28" t="s">
        <v>83</v>
      </c>
      <c r="H334" s="28" t="s">
        <v>2998</v>
      </c>
      <c r="I334" s="54">
        <v>45689</v>
      </c>
      <c r="J334" s="28" t="s">
        <v>966</v>
      </c>
      <c r="K334" s="28" t="s">
        <v>2999</v>
      </c>
    </row>
    <row r="335" spans="1:11" ht="39.6">
      <c r="A335" s="28">
        <v>334</v>
      </c>
      <c r="B335" s="48" t="s">
        <v>902</v>
      </c>
      <c r="C335" s="28" t="s">
        <v>83</v>
      </c>
      <c r="D335" s="28" t="s">
        <v>895</v>
      </c>
      <c r="E335" s="28" t="s">
        <v>967</v>
      </c>
      <c r="F335" s="28" t="s">
        <v>83</v>
      </c>
      <c r="G335" s="28" t="s">
        <v>97</v>
      </c>
      <c r="H335" s="28" t="s">
        <v>968</v>
      </c>
      <c r="I335" s="54">
        <v>45689</v>
      </c>
      <c r="J335" s="28" t="s">
        <v>969</v>
      </c>
      <c r="K335" s="28" t="s">
        <v>970</v>
      </c>
    </row>
    <row r="336" spans="1:11" ht="52.8">
      <c r="A336" s="28">
        <v>335</v>
      </c>
      <c r="B336" s="48" t="s">
        <v>3000</v>
      </c>
      <c r="C336" s="28" t="s">
        <v>972</v>
      </c>
      <c r="D336" s="28" t="s">
        <v>19</v>
      </c>
      <c r="E336" s="28" t="s">
        <v>3001</v>
      </c>
      <c r="F336" s="28" t="s">
        <v>82</v>
      </c>
      <c r="G336" s="28" t="s">
        <v>97</v>
      </c>
      <c r="H336" s="28" t="s">
        <v>3002</v>
      </c>
      <c r="I336" s="54">
        <v>45809</v>
      </c>
      <c r="J336" s="28" t="s">
        <v>973</v>
      </c>
      <c r="K336" s="28" t="s">
        <v>974</v>
      </c>
    </row>
    <row r="337" spans="1:11" ht="52.8">
      <c r="A337" s="28">
        <v>336</v>
      </c>
      <c r="B337" s="48" t="s">
        <v>948</v>
      </c>
      <c r="C337" s="28" t="s">
        <v>83</v>
      </c>
      <c r="D337" s="28" t="s">
        <v>19</v>
      </c>
      <c r="E337" s="28" t="s">
        <v>975</v>
      </c>
      <c r="F337" s="28" t="s">
        <v>55</v>
      </c>
      <c r="G337" s="28" t="s">
        <v>97</v>
      </c>
      <c r="H337" s="28" t="s">
        <v>976</v>
      </c>
      <c r="I337" s="54">
        <v>45809</v>
      </c>
      <c r="J337" s="28">
        <v>2540584</v>
      </c>
      <c r="K337" s="28" t="s">
        <v>977</v>
      </c>
    </row>
    <row r="338" spans="1:11" ht="79.2">
      <c r="A338" s="28">
        <v>337</v>
      </c>
      <c r="B338" s="48" t="s">
        <v>978</v>
      </c>
      <c r="C338" s="28" t="s">
        <v>83</v>
      </c>
      <c r="D338" s="28" t="s">
        <v>895</v>
      </c>
      <c r="E338" s="28" t="s">
        <v>979</v>
      </c>
      <c r="F338" s="28" t="s">
        <v>926</v>
      </c>
      <c r="G338" s="28" t="s">
        <v>97</v>
      </c>
      <c r="H338" s="28" t="s">
        <v>980</v>
      </c>
      <c r="I338" s="54" t="s">
        <v>981</v>
      </c>
      <c r="J338" s="28" t="s">
        <v>982</v>
      </c>
      <c r="K338" s="28" t="s">
        <v>983</v>
      </c>
    </row>
    <row r="339" spans="1:11" ht="52.8">
      <c r="A339" s="28">
        <v>338</v>
      </c>
      <c r="B339" s="48" t="s">
        <v>3003</v>
      </c>
      <c r="C339" s="28" t="s">
        <v>83</v>
      </c>
      <c r="D339" s="28" t="s">
        <v>14</v>
      </c>
      <c r="E339" s="28" t="s">
        <v>220</v>
      </c>
      <c r="F339" s="28" t="s">
        <v>83</v>
      </c>
      <c r="G339" s="28" t="s">
        <v>83</v>
      </c>
      <c r="H339" s="28" t="s">
        <v>2704</v>
      </c>
      <c r="I339" s="54" t="s">
        <v>2644</v>
      </c>
      <c r="J339" s="28" t="s">
        <v>221</v>
      </c>
      <c r="K339" s="28" t="s">
        <v>984</v>
      </c>
    </row>
    <row r="340" spans="1:11" ht="26.4">
      <c r="A340" s="28">
        <v>339</v>
      </c>
      <c r="B340" s="48" t="s">
        <v>3004</v>
      </c>
      <c r="C340" s="28" t="s">
        <v>83</v>
      </c>
      <c r="D340" s="28" t="s">
        <v>14</v>
      </c>
      <c r="E340" s="28" t="s">
        <v>851</v>
      </c>
      <c r="F340" s="28" t="s">
        <v>83</v>
      </c>
      <c r="G340" s="28" t="s">
        <v>83</v>
      </c>
      <c r="H340" s="28" t="s">
        <v>852</v>
      </c>
      <c r="I340" s="54" t="s">
        <v>443</v>
      </c>
      <c r="J340" s="28" t="s">
        <v>83</v>
      </c>
      <c r="K340" s="28"/>
    </row>
    <row r="341" spans="1:11" ht="39.6">
      <c r="A341" s="28">
        <v>340</v>
      </c>
      <c r="B341" s="48" t="s">
        <v>985</v>
      </c>
      <c r="C341" s="28" t="s">
        <v>83</v>
      </c>
      <c r="D341" s="28" t="s">
        <v>14</v>
      </c>
      <c r="E341" s="28" t="s">
        <v>986</v>
      </c>
      <c r="F341" s="28" t="s">
        <v>83</v>
      </c>
      <c r="G341" s="28" t="s">
        <v>83</v>
      </c>
      <c r="H341" s="28" t="s">
        <v>987</v>
      </c>
      <c r="I341" s="54" t="s">
        <v>988</v>
      </c>
      <c r="J341" s="28" t="s">
        <v>83</v>
      </c>
      <c r="K341" s="28" t="s">
        <v>989</v>
      </c>
    </row>
    <row r="342" spans="1:11" ht="52.8">
      <c r="A342" s="28">
        <v>341</v>
      </c>
      <c r="B342" s="48" t="s">
        <v>739</v>
      </c>
      <c r="C342" s="28" t="s">
        <v>83</v>
      </c>
      <c r="D342" s="28" t="s">
        <v>21</v>
      </c>
      <c r="E342" s="28" t="s">
        <v>2913</v>
      </c>
      <c r="F342" s="28" t="s">
        <v>83</v>
      </c>
      <c r="G342" s="28" t="s">
        <v>83</v>
      </c>
      <c r="H342" s="28" t="s">
        <v>3005</v>
      </c>
      <c r="I342" s="54" t="s">
        <v>3033</v>
      </c>
      <c r="J342" s="28" t="s">
        <v>83</v>
      </c>
      <c r="K342" s="28" t="s">
        <v>990</v>
      </c>
    </row>
    <row r="343" spans="1:11" ht="41.25" customHeight="1"/>
    <row r="344" spans="1:11" ht="41.25" customHeight="1"/>
    <row r="345" spans="1:11" ht="41.25" customHeight="1"/>
    <row r="346" spans="1:11" ht="41.25" customHeight="1"/>
    <row r="347" spans="1:11" ht="41.25" customHeight="1"/>
    <row r="348" spans="1:11" ht="41.25" customHeight="1"/>
    <row r="349" spans="1:11" ht="41.25" customHeight="1"/>
    <row r="350" spans="1:11" ht="41.25" customHeight="1"/>
    <row r="351" spans="1:11" ht="41.25" customHeight="1"/>
    <row r="352" spans="1:11" ht="41.25" customHeight="1"/>
    <row r="353" ht="41.25" customHeight="1"/>
    <row r="354" ht="41.25" customHeight="1"/>
    <row r="355" ht="41.25" customHeight="1"/>
    <row r="356" ht="41.25" customHeight="1"/>
    <row r="357" ht="41.25" customHeight="1"/>
    <row r="358" ht="41.25" customHeight="1"/>
    <row r="359" ht="41.25" customHeight="1"/>
    <row r="360" ht="41.25" customHeight="1"/>
    <row r="361" ht="41.25" customHeight="1"/>
    <row r="362" ht="41.25" customHeight="1"/>
    <row r="363" ht="41.25" customHeight="1"/>
    <row r="364" ht="41.25" customHeight="1"/>
    <row r="365" ht="41.25" customHeight="1"/>
    <row r="366" ht="41.25" customHeight="1"/>
    <row r="367" ht="41.25" customHeight="1"/>
    <row r="368" ht="41.25" customHeight="1"/>
    <row r="369" ht="41.25" customHeight="1"/>
    <row r="370" ht="41.25" customHeight="1"/>
    <row r="371" ht="41.25" customHeight="1"/>
    <row r="372" ht="41.25" customHeight="1"/>
    <row r="373" ht="41.25" customHeight="1"/>
    <row r="374" ht="41.25" customHeight="1"/>
    <row r="375" ht="41.25" customHeight="1"/>
    <row r="376" ht="41.25" customHeight="1"/>
    <row r="377" ht="41.25" customHeight="1"/>
    <row r="378" ht="41.25" customHeight="1"/>
    <row r="379" ht="41.25" customHeight="1"/>
    <row r="380" ht="41.25" customHeight="1"/>
    <row r="381" ht="41.25" customHeight="1"/>
    <row r="382" ht="41.25" customHeight="1"/>
    <row r="383" ht="41.25" customHeight="1"/>
    <row r="384" ht="41.25" customHeight="1"/>
    <row r="385" ht="41.25" customHeight="1"/>
    <row r="386" ht="41.25" customHeight="1"/>
    <row r="387" ht="41.25" customHeight="1"/>
    <row r="388" ht="41.25" customHeight="1"/>
    <row r="389" ht="41.25" customHeight="1"/>
    <row r="390" ht="41.25" customHeight="1"/>
    <row r="391" ht="41.25" customHeight="1"/>
    <row r="392" ht="41.25" customHeight="1"/>
    <row r="393" ht="41.25" customHeight="1"/>
    <row r="394" ht="41.25" customHeight="1"/>
    <row r="395" ht="41.25" customHeight="1"/>
    <row r="396" ht="41.25" customHeight="1"/>
    <row r="397" ht="41.25" customHeight="1"/>
    <row r="398" ht="41.25" customHeight="1"/>
    <row r="399" ht="41.25" customHeight="1"/>
    <row r="400" ht="41.25" customHeight="1"/>
    <row r="401" ht="41.25" customHeight="1"/>
    <row r="402" ht="41.25" customHeight="1"/>
    <row r="403" ht="41.25" customHeight="1"/>
    <row r="404" ht="41.25" customHeight="1"/>
    <row r="405" ht="41.25" customHeight="1"/>
    <row r="406" ht="41.25" customHeight="1"/>
    <row r="407" ht="41.25" customHeight="1"/>
    <row r="408" ht="41.25" customHeight="1"/>
    <row r="409" ht="41.25" customHeight="1"/>
    <row r="410" ht="41.25" customHeight="1"/>
    <row r="411" ht="41.25" customHeight="1"/>
    <row r="412" ht="41.25" customHeight="1"/>
    <row r="413" ht="41.25" customHeight="1"/>
    <row r="414" ht="41.25" customHeight="1"/>
    <row r="415" ht="41.25" customHeight="1"/>
    <row r="416" ht="41.25" customHeight="1"/>
    <row r="417" ht="41.25" customHeight="1"/>
    <row r="418" ht="41.25" customHeight="1"/>
    <row r="419" ht="41.25" customHeight="1"/>
    <row r="420" ht="41.25" customHeight="1"/>
    <row r="421" ht="41.25" customHeight="1"/>
    <row r="422" ht="41.25" customHeight="1"/>
    <row r="423" ht="41.25" customHeight="1"/>
    <row r="424" ht="41.25" customHeight="1"/>
    <row r="425" ht="41.25" customHeight="1"/>
    <row r="426" ht="41.25" customHeight="1"/>
    <row r="427" ht="41.25" customHeight="1"/>
    <row r="428" ht="41.25" customHeight="1"/>
    <row r="429" ht="41.25" customHeight="1"/>
    <row r="430" ht="41.25" customHeight="1"/>
    <row r="431" ht="41.25" customHeight="1"/>
    <row r="432" ht="41.25" customHeight="1"/>
    <row r="433" ht="41.25" customHeight="1"/>
    <row r="434" ht="41.25" customHeight="1"/>
    <row r="435" ht="41.25" customHeight="1"/>
    <row r="436" ht="41.25" customHeight="1"/>
    <row r="437" ht="41.25" customHeight="1"/>
    <row r="438" ht="41.25" customHeight="1"/>
    <row r="439" ht="41.25" customHeight="1"/>
    <row r="440" ht="41.25" customHeight="1"/>
    <row r="441" ht="41.25" customHeight="1"/>
    <row r="442" ht="41.25" customHeight="1"/>
    <row r="443" ht="41.25" customHeight="1"/>
    <row r="444" ht="41.25" customHeight="1"/>
    <row r="445" ht="41.25" customHeight="1"/>
    <row r="446" ht="41.25" customHeight="1"/>
    <row r="447" ht="41.25" customHeight="1"/>
    <row r="448" ht="41.25" customHeight="1"/>
    <row r="449" ht="41.25" customHeight="1"/>
    <row r="450" ht="41.25" customHeight="1"/>
    <row r="451" ht="41.25" customHeight="1"/>
    <row r="452" ht="41.25" customHeight="1"/>
    <row r="453" ht="41.25" customHeight="1"/>
    <row r="454" ht="41.25" customHeight="1"/>
    <row r="455" ht="41.25" customHeight="1"/>
    <row r="456" ht="41.25" customHeight="1"/>
    <row r="457" ht="41.25" customHeight="1"/>
    <row r="458" ht="41.25" customHeight="1"/>
    <row r="459" ht="41.25" customHeight="1"/>
    <row r="460" ht="41.25" customHeight="1"/>
    <row r="461" ht="41.25" customHeight="1"/>
    <row r="462" ht="41.25" customHeight="1"/>
    <row r="463" ht="41.25" customHeight="1"/>
    <row r="464" ht="41.25" customHeight="1"/>
    <row r="465" ht="41.25" customHeight="1"/>
    <row r="466" ht="41.25" customHeight="1"/>
    <row r="467" ht="41.25" customHeight="1"/>
    <row r="468" ht="41.25" customHeight="1"/>
    <row r="469" ht="41.25" customHeight="1"/>
    <row r="470" ht="41.25" customHeight="1"/>
    <row r="471" ht="41.25" customHeight="1"/>
    <row r="472" ht="41.25" customHeight="1"/>
    <row r="473" ht="41.25" customHeight="1"/>
    <row r="474" ht="41.25" customHeight="1"/>
    <row r="475" ht="41.25" customHeight="1"/>
    <row r="476" ht="41.25" customHeight="1"/>
    <row r="477" ht="41.25" customHeight="1"/>
    <row r="478" ht="41.25" customHeight="1"/>
    <row r="479" ht="41.25" customHeight="1"/>
    <row r="480" ht="41.25" customHeight="1"/>
    <row r="481" ht="41.25" customHeight="1"/>
    <row r="482" ht="41.25" customHeight="1"/>
    <row r="483" ht="41.25" customHeight="1"/>
    <row r="484" ht="41.25" customHeight="1"/>
    <row r="485" ht="41.25" customHeight="1"/>
    <row r="486" ht="41.25" customHeight="1"/>
    <row r="487" ht="41.25" customHeight="1"/>
    <row r="488" ht="41.25" customHeight="1"/>
    <row r="489" ht="41.25" customHeight="1"/>
    <row r="490" ht="41.25" customHeight="1"/>
    <row r="491" ht="41.25" customHeight="1"/>
    <row r="492" ht="41.25" customHeight="1"/>
    <row r="493" ht="41.25" customHeight="1"/>
    <row r="494" ht="41.25" customHeight="1"/>
    <row r="495" ht="41.25" customHeight="1"/>
    <row r="496" ht="41.25" customHeight="1"/>
    <row r="497" ht="41.25" customHeight="1"/>
    <row r="498" ht="41.25" customHeight="1"/>
    <row r="499" ht="41.25" customHeight="1"/>
    <row r="500" ht="41.25" customHeight="1"/>
    <row r="501" ht="41.25" customHeight="1"/>
    <row r="502" ht="41.25" customHeight="1"/>
    <row r="503" ht="41.25" customHeight="1"/>
    <row r="504" ht="41.25" customHeight="1"/>
    <row r="505" ht="41.25" customHeight="1"/>
    <row r="506" ht="41.25" customHeight="1"/>
    <row r="507" ht="41.25" customHeight="1"/>
    <row r="508" ht="41.25" customHeight="1"/>
    <row r="509" ht="41.25" customHeight="1"/>
    <row r="510" ht="41.25" customHeight="1"/>
    <row r="511" ht="41.25" customHeight="1"/>
    <row r="512" ht="41.25" customHeight="1"/>
    <row r="513" ht="41.25" customHeight="1"/>
    <row r="514" ht="41.25" customHeight="1"/>
    <row r="515" ht="41.25" customHeight="1"/>
    <row r="516" ht="41.25" customHeight="1"/>
    <row r="517" ht="41.25" customHeight="1"/>
    <row r="518" ht="41.25" customHeight="1"/>
    <row r="519" ht="41.25" customHeight="1"/>
    <row r="520" ht="41.25" customHeight="1"/>
    <row r="521" ht="41.25" customHeight="1"/>
    <row r="522" ht="41.25" customHeight="1"/>
    <row r="523" ht="41.25" customHeight="1"/>
    <row r="524" ht="41.25" customHeight="1"/>
    <row r="525" ht="41.25" customHeight="1"/>
    <row r="526" ht="41.25" customHeight="1"/>
    <row r="527" ht="41.25" customHeight="1"/>
    <row r="528" ht="41.25" customHeight="1"/>
    <row r="529" ht="41.25" customHeight="1"/>
    <row r="530" ht="41.25" customHeight="1"/>
    <row r="531" ht="41.25" customHeight="1"/>
    <row r="532" ht="41.25" customHeight="1"/>
    <row r="533" ht="41.25" customHeight="1"/>
    <row r="534" ht="41.25" customHeight="1"/>
    <row r="535" ht="41.25" customHeight="1"/>
    <row r="536" ht="41.25" customHeight="1"/>
    <row r="537" ht="41.25" customHeight="1"/>
    <row r="538" ht="41.25" customHeight="1"/>
    <row r="539" ht="41.25" customHeight="1"/>
    <row r="540" ht="41.25" customHeight="1"/>
    <row r="541" ht="41.25" customHeight="1"/>
    <row r="542" ht="41.25" customHeight="1"/>
    <row r="543" ht="41.25" customHeight="1"/>
    <row r="544" ht="41.25" customHeight="1"/>
    <row r="545" ht="41.25" customHeight="1"/>
    <row r="546" ht="41.25" customHeight="1"/>
    <row r="547" ht="41.25" customHeight="1"/>
    <row r="548" ht="41.25" customHeight="1"/>
    <row r="549" ht="41.25" customHeight="1"/>
    <row r="550" ht="41.25" customHeight="1"/>
    <row r="551" ht="41.25" customHeight="1"/>
    <row r="552" ht="41.25" customHeight="1"/>
    <row r="553" ht="41.25" customHeight="1"/>
    <row r="554" ht="41.25" customHeight="1"/>
    <row r="555" ht="41.25" customHeight="1"/>
    <row r="556" ht="41.25" customHeight="1"/>
    <row r="557" ht="41.25" customHeight="1"/>
    <row r="558" ht="41.25" customHeight="1"/>
    <row r="559" ht="41.25" customHeight="1"/>
    <row r="560" ht="41.25" customHeight="1"/>
    <row r="561" ht="41.25" customHeight="1"/>
    <row r="562" ht="41.25" customHeight="1"/>
    <row r="563" ht="41.25" customHeight="1"/>
    <row r="564" ht="41.25" customHeight="1"/>
    <row r="565" ht="41.25" customHeight="1"/>
    <row r="566" ht="41.25" customHeight="1"/>
    <row r="567" ht="41.25" customHeight="1"/>
    <row r="568" ht="41.25" customHeight="1"/>
    <row r="569" ht="41.25" customHeight="1"/>
    <row r="570" ht="41.25" customHeight="1"/>
    <row r="571" ht="41.25" customHeight="1"/>
    <row r="572" ht="41.25" customHeight="1"/>
    <row r="573" ht="41.25" customHeight="1"/>
    <row r="574" ht="41.25" customHeight="1"/>
    <row r="575" ht="41.25" customHeight="1"/>
    <row r="576" ht="41.25" customHeight="1"/>
    <row r="577" ht="41.25" customHeight="1"/>
    <row r="578" ht="41.25" customHeight="1"/>
    <row r="579" ht="41.25" customHeight="1"/>
    <row r="580" ht="41.25" customHeight="1"/>
    <row r="581" ht="41.25" customHeight="1"/>
    <row r="582" ht="41.25" customHeight="1"/>
    <row r="583" ht="41.25" customHeight="1"/>
    <row r="584" ht="41.25" customHeight="1"/>
    <row r="585" ht="41.25" customHeight="1"/>
    <row r="586" ht="41.25" customHeight="1"/>
    <row r="587" ht="41.25" customHeight="1"/>
    <row r="588" ht="41.25" customHeight="1"/>
    <row r="589" ht="41.25" customHeight="1"/>
    <row r="590" ht="41.25" customHeight="1"/>
    <row r="591" ht="41.25" customHeight="1"/>
    <row r="592" ht="41.25" customHeight="1"/>
    <row r="593" ht="41.25" customHeight="1"/>
    <row r="594" ht="41.25" customHeight="1"/>
    <row r="595" ht="41.25" customHeight="1"/>
    <row r="596" ht="41.25" customHeight="1"/>
    <row r="597" ht="41.25" customHeight="1"/>
    <row r="598" ht="41.25" customHeight="1"/>
    <row r="599" ht="41.25" customHeight="1"/>
    <row r="600" ht="41.25" customHeight="1"/>
    <row r="601" ht="41.25" customHeight="1"/>
    <row r="602" ht="41.25" customHeight="1"/>
    <row r="603" ht="41.25" customHeight="1"/>
    <row r="604" ht="41.25" customHeight="1"/>
    <row r="605" ht="41.25" customHeight="1"/>
    <row r="606" ht="41.25" customHeight="1"/>
    <row r="607" ht="41.25" customHeight="1"/>
    <row r="608" ht="41.25" customHeight="1"/>
    <row r="609" ht="41.25" customHeight="1"/>
    <row r="610" ht="41.25" customHeight="1"/>
    <row r="611" ht="41.25" customHeight="1"/>
    <row r="612" ht="41.25" customHeight="1"/>
    <row r="613" ht="41.25" customHeight="1"/>
    <row r="614" ht="41.25" customHeight="1"/>
    <row r="615" ht="41.25" customHeight="1"/>
    <row r="616" ht="41.25" customHeight="1"/>
    <row r="617" ht="41.25" customHeight="1"/>
    <row r="618" ht="41.25" customHeight="1"/>
    <row r="619" ht="41.25" customHeight="1"/>
    <row r="620" ht="41.25" customHeight="1"/>
    <row r="621" ht="41.25" customHeight="1"/>
    <row r="622" ht="41.25" customHeight="1"/>
    <row r="623" ht="41.25" customHeight="1"/>
    <row r="624" ht="41.25" customHeight="1"/>
    <row r="625" ht="41.25" customHeight="1"/>
    <row r="626" ht="41.25" customHeight="1"/>
    <row r="627" ht="41.25" customHeight="1"/>
    <row r="628" ht="41.25" customHeight="1"/>
    <row r="629" ht="41.25" customHeight="1"/>
    <row r="630" ht="41.25" customHeight="1"/>
    <row r="631" ht="41.25" customHeight="1"/>
    <row r="632" ht="41.25" customHeight="1"/>
    <row r="633" ht="41.25" customHeight="1"/>
    <row r="634" ht="41.25" customHeight="1"/>
    <row r="635" ht="41.25" customHeight="1"/>
    <row r="636" ht="41.25" customHeight="1"/>
    <row r="637" ht="41.25" customHeight="1"/>
    <row r="638" ht="41.25" customHeight="1"/>
    <row r="639" ht="41.25" customHeight="1"/>
    <row r="640" ht="41.25" customHeight="1"/>
    <row r="641" ht="41.25" customHeight="1"/>
    <row r="642" ht="41.25" customHeight="1"/>
    <row r="643" ht="41.25" customHeight="1"/>
    <row r="644" ht="41.25" customHeight="1"/>
    <row r="645" ht="41.25" customHeight="1"/>
    <row r="646" ht="41.25" customHeight="1"/>
    <row r="647" ht="41.25" customHeight="1"/>
    <row r="648" ht="41.25" customHeight="1"/>
    <row r="649" ht="41.25" customHeight="1"/>
    <row r="650" ht="41.25" customHeight="1"/>
    <row r="651" ht="41.25" customHeight="1"/>
    <row r="652" ht="41.25" customHeight="1"/>
    <row r="653" ht="41.25" customHeight="1"/>
    <row r="654" ht="41.25" customHeight="1"/>
    <row r="655" ht="41.25" customHeight="1"/>
    <row r="656" ht="41.25" customHeight="1"/>
    <row r="657" ht="41.25" customHeight="1"/>
    <row r="658" ht="41.25" customHeight="1"/>
    <row r="659" ht="41.25" customHeight="1"/>
    <row r="660" ht="41.25" customHeight="1"/>
    <row r="661" ht="41.25" customHeight="1"/>
    <row r="662" ht="41.25" customHeight="1"/>
    <row r="663" ht="41.25" customHeight="1"/>
    <row r="664" ht="41.25" customHeight="1"/>
    <row r="665" ht="41.25" customHeight="1"/>
    <row r="666" ht="41.25" customHeight="1"/>
    <row r="667" ht="41.25" customHeight="1"/>
    <row r="668" ht="41.25" customHeight="1"/>
    <row r="669" ht="41.25" customHeight="1"/>
    <row r="670" ht="41.25" customHeight="1"/>
    <row r="671" ht="41.25" customHeight="1"/>
    <row r="672" ht="41.25" customHeight="1"/>
    <row r="673" ht="41.25" customHeight="1"/>
    <row r="674" ht="41.25" customHeight="1"/>
    <row r="675" ht="41.25" customHeight="1"/>
    <row r="676" ht="41.25" customHeight="1"/>
    <row r="677" ht="41.25" customHeight="1"/>
    <row r="678" ht="41.25" customHeight="1"/>
    <row r="679" ht="41.25" customHeight="1"/>
    <row r="680" ht="41.25" customHeight="1"/>
    <row r="681" ht="41.25" customHeight="1"/>
    <row r="682" ht="41.25" customHeight="1"/>
    <row r="683" ht="41.25" customHeight="1"/>
    <row r="684" ht="41.25" customHeight="1"/>
    <row r="685" ht="41.25" customHeight="1"/>
    <row r="686" ht="41.25" customHeight="1"/>
    <row r="687" ht="41.25" customHeight="1"/>
    <row r="688" ht="41.25" customHeight="1"/>
    <row r="689" ht="41.25" customHeight="1"/>
    <row r="690" ht="41.25" customHeight="1"/>
    <row r="691" ht="41.25" customHeight="1"/>
    <row r="692" ht="41.25" customHeight="1"/>
    <row r="693" ht="41.25" customHeight="1"/>
    <row r="694" ht="41.25" customHeight="1"/>
    <row r="695" ht="41.25" customHeight="1"/>
    <row r="696" ht="41.25" customHeight="1"/>
    <row r="697" ht="41.25" customHeight="1"/>
    <row r="698" ht="41.25" customHeight="1"/>
    <row r="699" ht="41.25" customHeight="1"/>
    <row r="700" ht="41.25" customHeight="1"/>
    <row r="701" ht="41.25" customHeight="1"/>
    <row r="702" ht="41.25" customHeight="1"/>
    <row r="703" ht="41.25" customHeight="1"/>
    <row r="704" ht="41.25" customHeight="1"/>
    <row r="705" ht="41.25" customHeight="1"/>
    <row r="706" ht="41.25" customHeight="1"/>
    <row r="707" ht="41.25" customHeight="1"/>
    <row r="708" ht="41.25" customHeight="1"/>
    <row r="709" ht="41.25" customHeight="1"/>
    <row r="710" ht="41.25" customHeight="1"/>
    <row r="711" ht="41.25" customHeight="1"/>
    <row r="712" ht="41.25" customHeight="1"/>
    <row r="713" ht="41.25" customHeight="1"/>
    <row r="714" ht="41.25" customHeight="1"/>
    <row r="715" ht="41.25" customHeight="1"/>
    <row r="716" ht="41.25" customHeight="1"/>
    <row r="717" ht="41.25" customHeight="1"/>
    <row r="718" ht="41.25" customHeight="1"/>
    <row r="719" ht="41.25" customHeight="1"/>
    <row r="720" ht="41.25" customHeight="1"/>
    <row r="721" ht="41.25" customHeight="1"/>
    <row r="722" ht="41.25" customHeight="1"/>
    <row r="723" ht="41.25" customHeight="1"/>
    <row r="724" ht="41.25" customHeight="1"/>
    <row r="725" ht="41.25" customHeight="1"/>
    <row r="726" ht="41.25" customHeight="1"/>
    <row r="727" ht="41.25" customHeight="1"/>
    <row r="728" ht="41.25" customHeight="1"/>
    <row r="729" ht="41.25" customHeight="1"/>
    <row r="730" ht="41.25" customHeight="1"/>
    <row r="731" ht="41.25" customHeight="1"/>
    <row r="732" ht="41.25" customHeight="1"/>
    <row r="733" ht="41.25" customHeight="1"/>
    <row r="734" ht="41.25" customHeight="1"/>
    <row r="735" ht="41.25" customHeight="1"/>
    <row r="736" ht="41.25" customHeight="1"/>
    <row r="737" ht="41.25" customHeight="1"/>
    <row r="738" ht="41.25" customHeight="1"/>
    <row r="739" ht="41.25" customHeight="1"/>
    <row r="740" ht="41.25" customHeight="1"/>
    <row r="741" ht="41.25" customHeight="1"/>
    <row r="742" ht="41.25" customHeight="1"/>
    <row r="743" ht="41.25" customHeight="1"/>
    <row r="744" ht="41.25" customHeight="1"/>
    <row r="745" ht="41.25" customHeight="1"/>
    <row r="746" ht="41.25" customHeight="1"/>
    <row r="747" ht="41.25" customHeight="1"/>
    <row r="748" ht="41.25" customHeight="1"/>
    <row r="749" ht="41.25" customHeight="1"/>
    <row r="750" ht="41.25" customHeight="1"/>
    <row r="751" ht="41.25" customHeight="1"/>
    <row r="752" ht="41.25" customHeight="1"/>
    <row r="753" ht="41.25" customHeight="1"/>
    <row r="754" ht="41.25" customHeight="1"/>
    <row r="755" ht="41.25" customHeight="1"/>
    <row r="756" ht="41.25" customHeight="1"/>
    <row r="757" ht="41.25" customHeight="1"/>
    <row r="758" ht="41.25" customHeight="1"/>
    <row r="759" ht="41.25" customHeight="1"/>
    <row r="760" ht="41.25" customHeight="1"/>
    <row r="761" ht="41.25" customHeight="1"/>
    <row r="762" ht="41.25" customHeight="1"/>
    <row r="763" ht="41.25" customHeight="1"/>
    <row r="764" ht="41.25" customHeight="1"/>
    <row r="765" ht="41.25" customHeight="1"/>
    <row r="766" ht="41.25" customHeight="1"/>
    <row r="767" ht="41.25" customHeight="1"/>
    <row r="768" ht="41.25" customHeight="1"/>
    <row r="769" ht="41.25" customHeight="1"/>
    <row r="770" ht="41.25" customHeight="1"/>
    <row r="771" ht="41.25" customHeight="1"/>
    <row r="772" ht="41.25" customHeight="1"/>
    <row r="773" ht="41.25" customHeight="1"/>
    <row r="774" ht="41.25" customHeight="1"/>
    <row r="775" ht="41.25" customHeight="1"/>
    <row r="776" ht="41.25" customHeight="1"/>
    <row r="777" ht="41.25" customHeight="1"/>
    <row r="778" ht="41.25" customHeight="1"/>
    <row r="779" ht="41.25" customHeight="1"/>
    <row r="780" ht="41.25" customHeight="1"/>
    <row r="781" ht="41.25" customHeight="1"/>
    <row r="782" ht="41.25" customHeight="1"/>
    <row r="783" ht="41.25" customHeight="1"/>
    <row r="784" ht="41.25" customHeight="1"/>
    <row r="785" ht="41.25" customHeight="1"/>
    <row r="786" ht="41.25" customHeight="1"/>
    <row r="787" ht="41.25" customHeight="1"/>
    <row r="788" ht="41.25" customHeight="1"/>
    <row r="789" ht="41.25" customHeight="1"/>
    <row r="790" ht="41.25" customHeight="1"/>
    <row r="791" ht="41.25" customHeight="1"/>
    <row r="792" ht="41.25" customHeight="1"/>
    <row r="793" ht="41.25" customHeight="1"/>
    <row r="794" ht="41.25" customHeight="1"/>
    <row r="795" ht="41.25" customHeight="1"/>
    <row r="796" ht="41.25" customHeight="1"/>
    <row r="797" ht="41.25" customHeight="1"/>
    <row r="798" ht="41.25" customHeight="1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  <row r="1001" ht="13.2"/>
    <row r="1002" ht="13.2"/>
    <row r="1003" ht="13.2"/>
    <row r="1004" ht="13.2"/>
    <row r="1005" ht="13.2"/>
    <row r="1006" ht="13.2"/>
    <row r="1007" ht="13.2"/>
    <row r="1008" ht="13.2"/>
    <row r="1009" ht="13.2"/>
    <row r="1010" ht="13.2"/>
    <row r="1011" ht="13.2"/>
    <row r="1012" ht="13.2"/>
    <row r="1013" ht="13.2"/>
    <row r="1014" ht="13.2"/>
    <row r="1015" ht="13.2"/>
    <row r="1016" ht="13.2"/>
    <row r="1017" ht="13.2"/>
    <row r="1018" ht="13.2"/>
    <row r="1019" ht="13.2"/>
    <row r="1020" ht="13.2"/>
    <row r="1021" ht="13.2"/>
    <row r="1022" ht="13.2"/>
    <row r="1023" ht="13.2"/>
    <row r="1024" ht="13.2"/>
    <row r="1025" ht="13.2"/>
    <row r="1026" ht="13.2"/>
    <row r="1027" ht="13.2"/>
    <row r="1028" ht="13.2"/>
    <row r="1029" ht="13.2"/>
    <row r="1030" ht="13.2"/>
    <row r="1031" ht="13.2"/>
    <row r="1032" ht="13.2"/>
    <row r="1033" ht="13.2"/>
    <row r="1034" ht="13.2"/>
    <row r="1035" ht="13.2"/>
    <row r="1036" ht="13.2"/>
    <row r="1037" ht="13.2"/>
    <row r="1038" ht="13.2"/>
    <row r="1039" ht="13.2"/>
    <row r="1040" ht="13.2"/>
    <row r="1041" ht="13.2"/>
    <row r="1042" ht="13.2"/>
    <row r="1043" ht="13.2"/>
    <row r="1044" ht="13.2"/>
    <row r="1045" ht="13.2"/>
    <row r="1046" ht="13.2"/>
    <row r="1047" ht="13.2"/>
    <row r="1048" ht="13.2"/>
    <row r="1049" ht="13.2"/>
    <row r="1050" ht="13.2"/>
    <row r="1051" ht="13.2"/>
    <row r="1052" ht="13.2"/>
    <row r="1053" ht="13.2"/>
    <row r="1054" ht="13.2"/>
    <row r="1055" ht="13.2"/>
    <row r="1056" ht="13.2"/>
    <row r="1057" ht="13.2"/>
    <row r="1058" ht="13.2"/>
    <row r="1059" ht="13.2"/>
    <row r="1060" ht="13.2"/>
    <row r="1061" ht="13.2"/>
    <row r="1062" ht="13.2"/>
    <row r="1063" ht="13.2"/>
    <row r="1064" ht="13.2"/>
    <row r="1065" ht="13.2"/>
    <row r="1066" ht="13.2"/>
    <row r="1067" ht="13.2"/>
    <row r="1068" ht="13.2"/>
    <row r="1069" ht="13.2"/>
    <row r="1070" ht="13.2"/>
    <row r="1071" ht="13.2"/>
    <row r="1072" ht="13.2"/>
    <row r="1073" ht="13.2"/>
    <row r="1074" ht="13.2"/>
    <row r="1075" ht="13.2"/>
    <row r="1076" ht="13.2"/>
    <row r="1077" ht="13.2"/>
    <row r="1078" ht="13.2"/>
    <row r="1079" ht="13.2"/>
    <row r="1080" ht="13.2"/>
    <row r="1081" ht="13.2"/>
    <row r="1082" ht="13.2"/>
    <row r="1083" ht="13.2"/>
    <row r="1084" ht="13.2"/>
    <row r="1085" ht="13.2"/>
    <row r="1086" ht="13.2"/>
    <row r="1087" ht="13.2"/>
    <row r="1088" ht="13.2"/>
    <row r="1089" ht="13.2"/>
    <row r="1090" ht="13.2"/>
    <row r="1091" ht="13.2"/>
    <row r="1092" ht="13.2"/>
    <row r="1093" ht="13.2"/>
    <row r="1094" ht="13.2"/>
    <row r="1095" ht="13.2"/>
    <row r="1096" ht="13.2"/>
    <row r="1097" ht="13.2"/>
    <row r="1098" ht="13.2"/>
    <row r="1099" ht="13.2"/>
    <row r="1100" ht="13.2"/>
    <row r="1101" ht="13.2"/>
    <row r="1102" ht="13.2"/>
    <row r="1103" ht="13.2"/>
    <row r="1104" ht="13.2"/>
    <row r="1105" ht="13.2"/>
    <row r="1106" ht="13.2"/>
    <row r="1107" ht="13.2"/>
    <row r="1108" ht="13.2"/>
    <row r="1109" ht="13.2"/>
    <row r="1110" ht="13.2"/>
    <row r="1111" ht="13.2"/>
    <row r="1112" ht="13.2"/>
    <row r="1113" ht="13.2"/>
    <row r="1114" ht="13.2"/>
    <row r="1115" ht="13.2"/>
    <row r="1116" ht="13.2"/>
    <row r="1117" ht="13.2"/>
    <row r="1118" ht="13.2"/>
    <row r="1119" ht="13.2"/>
    <row r="1120" ht="13.2"/>
    <row r="1121" ht="13.2"/>
    <row r="1122" ht="13.2"/>
    <row r="1123" ht="13.2"/>
    <row r="1124" ht="13.2"/>
    <row r="1125" ht="13.2"/>
    <row r="1126" ht="13.2"/>
    <row r="1127" ht="13.2"/>
    <row r="1128" ht="13.2"/>
    <row r="1129" ht="13.2"/>
    <row r="1130" ht="13.2"/>
    <row r="1131" ht="13.2"/>
    <row r="1132" ht="13.2"/>
    <row r="1133" ht="13.2"/>
    <row r="1134" ht="13.2"/>
    <row r="1135" ht="13.2"/>
    <row r="1136" ht="13.2"/>
    <row r="1137" ht="13.2"/>
    <row r="1138" ht="13.2"/>
    <row r="1139" ht="13.2"/>
    <row r="1140" ht="13.2"/>
    <row r="1141" ht="13.2"/>
    <row r="1142" ht="13.2"/>
    <row r="1143" ht="13.2"/>
    <row r="1144" ht="13.2"/>
    <row r="1145" ht="13.2"/>
    <row r="1146" ht="13.2"/>
    <row r="1147" ht="13.2"/>
    <row r="1148" ht="13.2"/>
    <row r="1149" ht="13.2"/>
    <row r="1150" ht="13.2"/>
    <row r="1151" ht="13.2"/>
    <row r="1152" ht="13.2"/>
    <row r="1153" ht="13.2"/>
    <row r="1154" ht="13.2"/>
    <row r="1155" ht="13.2"/>
    <row r="1156" ht="13.2"/>
    <row r="1157" ht="13.2"/>
    <row r="1158" ht="13.2"/>
    <row r="1159" ht="13.2"/>
    <row r="1160" ht="13.2"/>
    <row r="1161" ht="13.2"/>
    <row r="1162" ht="13.2"/>
    <row r="1163" ht="13.2"/>
    <row r="1164" ht="13.2"/>
    <row r="1165" ht="13.2"/>
    <row r="1166" ht="13.2"/>
    <row r="1167" ht="13.2"/>
    <row r="1168" ht="13.2"/>
    <row r="1169" ht="13.2"/>
    <row r="1170" ht="13.2"/>
    <row r="1171" ht="13.2"/>
    <row r="1172" ht="13.2"/>
    <row r="1173" ht="13.2"/>
    <row r="1174" ht="13.2"/>
    <row r="1175" ht="13.2"/>
    <row r="1176" ht="13.2"/>
    <row r="1177" ht="13.2"/>
    <row r="1178" ht="13.2"/>
    <row r="1179" ht="13.2"/>
    <row r="1180" ht="13.2"/>
    <row r="1181" ht="13.2"/>
    <row r="1182" ht="13.2"/>
    <row r="1183" ht="13.2"/>
    <row r="1184" ht="13.2"/>
    <row r="1185" ht="13.2"/>
    <row r="1186" ht="13.2"/>
    <row r="1187" ht="13.2"/>
    <row r="1188" ht="13.2"/>
    <row r="1189" ht="13.2"/>
    <row r="1190" ht="13.2"/>
    <row r="1191" ht="13.2"/>
    <row r="1192" ht="13.2"/>
    <row r="1193" ht="13.2"/>
    <row r="1194" ht="13.2"/>
    <row r="1195" ht="13.2"/>
    <row r="1196" ht="13.2"/>
    <row r="1197" ht="13.2"/>
    <row r="1198" ht="13.2"/>
    <row r="1199" ht="13.2"/>
    <row r="1200" ht="13.2"/>
    <row r="1201" ht="13.2"/>
    <row r="1202" ht="13.2"/>
    <row r="1203" ht="13.2"/>
    <row r="1204" ht="13.2"/>
    <row r="1205" ht="13.2"/>
    <row r="1206" ht="13.2"/>
    <row r="1207" ht="13.2"/>
    <row r="1208" ht="13.2"/>
    <row r="1209" ht="13.2"/>
    <row r="1210" ht="13.2"/>
    <row r="1211" ht="13.2"/>
    <row r="1212" ht="13.2"/>
    <row r="1213" ht="13.2"/>
    <row r="1214" ht="13.2"/>
    <row r="1215" ht="13.2"/>
    <row r="1216" ht="13.2"/>
    <row r="1217" ht="13.2"/>
    <row r="1218" ht="13.2"/>
    <row r="1219" ht="13.2"/>
    <row r="1220" ht="13.2"/>
    <row r="1221" ht="13.2"/>
    <row r="1222" ht="13.2"/>
    <row r="1223" ht="13.2"/>
    <row r="1224" ht="13.2"/>
    <row r="1225" ht="13.2"/>
    <row r="1226" ht="13.2"/>
    <row r="1227" ht="13.2"/>
    <row r="1228" ht="13.2"/>
    <row r="1229" ht="13.2"/>
    <row r="1230" ht="13.2"/>
    <row r="1231" ht="13.2"/>
    <row r="1232" ht="13.2"/>
    <row r="1233" ht="13.2"/>
    <row r="1234" ht="13.2"/>
    <row r="1235" ht="13.2"/>
    <row r="1236" ht="13.2"/>
    <row r="1237" ht="13.2"/>
    <row r="1238" ht="13.2"/>
    <row r="1239" ht="13.2"/>
    <row r="1240" ht="13.2"/>
    <row r="1241" ht="13.2"/>
    <row r="1242" ht="13.2"/>
    <row r="1243" ht="13.2"/>
    <row r="1244" ht="13.2"/>
    <row r="1245" ht="13.2"/>
    <row r="1246" ht="13.2"/>
    <row r="1247" ht="13.2"/>
    <row r="1248" ht="13.2"/>
    <row r="1249" ht="13.2"/>
    <row r="1250" ht="13.2"/>
    <row r="1251" ht="13.2"/>
    <row r="1252" ht="13.2"/>
    <row r="1253" ht="13.2"/>
    <row r="1254" ht="13.2"/>
    <row r="1255" ht="13.2"/>
    <row r="1256" ht="13.2"/>
    <row r="1257" ht="13.2"/>
    <row r="1258" ht="13.2"/>
    <row r="1259" ht="13.2"/>
    <row r="1260" ht="13.2"/>
    <row r="1261" ht="13.2"/>
    <row r="1262" ht="13.2"/>
    <row r="1263" ht="13.2"/>
    <row r="1264" ht="13.2"/>
    <row r="1265" ht="13.2"/>
    <row r="1266" ht="13.2"/>
    <row r="1267" ht="13.2"/>
    <row r="1268" ht="13.2"/>
    <row r="1269" ht="13.2"/>
    <row r="1270" ht="13.2"/>
    <row r="1271" ht="13.2"/>
    <row r="1272" ht="13.2"/>
    <row r="1273" ht="13.2"/>
    <row r="1274" ht="13.2"/>
    <row r="1275" ht="13.2"/>
    <row r="1276" ht="13.2"/>
    <row r="1277" ht="13.2"/>
    <row r="1278" ht="13.2"/>
    <row r="1279" ht="13.2"/>
    <row r="1280" ht="13.2"/>
    <row r="1281" ht="13.2"/>
    <row r="1282" ht="13.2"/>
    <row r="1283" ht="13.2"/>
    <row r="1284" ht="13.2"/>
    <row r="1285" ht="13.2"/>
    <row r="1286" ht="13.2"/>
    <row r="1287" ht="13.2"/>
    <row r="1288" ht="13.2"/>
    <row r="1289" ht="13.2"/>
    <row r="1290" ht="13.2"/>
    <row r="1291" ht="13.2"/>
    <row r="1292" ht="13.2"/>
    <row r="1293" ht="13.2"/>
    <row r="1294" ht="13.2"/>
    <row r="1295" ht="13.2"/>
    <row r="1296" ht="13.2"/>
    <row r="1297" ht="13.2"/>
    <row r="1298" ht="13.2"/>
    <row r="1299" ht="13.2"/>
    <row r="1300" ht="13.2"/>
    <row r="1301" ht="13.2"/>
    <row r="1302" ht="13.2"/>
    <row r="1303" ht="13.2"/>
    <row r="1304" ht="13.2"/>
    <row r="1305" ht="13.2"/>
    <row r="1306" ht="13.2"/>
    <row r="1307" ht="13.2"/>
    <row r="1308" ht="13.2"/>
    <row r="1309" ht="13.2"/>
    <row r="1310" ht="13.2"/>
    <row r="1311" ht="13.2"/>
    <row r="1312" ht="13.2"/>
    <row r="1313" ht="13.2"/>
    <row r="1314" ht="13.2"/>
    <row r="1315" ht="13.2"/>
    <row r="1316" ht="13.2"/>
    <row r="1317" ht="13.2"/>
    <row r="1318" ht="13.2"/>
    <row r="1319" ht="13.2"/>
    <row r="1320" ht="13.2"/>
    <row r="1321" ht="13.2"/>
    <row r="1322" ht="13.2"/>
    <row r="1323" ht="13.2"/>
    <row r="1324" ht="13.2"/>
    <row r="1325" ht="13.2"/>
    <row r="1326" ht="13.2"/>
    <row r="1327" ht="13.2"/>
    <row r="1328" ht="13.2"/>
    <row r="1329" ht="13.2"/>
    <row r="1330" ht="13.2"/>
    <row r="1331" ht="13.2"/>
    <row r="1332" ht="13.2"/>
    <row r="1333" ht="13.2"/>
    <row r="1334" ht="13.2"/>
    <row r="1335" ht="13.2"/>
    <row r="1336" ht="13.2"/>
    <row r="1337" ht="13.2"/>
    <row r="1338" ht="13.2"/>
    <row r="1339" ht="13.2"/>
    <row r="1340" ht="13.2"/>
    <row r="1341" ht="13.2"/>
    <row r="1342" ht="13.2"/>
    <row r="1343" ht="13.2"/>
    <row r="1344" ht="13.2"/>
    <row r="1345" ht="13.2"/>
    <row r="1346" ht="13.2"/>
    <row r="1347" ht="13.2"/>
    <row r="1348" ht="13.2"/>
    <row r="1349" ht="13.2"/>
    <row r="1350" ht="13.2"/>
    <row r="1351" ht="13.2"/>
    <row r="1352" ht="13.2"/>
    <row r="1353" ht="13.2"/>
    <row r="1354" ht="13.2"/>
    <row r="1355" ht="13.2"/>
    <row r="1356" ht="13.2"/>
    <row r="1357" ht="13.2"/>
    <row r="1358" ht="13.2"/>
    <row r="1359" ht="13.2"/>
    <row r="1360" ht="13.2"/>
    <row r="1361" ht="13.2"/>
    <row r="1362" ht="13.2"/>
    <row r="1363" ht="13.2"/>
    <row r="1364" ht="13.2"/>
    <row r="1365" ht="13.2"/>
    <row r="1366" ht="13.2"/>
    <row r="1367" ht="13.2"/>
    <row r="1368" ht="13.2"/>
    <row r="1369" ht="13.2"/>
    <row r="1370" ht="13.2"/>
    <row r="1371" ht="13.2"/>
    <row r="1372" ht="13.2"/>
    <row r="1373" ht="13.2"/>
    <row r="1374" ht="13.2"/>
    <row r="1375" ht="13.2"/>
    <row r="1376" ht="13.2"/>
    <row r="1377" ht="13.2"/>
    <row r="1378" ht="13.2"/>
    <row r="1379" ht="13.2"/>
    <row r="1380" ht="13.2"/>
    <row r="1381" ht="13.2"/>
    <row r="1382" ht="13.2"/>
    <row r="1383" ht="13.2"/>
    <row r="1384" ht="13.2"/>
    <row r="1385" ht="13.2"/>
    <row r="1386" ht="13.2"/>
    <row r="1387" ht="13.2"/>
    <row r="1388" ht="13.2"/>
    <row r="1389" ht="13.2"/>
    <row r="1390" ht="13.2"/>
    <row r="1391" ht="13.2"/>
    <row r="1392" ht="13.2"/>
    <row r="1393" ht="13.2"/>
    <row r="1394" ht="13.2"/>
    <row r="1395" ht="13.2"/>
    <row r="1396" ht="13.2"/>
    <row r="1397" ht="13.2"/>
    <row r="1398" ht="13.2"/>
    <row r="1399" ht="13.2"/>
    <row r="1400" ht="13.2"/>
    <row r="1401" ht="13.2"/>
    <row r="1402" ht="13.2"/>
    <row r="1403" ht="13.2"/>
    <row r="1404" ht="13.2"/>
    <row r="1405" ht="13.2"/>
    <row r="1406" ht="13.2"/>
    <row r="1407" ht="13.2"/>
    <row r="1408" ht="13.2"/>
    <row r="1409" ht="13.2"/>
    <row r="1410" ht="13.2"/>
    <row r="1411" ht="13.2"/>
    <row r="1412" ht="13.2"/>
    <row r="1413" ht="13.2"/>
    <row r="1414" ht="13.2"/>
    <row r="1415" ht="13.2"/>
    <row r="1416" ht="13.2"/>
    <row r="1417" ht="13.2"/>
    <row r="1418" ht="13.2"/>
    <row r="1419" ht="13.2"/>
    <row r="1420" ht="13.2"/>
    <row r="1421" ht="13.2"/>
    <row r="1422" ht="13.2"/>
    <row r="1423" ht="13.2"/>
    <row r="1424" ht="13.2"/>
    <row r="1425" ht="13.2"/>
    <row r="1426" ht="13.2"/>
    <row r="1427" ht="13.2"/>
    <row r="1428" ht="13.2"/>
    <row r="1429" ht="13.2"/>
    <row r="1430" ht="13.2"/>
    <row r="1431" ht="13.2"/>
    <row r="1432" ht="13.2"/>
    <row r="1433" ht="13.2"/>
    <row r="1434" ht="13.2"/>
    <row r="1435" ht="13.2"/>
    <row r="1436" ht="13.2"/>
    <row r="1437" ht="13.2"/>
    <row r="1438" ht="13.2"/>
    <row r="1439" ht="13.2"/>
    <row r="1440" ht="13.2"/>
    <row r="1441" ht="13.2"/>
    <row r="1442" ht="13.2"/>
    <row r="1443" ht="13.2"/>
    <row r="1444" ht="13.2"/>
    <row r="1445" ht="13.2"/>
    <row r="1446" ht="13.2"/>
    <row r="1447" ht="13.2"/>
    <row r="1448" ht="13.2"/>
    <row r="1449" ht="13.2"/>
    <row r="1450" ht="13.2"/>
    <row r="1451" ht="13.2"/>
    <row r="1452" ht="13.2"/>
    <row r="1453" ht="13.2"/>
    <row r="1454" ht="13.2"/>
    <row r="1455" ht="13.2"/>
    <row r="1456" ht="13.2"/>
    <row r="1457" ht="13.2"/>
    <row r="1458" ht="13.2"/>
    <row r="1459" ht="13.2"/>
    <row r="1460" ht="13.2"/>
    <row r="1461" ht="13.2"/>
    <row r="1462" ht="13.2"/>
    <row r="1463" ht="13.2"/>
    <row r="1464" ht="13.2"/>
    <row r="1465" ht="13.2"/>
    <row r="1466" ht="13.2"/>
    <row r="1467" ht="13.2"/>
    <row r="1468" ht="13.2"/>
    <row r="1469" ht="13.2"/>
    <row r="1470" ht="13.2"/>
    <row r="1471" ht="13.2"/>
    <row r="1472" ht="13.2"/>
    <row r="1473" ht="13.2"/>
    <row r="1474" ht="13.2"/>
    <row r="1475" ht="13.2"/>
    <row r="1476" ht="13.2"/>
    <row r="1477" ht="13.2"/>
    <row r="1478" ht="13.2"/>
    <row r="1479" ht="13.2"/>
    <row r="1480" ht="13.2"/>
    <row r="1481" ht="13.2"/>
    <row r="1482" ht="13.2"/>
    <row r="1483" ht="13.2"/>
    <row r="1484" ht="13.2"/>
    <row r="1485" ht="13.2"/>
    <row r="1486" ht="13.2"/>
    <row r="1487" ht="13.2"/>
    <row r="1488" ht="13.2"/>
    <row r="1489" ht="13.2"/>
    <row r="1490" ht="13.2"/>
    <row r="1491" ht="13.2"/>
    <row r="1492" ht="13.2"/>
    <row r="1493" ht="13.2"/>
    <row r="1494" ht="13.2"/>
    <row r="1495" ht="13.2"/>
    <row r="1496" ht="13.2"/>
    <row r="1497" ht="13.2"/>
    <row r="1498" ht="13.2"/>
    <row r="1499" ht="13.2"/>
    <row r="1500" ht="13.2"/>
    <row r="1501" ht="13.2"/>
    <row r="1502" ht="13.2"/>
    <row r="1503" ht="13.2"/>
    <row r="1504" ht="13.2"/>
    <row r="1505" ht="13.2"/>
    <row r="1506" ht="13.2"/>
    <row r="1507" ht="13.2"/>
    <row r="1508" ht="13.2"/>
    <row r="1509" ht="13.2"/>
    <row r="1510" ht="13.2"/>
    <row r="1511" ht="13.2"/>
    <row r="1512" ht="13.2"/>
    <row r="1513" ht="13.2"/>
    <row r="1514" ht="13.2"/>
    <row r="1515" ht="13.2"/>
    <row r="1516" ht="13.2"/>
    <row r="1517" ht="13.2"/>
    <row r="1518" ht="13.2"/>
    <row r="1519" ht="13.2"/>
    <row r="1520" ht="13.2"/>
    <row r="1521" ht="13.2"/>
    <row r="1522" ht="13.2"/>
    <row r="1523" ht="13.2"/>
    <row r="1524" ht="13.2"/>
    <row r="1525" ht="13.2"/>
    <row r="1526" ht="13.2"/>
    <row r="1527" ht="13.2"/>
    <row r="1528" ht="13.2"/>
    <row r="1529" ht="13.2"/>
    <row r="1530" ht="13.2"/>
    <row r="1531" ht="13.2"/>
    <row r="1532" ht="13.2"/>
    <row r="1533" ht="13.2"/>
    <row r="1534" ht="13.2"/>
    <row r="1535" ht="13.2"/>
    <row r="1536" ht="13.2"/>
    <row r="1537" ht="13.2"/>
    <row r="1538" ht="13.2"/>
    <row r="1539" ht="13.2"/>
    <row r="1540" ht="13.2"/>
    <row r="1541" ht="13.2"/>
    <row r="1542" ht="13.2"/>
    <row r="1543" ht="13.2"/>
    <row r="1544" ht="13.2"/>
    <row r="1545" ht="13.2"/>
    <row r="1546" ht="13.2"/>
    <row r="1547" ht="13.2"/>
    <row r="1548" ht="13.2"/>
    <row r="1549" ht="13.2"/>
    <row r="1550" ht="13.2"/>
    <row r="1551" ht="13.2"/>
    <row r="1552" ht="13.2"/>
    <row r="1553" ht="13.2"/>
    <row r="1554" ht="13.2"/>
    <row r="1555" ht="13.2"/>
    <row r="1556" ht="13.2"/>
    <row r="1557" ht="13.2"/>
    <row r="1558" ht="13.2"/>
    <row r="1559" ht="13.2"/>
    <row r="1560" ht="13.2"/>
    <row r="1561" ht="13.2"/>
    <row r="1562" ht="13.2"/>
    <row r="1563" ht="13.2"/>
    <row r="1564" ht="13.2"/>
    <row r="1565" ht="13.2"/>
    <row r="1566" ht="13.2"/>
    <row r="1567" ht="13.2"/>
    <row r="1568" ht="13.2"/>
    <row r="1569" ht="13.2"/>
    <row r="1570" ht="13.2"/>
    <row r="1571" ht="13.2"/>
    <row r="1572" ht="13.2"/>
    <row r="1573" ht="13.2"/>
    <row r="1574" ht="13.2"/>
    <row r="1575" ht="13.2"/>
    <row r="1576" ht="13.2"/>
    <row r="1577" ht="13.2"/>
    <row r="1578" ht="13.2"/>
    <row r="1579" ht="13.2"/>
    <row r="1580" ht="13.2"/>
    <row r="1581" ht="13.2"/>
    <row r="1582" ht="13.2"/>
    <row r="1583" ht="13.2"/>
    <row r="1584" ht="13.2"/>
    <row r="1585" ht="13.2"/>
    <row r="1586" ht="13.2"/>
    <row r="1587" ht="13.2"/>
    <row r="1588" ht="13.2"/>
    <row r="1589" ht="13.2"/>
    <row r="1590" ht="13.2"/>
    <row r="1591" ht="13.2"/>
    <row r="1592" ht="13.2"/>
    <row r="1593" ht="13.2"/>
    <row r="1594" ht="13.2"/>
    <row r="1595" ht="13.2"/>
    <row r="1596" ht="13.2"/>
    <row r="1597" ht="13.2"/>
    <row r="1598" ht="13.2"/>
    <row r="1599" ht="13.2"/>
    <row r="1600" ht="13.2"/>
    <row r="1601" ht="13.2"/>
    <row r="1602" ht="13.2"/>
    <row r="1603" ht="13.2"/>
    <row r="1604" ht="13.2"/>
    <row r="1605" ht="13.2"/>
    <row r="1606" ht="13.2"/>
    <row r="1607" ht="13.2"/>
    <row r="1608" ht="13.2"/>
    <row r="1609" ht="13.2"/>
    <row r="1610" ht="13.2"/>
    <row r="1611" ht="13.2"/>
    <row r="1612" ht="13.2"/>
    <row r="1613" ht="13.2"/>
    <row r="1614" ht="13.2"/>
    <row r="1615" ht="13.2"/>
    <row r="1616" ht="13.2"/>
    <row r="1617" ht="13.2"/>
    <row r="1618" ht="13.2"/>
    <row r="1619" ht="13.2"/>
    <row r="1620" ht="13.2"/>
    <row r="1621" ht="13.2"/>
    <row r="1622" ht="13.2"/>
    <row r="1623" ht="13.2"/>
    <row r="1624" ht="13.2"/>
    <row r="1625" ht="13.2"/>
    <row r="1626" ht="13.2"/>
    <row r="1627" ht="13.2"/>
    <row r="1628" ht="13.2"/>
    <row r="1629" ht="13.2"/>
    <row r="1630" ht="13.2"/>
    <row r="1631" ht="13.2"/>
    <row r="1632" ht="13.2"/>
    <row r="1633" ht="13.2"/>
    <row r="1634" ht="13.2"/>
    <row r="1635" ht="13.2"/>
    <row r="1636" ht="13.2"/>
    <row r="1637" ht="13.2"/>
    <row r="1638" ht="13.2"/>
    <row r="1639" ht="13.2"/>
    <row r="1640" ht="13.2"/>
    <row r="1641" ht="13.2"/>
    <row r="1642" ht="13.2"/>
    <row r="1643" ht="13.2"/>
    <row r="1644" ht="13.2"/>
    <row r="1645" ht="13.2"/>
    <row r="1646" ht="13.2"/>
    <row r="1647" ht="13.2"/>
    <row r="1648" ht="13.2"/>
    <row r="1649" ht="13.2"/>
    <row r="1650" ht="13.2"/>
    <row r="1651" ht="13.2"/>
    <row r="1652" ht="13.2"/>
    <row r="1653" ht="13.2"/>
    <row r="1654" ht="13.2"/>
    <row r="1655" ht="13.2"/>
    <row r="1656" ht="13.2"/>
    <row r="1657" ht="13.2"/>
    <row r="1658" ht="13.2"/>
    <row r="1659" ht="13.2"/>
    <row r="1660" ht="13.2"/>
    <row r="1661" ht="13.2"/>
    <row r="1662" ht="13.2"/>
    <row r="1663" ht="13.2"/>
    <row r="1664" ht="13.2"/>
    <row r="1665" ht="13.2"/>
    <row r="1666" ht="13.2"/>
    <row r="1667" ht="13.2"/>
    <row r="1668" ht="13.2"/>
    <row r="1669" ht="13.2"/>
    <row r="1670" ht="13.2"/>
    <row r="1671" ht="13.2"/>
    <row r="1672" ht="13.2"/>
    <row r="1673" ht="13.2"/>
    <row r="1674" ht="13.2"/>
    <row r="1675" ht="13.2"/>
    <row r="1676" ht="13.2"/>
    <row r="1677" ht="13.2"/>
    <row r="1678" ht="13.2"/>
    <row r="1679" ht="13.2"/>
    <row r="1680" ht="13.2"/>
    <row r="1681" ht="13.2"/>
    <row r="1682" ht="13.2"/>
    <row r="1683" ht="13.2"/>
    <row r="1684" ht="13.2"/>
    <row r="1685" ht="13.2"/>
    <row r="1686" ht="13.2"/>
    <row r="1687" ht="13.2"/>
    <row r="1688" ht="13.2"/>
    <row r="1689" ht="13.2"/>
    <row r="1690" ht="13.2"/>
    <row r="1691" ht="13.2"/>
    <row r="1692" ht="13.2"/>
    <row r="1693" ht="13.2"/>
    <row r="1694" ht="13.2"/>
    <row r="1695" ht="13.2"/>
    <row r="1696" ht="13.2"/>
    <row r="1697" ht="13.2"/>
    <row r="1698" ht="13.2"/>
    <row r="1699" ht="13.2"/>
    <row r="1700" ht="13.2"/>
    <row r="1701" ht="13.2"/>
    <row r="1702" ht="13.2"/>
    <row r="1703" ht="13.2"/>
    <row r="1704" ht="13.2"/>
    <row r="1705" ht="13.2"/>
    <row r="1706" ht="13.2"/>
    <row r="1707" ht="13.2"/>
    <row r="1708" ht="13.2"/>
    <row r="1709" ht="13.2"/>
    <row r="1710" ht="13.2"/>
    <row r="1711" ht="13.2"/>
    <row r="1712" ht="13.2"/>
    <row r="1713" ht="13.2"/>
    <row r="1714" ht="13.2"/>
    <row r="1715" ht="13.2"/>
    <row r="1716" ht="13.2"/>
    <row r="1717" ht="13.2"/>
    <row r="1718" ht="13.2"/>
    <row r="1719" ht="13.2"/>
    <row r="1720" ht="13.2"/>
    <row r="1721" ht="13.2"/>
    <row r="1722" ht="13.2"/>
    <row r="1723" ht="13.2"/>
    <row r="1724" ht="13.2"/>
    <row r="1725" ht="13.2"/>
    <row r="1726" ht="13.2"/>
    <row r="1727" ht="13.2"/>
    <row r="1728" ht="13.2"/>
    <row r="1729" ht="13.2"/>
    <row r="1730" ht="13.2"/>
    <row r="1731" ht="13.2"/>
    <row r="1732" ht="13.2"/>
    <row r="1733" ht="13.2"/>
    <row r="1734" ht="13.2"/>
    <row r="1735" ht="13.2"/>
    <row r="1736" ht="13.2"/>
    <row r="1737" ht="13.2"/>
    <row r="1738" ht="13.2"/>
    <row r="1739" ht="13.2"/>
    <row r="1740" ht="13.2"/>
    <row r="1741" ht="13.2"/>
    <row r="1742" ht="13.2"/>
    <row r="1743" ht="13.2"/>
    <row r="1744" ht="13.2"/>
    <row r="1745" ht="13.2"/>
    <row r="1746" ht="13.2"/>
    <row r="1747" ht="13.2"/>
    <row r="1748" ht="13.2"/>
    <row r="1749" ht="13.2"/>
    <row r="1750" ht="13.2"/>
    <row r="1751" ht="13.2"/>
    <row r="1752" ht="13.2"/>
    <row r="1753" ht="13.2"/>
    <row r="1754" ht="13.2"/>
    <row r="1755" ht="13.2"/>
    <row r="1756" ht="13.2"/>
    <row r="1757" ht="13.2"/>
    <row r="1758" ht="13.2"/>
    <row r="1759" ht="13.2"/>
    <row r="1760" ht="13.2"/>
    <row r="1761" ht="13.2"/>
    <row r="1762" ht="13.2"/>
    <row r="1763" ht="13.2"/>
    <row r="1764" ht="13.2"/>
    <row r="1765" ht="13.2"/>
    <row r="1766" ht="13.2"/>
    <row r="1767" ht="13.2"/>
    <row r="1768" ht="13.2"/>
    <row r="1769" ht="13.2"/>
    <row r="1770" ht="13.2"/>
    <row r="1771" ht="13.2"/>
    <row r="1772" ht="13.2"/>
    <row r="1773" ht="13.2"/>
    <row r="1774" ht="13.2"/>
    <row r="1775" ht="13.2"/>
    <row r="1776" ht="13.2"/>
    <row r="1777" ht="13.2"/>
    <row r="1778" ht="13.2"/>
    <row r="1779" ht="13.2"/>
    <row r="1780" ht="13.2"/>
    <row r="1781" ht="13.2"/>
    <row r="1782" ht="13.2"/>
    <row r="1783" ht="13.2"/>
    <row r="1784" ht="13.2"/>
    <row r="1785" ht="13.2"/>
    <row r="1786" ht="13.2"/>
    <row r="1787" ht="13.2"/>
    <row r="1788" ht="13.2"/>
    <row r="1789" ht="13.2"/>
    <row r="1790" ht="13.2"/>
    <row r="1791" ht="13.2"/>
    <row r="1792" ht="13.2"/>
    <row r="1793" ht="13.2"/>
    <row r="1794" ht="13.2"/>
    <row r="1795" ht="13.2"/>
    <row r="1796" ht="13.2"/>
    <row r="1797" ht="13.2"/>
    <row r="1798" ht="13.2"/>
    <row r="1799" ht="13.2"/>
    <row r="1800" ht="13.2"/>
    <row r="1801" ht="13.2"/>
    <row r="1802" ht="13.2"/>
    <row r="1803" ht="13.2"/>
    <row r="1804" ht="13.2"/>
    <row r="1805" ht="13.2"/>
    <row r="1806" ht="13.2"/>
    <row r="1807" ht="13.2"/>
    <row r="1808" ht="13.2"/>
    <row r="1809" ht="13.2"/>
    <row r="1810" ht="13.2"/>
    <row r="1811" ht="13.2"/>
    <row r="1812" ht="13.2"/>
    <row r="1813" ht="13.2"/>
    <row r="1814" ht="13.2"/>
    <row r="1815" ht="13.2"/>
    <row r="1816" ht="13.2"/>
    <row r="1817" ht="13.2"/>
    <row r="1818" ht="13.2"/>
    <row r="1819" ht="13.2"/>
    <row r="1820" ht="13.2"/>
    <row r="1821" ht="13.2"/>
    <row r="1822" ht="13.2"/>
    <row r="1823" ht="13.2"/>
    <row r="1824" ht="13.2"/>
    <row r="1825" ht="13.2"/>
    <row r="1826" ht="13.2"/>
    <row r="1827" ht="13.2"/>
    <row r="1828" ht="13.2"/>
    <row r="1829" ht="13.2"/>
    <row r="1830" ht="13.2"/>
    <row r="1831" ht="13.2"/>
    <row r="1832" ht="13.2"/>
    <row r="1833" ht="13.2"/>
    <row r="1834" ht="13.2"/>
    <row r="1835" ht="13.2"/>
    <row r="1836" ht="13.2"/>
    <row r="1837" ht="13.2"/>
    <row r="1838" ht="13.2"/>
    <row r="1839" ht="13.2"/>
    <row r="1840" ht="13.2"/>
    <row r="1841" ht="13.2"/>
    <row r="1842" ht="13.2"/>
    <row r="1843" ht="13.2"/>
    <row r="1844" ht="13.2"/>
    <row r="1845" ht="13.2"/>
    <row r="1846" ht="13.2"/>
    <row r="1847" ht="13.2"/>
    <row r="1848" ht="13.2"/>
    <row r="1849" ht="13.2"/>
    <row r="1850" ht="13.2"/>
    <row r="1851" ht="13.2"/>
    <row r="1852" ht="13.2"/>
    <row r="1853" ht="13.2"/>
    <row r="1854" ht="13.2"/>
    <row r="1855" ht="13.2"/>
    <row r="1856" ht="13.2"/>
    <row r="1857" ht="13.2"/>
    <row r="1858" ht="13.2"/>
    <row r="1859" ht="13.2"/>
    <row r="1860" ht="13.2"/>
    <row r="1861" ht="13.2"/>
    <row r="1862" ht="13.2"/>
    <row r="1863" ht="13.2"/>
    <row r="1864" ht="13.2"/>
    <row r="1865" ht="13.2"/>
    <row r="1866" ht="13.2"/>
    <row r="1867" ht="13.2"/>
    <row r="1868" ht="13.2"/>
    <row r="1869" ht="13.2"/>
    <row r="1870" ht="13.2"/>
    <row r="1871" ht="13.2"/>
    <row r="1872" ht="13.2"/>
    <row r="1873" ht="13.2"/>
    <row r="1874" ht="13.2"/>
    <row r="1875" ht="13.2"/>
    <row r="1876" ht="13.2"/>
    <row r="1877" ht="13.2"/>
    <row r="1878" ht="13.2"/>
    <row r="1879" ht="13.2"/>
    <row r="1880" ht="13.2"/>
    <row r="1881" ht="13.2"/>
    <row r="1882" ht="13.2"/>
    <row r="1883" ht="13.2"/>
    <row r="1884" ht="13.2"/>
    <row r="1885" ht="13.2"/>
    <row r="1886" ht="13.2"/>
    <row r="1887" ht="13.2"/>
    <row r="1888" ht="13.2"/>
    <row r="1889" ht="13.2"/>
    <row r="1890" ht="13.2"/>
    <row r="1891" ht="13.2"/>
    <row r="1892" ht="13.2"/>
    <row r="1893" ht="13.2"/>
    <row r="1894" ht="13.2"/>
    <row r="1895" ht="13.2"/>
    <row r="1896" ht="13.2"/>
    <row r="1897" ht="13.2"/>
    <row r="1898" ht="13.2"/>
    <row r="1899" ht="13.2"/>
    <row r="1900" ht="13.2"/>
    <row r="1901" ht="13.2"/>
    <row r="1902" ht="13.2"/>
    <row r="1903" ht="13.2"/>
    <row r="1904" ht="13.2"/>
    <row r="1905" ht="13.2"/>
    <row r="1906" ht="13.2"/>
    <row r="1907" ht="13.2"/>
    <row r="1908" ht="13.2"/>
    <row r="1909" ht="13.2"/>
    <row r="1910" ht="13.2"/>
    <row r="1911" ht="13.2"/>
    <row r="1912" ht="13.2"/>
    <row r="1913" ht="13.2"/>
    <row r="1914" ht="13.2"/>
    <row r="1915" ht="13.2"/>
    <row r="1916" ht="13.2"/>
    <row r="1917" ht="13.2"/>
    <row r="1918" ht="13.2"/>
    <row r="1919" ht="13.2"/>
    <row r="1920" ht="13.2"/>
    <row r="1921" ht="13.2"/>
    <row r="1922" ht="13.2"/>
    <row r="1923" ht="13.2"/>
    <row r="1924" ht="13.2"/>
    <row r="1925" ht="13.2"/>
    <row r="1926" ht="13.2"/>
    <row r="1927" ht="13.2"/>
    <row r="1928" ht="13.2"/>
    <row r="1929" ht="13.2"/>
    <row r="1930" ht="13.2"/>
    <row r="1931" ht="13.2"/>
    <row r="1932" ht="13.2"/>
    <row r="1933" ht="13.2"/>
    <row r="1934" ht="13.2"/>
    <row r="1935" ht="13.2"/>
    <row r="1936" ht="13.2"/>
    <row r="1937" ht="13.2"/>
    <row r="1938" ht="13.2"/>
    <row r="1939" ht="13.2"/>
    <row r="1940" ht="13.2"/>
    <row r="1941" ht="13.2"/>
    <row r="1942" ht="13.2"/>
    <row r="1943" ht="13.2"/>
    <row r="1944" ht="13.2"/>
    <row r="1945" ht="13.2"/>
    <row r="1946" ht="13.2"/>
    <row r="1947" ht="13.2"/>
    <row r="1948" ht="13.2"/>
    <row r="1949" ht="13.2"/>
    <row r="1950" ht="13.2"/>
    <row r="1951" ht="13.2"/>
    <row r="1952" ht="13.2"/>
    <row r="1953" ht="13.2"/>
    <row r="1954" ht="13.2"/>
    <row r="1955" ht="13.2"/>
    <row r="1956" ht="13.2"/>
    <row r="1957" ht="13.2"/>
    <row r="1958" ht="13.2"/>
    <row r="1959" ht="13.2"/>
    <row r="1960" ht="13.2"/>
    <row r="1961" ht="13.2"/>
    <row r="1962" ht="13.2"/>
    <row r="1963" ht="13.2"/>
    <row r="1964" ht="13.2"/>
    <row r="1965" ht="13.2"/>
    <row r="1966" ht="13.2"/>
    <row r="1967" ht="13.2"/>
    <row r="1968" ht="13.2"/>
    <row r="1969" ht="13.2"/>
    <row r="1970" ht="13.2"/>
    <row r="1971" ht="13.2"/>
    <row r="1972" ht="13.2"/>
    <row r="1973" ht="13.2"/>
    <row r="1974" ht="13.2"/>
    <row r="1975" ht="13.2"/>
    <row r="1976" ht="13.2"/>
    <row r="1977" ht="13.2"/>
    <row r="1978" ht="13.2"/>
    <row r="1979" ht="13.2"/>
    <row r="1980" ht="13.2"/>
    <row r="1981" ht="13.2"/>
    <row r="1982" ht="13.2"/>
    <row r="1983" ht="13.2"/>
    <row r="1984" ht="13.2"/>
    <row r="1985" ht="13.2"/>
    <row r="1986" ht="13.2"/>
    <row r="1987" ht="13.2"/>
    <row r="1988" ht="13.2"/>
    <row r="1989" ht="13.2"/>
    <row r="1990" ht="13.2"/>
    <row r="1991" ht="13.2"/>
    <row r="1992" ht="13.2"/>
    <row r="1993" ht="13.2"/>
    <row r="1994" ht="13.2"/>
    <row r="1995" ht="13.2"/>
    <row r="1996" ht="13.2"/>
    <row r="1997" ht="13.2"/>
    <row r="1998" ht="13.2"/>
    <row r="1999" ht="13.2"/>
    <row r="2000" ht="13.2"/>
    <row r="2001" ht="13.2"/>
    <row r="2002" ht="13.2"/>
    <row r="2003" ht="13.2"/>
    <row r="2004" ht="13.2"/>
    <row r="2005" ht="13.2"/>
    <row r="2006" ht="13.2"/>
    <row r="2007" ht="13.2"/>
    <row r="2008" ht="13.2"/>
    <row r="2009" ht="13.2"/>
    <row r="2010" ht="13.2"/>
    <row r="2011" ht="13.2"/>
    <row r="2012" ht="13.2"/>
    <row r="2013" ht="13.2"/>
    <row r="2014" ht="13.2"/>
    <row r="2015" ht="13.2"/>
    <row r="2016" ht="13.2"/>
    <row r="2017" ht="13.2"/>
    <row r="2018" ht="13.2"/>
    <row r="2019" ht="13.2"/>
    <row r="2020" ht="13.2"/>
    <row r="2021" ht="13.2"/>
    <row r="2022" ht="13.2"/>
    <row r="2023" ht="13.2"/>
    <row r="2024" ht="13.2"/>
    <row r="2025" ht="13.2"/>
    <row r="2026" ht="13.2"/>
    <row r="2027" ht="13.2"/>
    <row r="2028" ht="13.2"/>
    <row r="2029" ht="13.2"/>
    <row r="2030" ht="13.2"/>
    <row r="2031" ht="13.2"/>
    <row r="2032" ht="13.2"/>
    <row r="2033" ht="13.2"/>
    <row r="2034" ht="13.2"/>
    <row r="2035" ht="13.2"/>
    <row r="2036" ht="13.2"/>
    <row r="2037" ht="13.2"/>
    <row r="2038" ht="13.2"/>
    <row r="2039" ht="13.2"/>
    <row r="2040" ht="13.2"/>
    <row r="2041" ht="13.2"/>
    <row r="2042" ht="13.2"/>
    <row r="2043" ht="13.2"/>
    <row r="2044" ht="13.2"/>
    <row r="2045" ht="13.2"/>
    <row r="2046" ht="13.2"/>
    <row r="2047" ht="13.2"/>
    <row r="2048" ht="13.2"/>
    <row r="2049" ht="13.2"/>
    <row r="2050" ht="13.2"/>
    <row r="2051" ht="13.2"/>
    <row r="2052" ht="13.2"/>
    <row r="2053" ht="13.2"/>
    <row r="2054" ht="13.2"/>
    <row r="2055" ht="13.2"/>
    <row r="2056" ht="13.2"/>
    <row r="2057" ht="13.2"/>
    <row r="2058" ht="13.2"/>
    <row r="2059" ht="13.2"/>
    <row r="2060" ht="13.2"/>
    <row r="2061" ht="13.2"/>
    <row r="2062" ht="13.2"/>
    <row r="2063" ht="13.2"/>
    <row r="2064" ht="13.2"/>
    <row r="2065" ht="13.2"/>
    <row r="2066" ht="13.2"/>
    <row r="2067" ht="13.2"/>
    <row r="2068" ht="13.2"/>
    <row r="2069" ht="13.2"/>
    <row r="2070" ht="13.2"/>
    <row r="2071" ht="13.2"/>
    <row r="2072" ht="13.2"/>
    <row r="2073" ht="13.2"/>
    <row r="2074" ht="13.2"/>
    <row r="2075" ht="13.2"/>
    <row r="2076" ht="13.2"/>
    <row r="2077" ht="13.2"/>
    <row r="2078" ht="13.2"/>
    <row r="2079" ht="13.2"/>
    <row r="2080" ht="13.2"/>
    <row r="2081" ht="13.2"/>
    <row r="2082" ht="13.2"/>
    <row r="2083" ht="13.2"/>
    <row r="2084" ht="13.2"/>
    <row r="2085" ht="13.2"/>
    <row r="2086" ht="13.2"/>
    <row r="2087" ht="13.2"/>
    <row r="2088" ht="13.2"/>
    <row r="2089" ht="13.2"/>
    <row r="2090" ht="13.2"/>
    <row r="2091" ht="13.2"/>
    <row r="2092" ht="13.2"/>
    <row r="2093" ht="13.2"/>
    <row r="2094" ht="13.2"/>
    <row r="2095" ht="13.2"/>
    <row r="2096" ht="13.2"/>
    <row r="2097" ht="13.2"/>
    <row r="2098" ht="13.2"/>
    <row r="2099" ht="13.2"/>
    <row r="2100" ht="13.2"/>
    <row r="2101" ht="13.2"/>
    <row r="2102" ht="13.2"/>
    <row r="2103" ht="13.2"/>
    <row r="2104" ht="13.2"/>
    <row r="2105" ht="13.2"/>
    <row r="2106" ht="13.2"/>
    <row r="2107" ht="13.2"/>
    <row r="2108" ht="13.2"/>
    <row r="2109" ht="13.2"/>
    <row r="2110" ht="13.2"/>
    <row r="2111" ht="13.2"/>
    <row r="2112" ht="13.2"/>
    <row r="2113" ht="13.2"/>
    <row r="2114" ht="13.2"/>
    <row r="2115" ht="13.2"/>
    <row r="2116" ht="13.2"/>
    <row r="2117" ht="13.2"/>
    <row r="2118" ht="13.2"/>
    <row r="2119" ht="13.2"/>
    <row r="2120" ht="13.2"/>
    <row r="2121" ht="13.2"/>
    <row r="2122" ht="13.2"/>
    <row r="2123" ht="13.2"/>
    <row r="2124" ht="13.2"/>
    <row r="2125" ht="13.2"/>
    <row r="2126" ht="13.2"/>
    <row r="2127" ht="13.2"/>
    <row r="2128" ht="13.2"/>
    <row r="2129" ht="13.2"/>
    <row r="2130" ht="13.2"/>
    <row r="2131" ht="13.2"/>
    <row r="2132" ht="13.2"/>
    <row r="2133" ht="13.2"/>
    <row r="2134" ht="13.2"/>
    <row r="2135" ht="13.2"/>
    <row r="2136" ht="13.2"/>
    <row r="2137" ht="13.2"/>
    <row r="2138" ht="13.2"/>
    <row r="2139" ht="13.2"/>
    <row r="2140" ht="13.2"/>
    <row r="2141" ht="13.2"/>
    <row r="2142" ht="13.2"/>
    <row r="2143" ht="13.2"/>
    <row r="2144" ht="13.2"/>
    <row r="2145" ht="13.2"/>
    <row r="2146" ht="13.2"/>
    <row r="2147" ht="13.2"/>
    <row r="2148" ht="13.2"/>
    <row r="2149" ht="13.2"/>
    <row r="2150" ht="13.2"/>
    <row r="2151" ht="13.2"/>
    <row r="2152" ht="13.2"/>
    <row r="2153" ht="13.2"/>
    <row r="2154" ht="13.2"/>
    <row r="2155" ht="13.2"/>
    <row r="2156" ht="13.2"/>
    <row r="2157" ht="13.2"/>
    <row r="2158" ht="13.2"/>
    <row r="2159" ht="13.2"/>
    <row r="2160" ht="13.2"/>
    <row r="2161" ht="13.2"/>
    <row r="2162" ht="13.2"/>
    <row r="2163" ht="13.2"/>
    <row r="2164" ht="13.2"/>
    <row r="2165" ht="13.2"/>
    <row r="2166" ht="13.2"/>
    <row r="2167" ht="13.2"/>
    <row r="2168" ht="13.2"/>
    <row r="2169" ht="13.2"/>
    <row r="2170" ht="13.2"/>
    <row r="2171" ht="13.2"/>
    <row r="2172" ht="13.2"/>
    <row r="2173" ht="13.2"/>
    <row r="2174" ht="13.2"/>
    <row r="2175" ht="13.2"/>
    <row r="2176" ht="13.2"/>
    <row r="2177" ht="13.2"/>
    <row r="2178" ht="13.2"/>
    <row r="2179" ht="13.2"/>
    <row r="2180" ht="13.2"/>
    <row r="2181" ht="13.2"/>
    <row r="2182" ht="13.2"/>
    <row r="2183" ht="13.2"/>
    <row r="2184" ht="13.2"/>
    <row r="2185" ht="13.2"/>
    <row r="2186" ht="13.2"/>
    <row r="2187" ht="13.2"/>
    <row r="2188" ht="13.2"/>
    <row r="2189" ht="13.2"/>
    <row r="2190" ht="13.2"/>
    <row r="2191" ht="13.2"/>
    <row r="2192" ht="13.2"/>
    <row r="2193" ht="13.2"/>
    <row r="2194" ht="13.2"/>
    <row r="2195" ht="13.2"/>
    <row r="2196" ht="13.2"/>
    <row r="2197" ht="13.2"/>
    <row r="2198" ht="13.2"/>
    <row r="2199" ht="13.2"/>
    <row r="2200" ht="13.2"/>
    <row r="2201" ht="13.2"/>
    <row r="2202" ht="13.2"/>
    <row r="2203" ht="13.2"/>
    <row r="2204" ht="13.2"/>
    <row r="2205" ht="13.2"/>
    <row r="2206" ht="13.2"/>
    <row r="2207" ht="13.2"/>
    <row r="2208" ht="13.2"/>
    <row r="2209" ht="13.2"/>
    <row r="2210" ht="13.2"/>
    <row r="2211" ht="13.2"/>
    <row r="2212" ht="13.2"/>
    <row r="2213" ht="13.2"/>
    <row r="2214" ht="13.2"/>
    <row r="2215" ht="13.2"/>
    <row r="2216" ht="13.2"/>
    <row r="2217" ht="13.2"/>
    <row r="2218" ht="13.2"/>
    <row r="2219" ht="13.2"/>
    <row r="2220" ht="13.2"/>
    <row r="2221" ht="13.2"/>
    <row r="2222" ht="13.2"/>
    <row r="2223" ht="13.2"/>
  </sheetData>
  <customSheetViews>
    <customSheetView guid="{E2779A39-C475-40AD-A216-2FF2A28806FF}" filter="1" showAutoFilter="1">
      <pageMargins left="0.7" right="0.7" top="0.75" bottom="0.75" header="0.3" footer="0.3"/>
      <autoFilter ref="A2:J260" xr:uid="{3BBE7097-AF7C-4FC5-8F88-8EFA611DDCD0}"/>
    </customSheetView>
    <customSheetView guid="{722831EC-C62E-4917-B486-B5A8E8CA3DA9}" filter="1" showAutoFilter="1">
      <pageMargins left="0.7" right="0.7" top="0.75" bottom="0.75" header="0.3" footer="0.3"/>
      <autoFilter ref="A2:J260" xr:uid="{91EE3762-2883-488A-8056-848429F4BEA3}"/>
    </customSheetView>
  </customSheetViews>
  <phoneticPr fontId="46" type="noConversion"/>
  <hyperlinks>
    <hyperlink ref="A1" r:id="rId1" display="S.No." xr:uid="{00000000-0004-0000-0200-000000000000}"/>
    <hyperlink ref="K2" r:id="rId2" display="https://drive.google.com/file/d/1C2gdujw-v4ImxGKADA8JiSNakPe16gWD/view?usp=drive_link" xr:uid="{00000000-0004-0000-0200-000001000000}"/>
    <hyperlink ref="K8" r:id="rId3" xr:uid="{00000000-0004-0000-0200-000002000000}"/>
    <hyperlink ref="K9" r:id="rId4" display="https://jaem.isikun.edu.tr/web/index.php/archive/125-vol14no3/1244-impact-of-modulated-magnetic-field-on-the-advent-of-ferroconvection-in-a-permeable-medium " xr:uid="{00000000-0004-0000-0200-000003000000}"/>
    <hyperlink ref="K10" r:id="rId5" display=" https://jaem.isikun.edu.tr/web/index.php/current/126-vol14no4/1291-maxwell-cattaneo-law-of-heat-conduction-through-porous-ferroconvection-with-magnetic-field-dependent-viscosity " xr:uid="{00000000-0004-0000-0200-000004000000}"/>
    <hyperlink ref="K11" r:id="rId6" xr:uid="{00000000-0004-0000-0200-000005000000}"/>
    <hyperlink ref="K12" r:id="rId7" location="citeas" xr:uid="{00000000-0004-0000-0200-000006000000}"/>
    <hyperlink ref="K15" r:id="rId8" xr:uid="{00000000-0004-0000-0200-000007000000}"/>
    <hyperlink ref="K16" r:id="rId9" xr:uid="{00000000-0004-0000-0200-000008000000}"/>
    <hyperlink ref="J17" r:id="rId10" xr:uid="{00000000-0004-0000-0200-000009000000}"/>
    <hyperlink ref="K17" r:id="rId11" xr:uid="{00000000-0004-0000-0200-00000A000000}"/>
    <hyperlink ref="K18" r:id="rId12" xr:uid="{00000000-0004-0000-0200-00000B000000}"/>
    <hyperlink ref="K21" r:id="rId13" xr:uid="{00000000-0004-0000-0200-00000C000000}"/>
    <hyperlink ref="K22" r:id="rId14" xr:uid="{00000000-0004-0000-0200-00000D000000}"/>
    <hyperlink ref="K23" r:id="rId15" xr:uid="{00000000-0004-0000-0200-00000E000000}"/>
    <hyperlink ref="K24" r:id="rId16" xr:uid="{00000000-0004-0000-0200-00000F000000}"/>
    <hyperlink ref="K25" r:id="rId17" xr:uid="{00000000-0004-0000-0200-000010000000}"/>
    <hyperlink ref="K26" r:id="rId18" xr:uid="{00000000-0004-0000-0200-000011000000}"/>
    <hyperlink ref="K29" r:id="rId19" xr:uid="{00000000-0004-0000-0200-000012000000}"/>
    <hyperlink ref="K30" r:id="rId20" display="https://mail.ijcna.org/Manuscripts/IJCNA-2024-O-40.pdf    " xr:uid="{00000000-0004-0000-0200-000013000000}"/>
    <hyperlink ref="K32" r:id="rId21" xr:uid="{00000000-0004-0000-0200-000014000000}"/>
    <hyperlink ref="K40" r:id="rId22" xr:uid="{00000000-0004-0000-0200-000015000000}"/>
    <hyperlink ref="K41" r:id="rId23" xr:uid="{00000000-0004-0000-0200-000016000000}"/>
    <hyperlink ref="K42" r:id="rId24" xr:uid="{00000000-0004-0000-0200-000017000000}"/>
    <hyperlink ref="K43" r:id="rId25" xr:uid="{00000000-0004-0000-0200-000018000000}"/>
    <hyperlink ref="K44" r:id="rId26" xr:uid="{00000000-0004-0000-0200-000019000000}"/>
    <hyperlink ref="K45" r:id="rId27" xr:uid="{00000000-0004-0000-0200-00001A000000}"/>
    <hyperlink ref="K46" r:id="rId28" xr:uid="{00000000-0004-0000-0200-00001B000000}"/>
    <hyperlink ref="K47" r:id="rId29" xr:uid="{00000000-0004-0000-0200-00001C000000}"/>
    <hyperlink ref="K48" r:id="rId30" xr:uid="{00000000-0004-0000-0200-00001D000000}"/>
    <hyperlink ref="K50" r:id="rId31" xr:uid="{00000000-0004-0000-0200-00001E000000}"/>
    <hyperlink ref="K51" r:id="rId32" xr:uid="{00000000-0004-0000-0200-00001F000000}"/>
    <hyperlink ref="K52" r:id="rId33" xr:uid="{00000000-0004-0000-0200-000020000000}"/>
    <hyperlink ref="K54" r:id="rId34" xr:uid="{00000000-0004-0000-0200-000021000000}"/>
    <hyperlink ref="K55" r:id="rId35" xr:uid="{00000000-0004-0000-0200-000022000000}"/>
    <hyperlink ref="K56" r:id="rId36" xr:uid="{00000000-0004-0000-0200-000023000000}"/>
    <hyperlink ref="K66" r:id="rId37" xr:uid="{00000000-0004-0000-0200-000024000000}"/>
    <hyperlink ref="K67" r:id="rId38" xr:uid="{00000000-0004-0000-0200-000025000000}"/>
    <hyperlink ref="K68" r:id="rId39" xr:uid="{00000000-0004-0000-0200-000026000000}"/>
    <hyperlink ref="K69" r:id="rId40" xr:uid="{00000000-0004-0000-0200-000027000000}"/>
    <hyperlink ref="K70" r:id="rId41" xr:uid="{00000000-0004-0000-0200-000028000000}"/>
    <hyperlink ref="K71" r:id="rId42" xr:uid="{00000000-0004-0000-0200-000029000000}"/>
    <hyperlink ref="K73" r:id="rId43" xr:uid="{00000000-0004-0000-0200-00002A000000}"/>
    <hyperlink ref="K74" r:id="rId44" xr:uid="{00000000-0004-0000-0200-00002B000000}"/>
    <hyperlink ref="K75" r:id="rId45" xr:uid="{00000000-0004-0000-0200-00002C000000}"/>
    <hyperlink ref="K77" r:id="rId46" xr:uid="{00000000-0004-0000-0200-00002D000000}"/>
    <hyperlink ref="K82" r:id="rId47" display="https://ieeexplore.ieee.org/xpl/conhome/10748371/proceeding?isnumber=10748420&amp;sortType=vol-only-seq&amp;refinementName=Author&amp;refinements=Author:Ananth%20Kumar%20M%20S" xr:uid="{00000000-0004-0000-0200-00002E000000}"/>
    <hyperlink ref="K83" r:id="rId48" xr:uid="{00000000-0004-0000-0200-00002F000000}"/>
    <hyperlink ref="K84" r:id="rId49" location="citeas" xr:uid="{00000000-0004-0000-0200-000030000000}"/>
    <hyperlink ref="K85" r:id="rId50" xr:uid="{00000000-0004-0000-0200-000031000000}"/>
    <hyperlink ref="K86" r:id="rId51" xr:uid="{00000000-0004-0000-0200-000032000000}"/>
    <hyperlink ref="K87" r:id="rId52" xr:uid="{00000000-0004-0000-0200-000033000000}"/>
    <hyperlink ref="J88" r:id="rId53" xr:uid="{00000000-0004-0000-0200-000034000000}"/>
    <hyperlink ref="K88" r:id="rId54" xr:uid="{00000000-0004-0000-0200-000035000000}"/>
    <hyperlink ref="J89" r:id="rId55" xr:uid="{00000000-0004-0000-0200-000036000000}"/>
    <hyperlink ref="K89" r:id="rId56" xr:uid="{00000000-0004-0000-0200-000037000000}"/>
    <hyperlink ref="K91" r:id="rId57" xr:uid="{00000000-0004-0000-0200-000038000000}"/>
    <hyperlink ref="K94" r:id="rId58" xr:uid="{00000000-0004-0000-0200-000039000000}"/>
    <hyperlink ref="K96" r:id="rId59" xr:uid="{00000000-0004-0000-0200-00003A000000}"/>
    <hyperlink ref="J97" r:id="rId60" xr:uid="{00000000-0004-0000-0200-00003B000000}"/>
    <hyperlink ref="K97" r:id="rId61" xr:uid="{00000000-0004-0000-0200-00003C000000}"/>
    <hyperlink ref="K98" r:id="rId62" xr:uid="{00000000-0004-0000-0200-00003D000000}"/>
    <hyperlink ref="K99" r:id="rId63" xr:uid="{00000000-0004-0000-0200-00003E000000}"/>
    <hyperlink ref="K100" r:id="rId64" xr:uid="{00000000-0004-0000-0200-00003F000000}"/>
    <hyperlink ref="K101" r:id="rId65" xr:uid="{00000000-0004-0000-0200-000040000000}"/>
    <hyperlink ref="K102" r:id="rId66" xr:uid="{00000000-0004-0000-0200-000041000000}"/>
    <hyperlink ref="J106" r:id="rId67" xr:uid="{00000000-0004-0000-0200-000042000000}"/>
    <hyperlink ref="K106" r:id="rId68" xr:uid="{00000000-0004-0000-0200-000043000000}"/>
    <hyperlink ref="K107" r:id="rId69" xr:uid="{00000000-0004-0000-0200-000044000000}"/>
    <hyperlink ref="K109" r:id="rId70" xr:uid="{00000000-0004-0000-0200-000045000000}"/>
    <hyperlink ref="J110" r:id="rId71" xr:uid="{00000000-0004-0000-0200-000046000000}"/>
    <hyperlink ref="K110" r:id="rId72" xr:uid="{00000000-0004-0000-0200-000047000000}"/>
    <hyperlink ref="K111" r:id="rId73" location="authors" xr:uid="{00000000-0004-0000-0200-000048000000}"/>
    <hyperlink ref="K112" r:id="rId74" xr:uid="{00000000-0004-0000-0200-000049000000}"/>
    <hyperlink ref="K113" r:id="rId75" xr:uid="{00000000-0004-0000-0200-00004A000000}"/>
    <hyperlink ref="K114" r:id="rId76" xr:uid="{00000000-0004-0000-0200-00004B000000}"/>
    <hyperlink ref="K115" r:id="rId77" xr:uid="{00000000-0004-0000-0200-00004C000000}"/>
    <hyperlink ref="K116" r:id="rId78" display="http://crm-en.ics.org.ru/journal/article/3595/" xr:uid="{00000000-0004-0000-0200-00004D000000}"/>
    <hyperlink ref="K118" r:id="rId79" xr:uid="{00000000-0004-0000-0200-00004E000000}"/>
    <hyperlink ref="K119" r:id="rId80" xr:uid="{00000000-0004-0000-0200-00004F000000}"/>
    <hyperlink ref="K120" r:id="rId81" xr:uid="{00000000-0004-0000-0200-000050000000}"/>
    <hyperlink ref="K121" r:id="rId82" display="https://drive.google.com/drive/folders/1mFHl19OuLpLOjhKa9WkIm5_knoWAT5MQ  " xr:uid="{00000000-0004-0000-0200-000051000000}"/>
    <hyperlink ref="K122" r:id="rId83" xr:uid="{00000000-0004-0000-0200-000052000000}"/>
    <hyperlink ref="K123" r:id="rId84" xr:uid="{00000000-0004-0000-0200-000053000000}"/>
    <hyperlink ref="K124" r:id="rId85" xr:uid="{00000000-0004-0000-0200-000054000000}"/>
    <hyperlink ref="K125" r:id="rId86" xr:uid="{00000000-0004-0000-0200-000055000000}"/>
    <hyperlink ref="K126" r:id="rId87" xr:uid="{00000000-0004-0000-0200-000056000000}"/>
    <hyperlink ref="K127" r:id="rId88" xr:uid="{00000000-0004-0000-0200-000057000000}"/>
    <hyperlink ref="K128" r:id="rId89" xr:uid="{00000000-0004-0000-0200-000058000000}"/>
    <hyperlink ref="K129" r:id="rId90" xr:uid="{00000000-0004-0000-0200-000059000000}"/>
    <hyperlink ref="K130" r:id="rId91" xr:uid="{00000000-0004-0000-0200-00005A000000}"/>
    <hyperlink ref="K131" r:id="rId92" xr:uid="{00000000-0004-0000-0200-00005B000000}"/>
    <hyperlink ref="K132" r:id="rId93" xr:uid="{00000000-0004-0000-0200-00005C000000}"/>
    <hyperlink ref="K134" r:id="rId94" location="citeas" xr:uid="{00000000-0004-0000-0200-00005D000000}"/>
    <hyperlink ref="K135" r:id="rId95" xr:uid="{00000000-0004-0000-0200-00005E000000}"/>
    <hyperlink ref="K136" r:id="rId96" xr:uid="{00000000-0004-0000-0200-00005F000000}"/>
    <hyperlink ref="K140" r:id="rId97" xr:uid="{00000000-0004-0000-0200-000060000000}"/>
    <hyperlink ref="K142" r:id="rId98" xr:uid="{00000000-0004-0000-0200-000061000000}"/>
    <hyperlink ref="K143" r:id="rId99" xr:uid="{00000000-0004-0000-0200-000062000000}"/>
    <hyperlink ref="K144" r:id="rId100" xr:uid="{00000000-0004-0000-0200-000063000000}"/>
    <hyperlink ref="K145" r:id="rId101" display="https://www.igi-global.com/book/multidisciplinary-approaches-data-innovation-smarter/356275" xr:uid="{00000000-0004-0000-0200-000064000000}"/>
    <hyperlink ref="K146" r:id="rId102" xr:uid="{00000000-0004-0000-0200-000065000000}"/>
    <hyperlink ref="K151" r:id="rId103" xr:uid="{00000000-0004-0000-0200-000066000000}"/>
    <hyperlink ref="K152" r:id="rId104" xr:uid="{00000000-0004-0000-0200-000067000000}"/>
    <hyperlink ref="K153" r:id="rId105" xr:uid="{00000000-0004-0000-0200-000068000000}"/>
    <hyperlink ref="K154" r:id="rId106" display="2025-Jan-ISE-005 (0.25 - Dr.Ciyamala, 0.25-Prof.Manasa)" xr:uid="{00000000-0004-0000-0200-000069000000}"/>
    <hyperlink ref="K155" r:id="rId107" xr:uid="{00000000-0004-0000-0200-00006A000000}"/>
    <hyperlink ref="K157" r:id="rId108" xr:uid="{00000000-0004-0000-0200-00006B000000}"/>
    <hyperlink ref="K158" r:id="rId109" xr:uid="{00000000-0004-0000-0200-00006C000000}"/>
    <hyperlink ref="E161" r:id="rId110" xr:uid="{00000000-0004-0000-0200-00006D000000}"/>
    <hyperlink ref="K161" r:id="rId111" xr:uid="{00000000-0004-0000-0200-00006E000000}"/>
    <hyperlink ref="K162" r:id="rId112" xr:uid="{00000000-0004-0000-0200-00006F000000}"/>
    <hyperlink ref="K163" r:id="rId113" xr:uid="{00000000-0004-0000-0200-000070000000}"/>
    <hyperlink ref="K164" r:id="rId114" xr:uid="{00000000-0004-0000-0200-000071000000}"/>
    <hyperlink ref="H168" r:id="rId115" display="The Impact of The Fourth Industrial Revolution on The Indian Economy: The Rise of Gig Employees in Semi-Rural India" xr:uid="{00000000-0004-0000-0200-000072000000}"/>
    <hyperlink ref="K168" r:id="rId116" display="https://qtanalytics.in/publications/index.php/books/index" xr:uid="{00000000-0004-0000-0200-000073000000}"/>
    <hyperlink ref="K169" r:id="rId117" display="https://www.igi-global.com/chapter/navigating-towards-sustainability/380883" xr:uid="{00000000-0004-0000-0200-000074000000}"/>
    <hyperlink ref="K170" r:id="rId118" display="https://qtanalytics.in/publications/index.php/books/article/download/530/398/1330" xr:uid="{00000000-0004-0000-0200-000075000000}"/>
    <hyperlink ref="K174" r:id="rId119" xr:uid="{00000000-0004-0000-0200-000076000000}"/>
    <hyperlink ref="K176" r:id="rId120" xr:uid="{00000000-0004-0000-0200-000077000000}"/>
    <hyperlink ref="K187" r:id="rId121" xr:uid="{00000000-0004-0000-0200-000078000000}"/>
    <hyperlink ref="K189" r:id="rId122" xr:uid="{00000000-0004-0000-0200-000079000000}"/>
    <hyperlink ref="K190" r:id="rId123" xr:uid="{00000000-0004-0000-0200-00007A000000}"/>
    <hyperlink ref="K198" r:id="rId124" display="https://drive.google.com/file/d/1JeSNCaezOuWBjNozWh8OpWMaI7fEaTH6/view?usp=sharing" xr:uid="{00000000-0004-0000-0200-00007B000000}"/>
    <hyperlink ref="K199" r:id="rId125" xr:uid="{00000000-0004-0000-0200-00007C000000}"/>
    <hyperlink ref="K200" r:id="rId126" xr:uid="{00000000-0004-0000-0200-00007D000000}"/>
    <hyperlink ref="K201" r:id="rId127" xr:uid="{00000000-0004-0000-0200-00007E000000}"/>
    <hyperlink ref="K202" r:id="rId128" xr:uid="{00000000-0004-0000-0200-00007F000000}"/>
    <hyperlink ref="K203" r:id="rId129" display="https://drive.google.com/file/d/1aLPKWpBNaUVEH3WyDW5ZCUZpTUK7aj7i/view?usp=drive_link" xr:uid="{00000000-0004-0000-0200-000080000000}"/>
    <hyperlink ref="K204" r:id="rId130" xr:uid="{00000000-0004-0000-0200-000081000000}"/>
    <hyperlink ref="K205" r:id="rId131" display="2024-Nov-ISE-001" xr:uid="{00000000-0004-0000-0200-000082000000}"/>
    <hyperlink ref="K206" r:id="rId132" display="2024-Nov-ISE-006" xr:uid="{00000000-0004-0000-0200-000083000000}"/>
    <hyperlink ref="K207" r:id="rId133" xr:uid="{00000000-0004-0000-0200-000084000000}"/>
    <hyperlink ref="K208" r:id="rId134" xr:uid="{00000000-0004-0000-0200-000085000000}"/>
    <hyperlink ref="K209" r:id="rId135" xr:uid="{00000000-0004-0000-0200-000086000000}"/>
    <hyperlink ref="K210" r:id="rId136" xr:uid="{00000000-0004-0000-0200-000087000000}"/>
    <hyperlink ref="K211" r:id="rId137" xr:uid="{00000000-0004-0000-0200-000088000000}"/>
    <hyperlink ref="K212" r:id="rId138" xr:uid="{00000000-0004-0000-0200-000089000000}"/>
    <hyperlink ref="I213" r:id="rId139" xr:uid="{00000000-0004-0000-0200-00008A000000}"/>
    <hyperlink ref="K214" r:id="rId140" xr:uid="{00000000-0004-0000-0200-00008B000000}"/>
    <hyperlink ref="K233" r:id="rId141" xr:uid="{00000000-0004-0000-0200-00008D000000}"/>
    <hyperlink ref="K239" r:id="rId142" xr:uid="{00000000-0004-0000-0200-00008E000000}"/>
    <hyperlink ref="K242" r:id="rId143" xr:uid="{00000000-0004-0000-0200-00008F000000}"/>
    <hyperlink ref="K244" r:id="rId144" xr:uid="{00000000-0004-0000-0200-000090000000}"/>
    <hyperlink ref="K246" r:id="rId145" xr:uid="{00000000-0004-0000-0200-000091000000}"/>
    <hyperlink ref="K247" r:id="rId146" xr:uid="{00000000-0004-0000-0200-000092000000}"/>
    <hyperlink ref="K251" r:id="rId147" xr:uid="{00000000-0004-0000-0200-000093000000}"/>
    <hyperlink ref="K252" r:id="rId148" xr:uid="{00000000-0004-0000-0200-000094000000}"/>
    <hyperlink ref="K253" r:id="rId149" xr:uid="{00000000-0004-0000-0200-000095000000}"/>
    <hyperlink ref="K254" r:id="rId150" xr:uid="{00000000-0004-0000-0200-000096000000}"/>
    <hyperlink ref="K255" r:id="rId151" xr:uid="{00000000-0004-0000-0200-000097000000}"/>
    <hyperlink ref="J256" r:id="rId152" xr:uid="{00000000-0004-0000-0200-000098000000}"/>
    <hyperlink ref="K256" r:id="rId153" xr:uid="{00000000-0004-0000-0200-000099000000}"/>
    <hyperlink ref="K257" r:id="rId154" xr:uid="{00000000-0004-0000-0200-00009A000000}"/>
    <hyperlink ref="K258" r:id="rId155" xr:uid="{00000000-0004-0000-0200-00009B000000}"/>
    <hyperlink ref="K259" r:id="rId156" xr:uid="{00000000-0004-0000-0200-00009C000000}"/>
    <hyperlink ref="K260" r:id="rId157" xr:uid="{00000000-0004-0000-0200-00009D000000}"/>
    <hyperlink ref="K261" r:id="rId158" xr:uid="{00000000-0004-0000-0200-00009E000000}"/>
    <hyperlink ref="K262" r:id="rId159" xr:uid="{00000000-0004-0000-0200-00009F000000}"/>
    <hyperlink ref="K263" r:id="rId160" xr:uid="{00000000-0004-0000-0200-0000A0000000}"/>
    <hyperlink ref="K264" r:id="rId161" xr:uid="{00000000-0004-0000-0200-0000A1000000}"/>
    <hyperlink ref="K268" r:id="rId162" display="1363106_2024-Aug-ECE-006_Mandatory Paper_Dr.Ananth.pdf" xr:uid="{00000000-0004-0000-0200-0000A2000000}"/>
    <hyperlink ref="K273" r:id="rId163" xr:uid="{00000000-0004-0000-0200-0000A3000000}"/>
    <hyperlink ref="K274" r:id="rId164" xr:uid="{00000000-0004-0000-0200-0000A4000000}"/>
    <hyperlink ref="K275" r:id="rId165" display=" Paper accepted for publication IJSCC-262340 - Kavitha.np@cmrit.ac.in - CMR Institute of Technology Mail.pdf" xr:uid="{00000000-0004-0000-0200-0000A5000000}"/>
    <hyperlink ref="K279" r:id="rId166" xr:uid="{00000000-0004-0000-0200-0000A6000000}"/>
    <hyperlink ref="K280" r:id="rId167" xr:uid="{00000000-0004-0000-0200-0000A7000000}"/>
    <hyperlink ref="J282" r:id="rId168" xr:uid="{00000000-0004-0000-0200-0000A8000000}"/>
    <hyperlink ref="K282" r:id="rId169" xr:uid="{00000000-0004-0000-0200-0000A9000000}"/>
    <hyperlink ref="K293" r:id="rId170" xr:uid="{00000000-0004-0000-0200-0000AA000000}"/>
    <hyperlink ref="K301" r:id="rId171" xr:uid="{00000000-0004-0000-0200-0000AB000000}"/>
    <hyperlink ref="K307" r:id="rId172" xr:uid="{00000000-0004-0000-0200-0000AC000000}"/>
    <hyperlink ref="K309" r:id="rId173" xr:uid="{00000000-0004-0000-0200-0000AD000000}"/>
    <hyperlink ref="K310" r:id="rId174" xr:uid="{00000000-0004-0000-0200-0000AE000000}"/>
    <hyperlink ref="E311" r:id="rId175" display="Comprehensive Analytical Chemistry ((Hand book))" xr:uid="{00000000-0004-0000-0200-0000AF000000}"/>
    <hyperlink ref="I311" r:id="rId176" xr:uid="{00000000-0004-0000-0200-0000B0000000}"/>
    <hyperlink ref="K311" r:id="rId177" xr:uid="{00000000-0004-0000-0200-0000B1000000}"/>
    <hyperlink ref="K312" r:id="rId178" xr:uid="{00000000-0004-0000-0200-0000B2000000}"/>
    <hyperlink ref="K313" r:id="rId179" xr:uid="{00000000-0004-0000-0200-0000B3000000}"/>
    <hyperlink ref="K314" r:id="rId180" xr:uid="{00000000-0004-0000-0200-0000B4000000}"/>
    <hyperlink ref="I315" r:id="rId181" xr:uid="{00000000-0004-0000-0200-0000B5000000}"/>
    <hyperlink ref="K315" r:id="rId182" xr:uid="{00000000-0004-0000-0200-0000B6000000}"/>
    <hyperlink ref="I316" r:id="rId183" xr:uid="{00000000-0004-0000-0200-0000B7000000}"/>
    <hyperlink ref="K316" r:id="rId184" xr:uid="{00000000-0004-0000-0200-0000B8000000}"/>
    <hyperlink ref="K317" r:id="rId185" xr:uid="{00000000-0004-0000-0200-0000B9000000}"/>
    <hyperlink ref="K318" r:id="rId186" xr:uid="{00000000-0004-0000-0200-0000BA000000}"/>
    <hyperlink ref="K319" r:id="rId187" xr:uid="{00000000-0004-0000-0200-0000BB000000}"/>
    <hyperlink ref="E320" r:id="rId188" display="Nano‐Biosensor Technologies for Diagnosis of Infectious Diseases (Book by Wiley-scrivener publishers)" xr:uid="{00000000-0004-0000-0200-0000BC000000}"/>
    <hyperlink ref="K320" r:id="rId189" xr:uid="{00000000-0004-0000-0200-0000BD000000}"/>
    <hyperlink ref="K321" r:id="rId190" xr:uid="{00000000-0004-0000-0200-0000BE000000}"/>
    <hyperlink ref="K322" r:id="rId191" xr:uid="{00000000-0004-0000-0200-0000BF000000}"/>
    <hyperlink ref="K323" r:id="rId192" xr:uid="{00000000-0004-0000-0200-0000C0000000}"/>
    <hyperlink ref="K324" r:id="rId193" xr:uid="{00000000-0004-0000-0200-0000C1000000}"/>
    <hyperlink ref="K325" r:id="rId194" xr:uid="{00000000-0004-0000-0200-0000C2000000}"/>
    <hyperlink ref="K326" r:id="rId195" xr:uid="{00000000-0004-0000-0200-0000C3000000}"/>
    <hyperlink ref="K327" r:id="rId196" xr:uid="{00000000-0004-0000-0200-0000C4000000}"/>
    <hyperlink ref="K328" r:id="rId197" xr:uid="{00000000-0004-0000-0200-0000C5000000}"/>
    <hyperlink ref="K329" r:id="rId198" display="https://doi.org/10.1016/j.inoche.2024.113620" xr:uid="{00000000-0004-0000-0200-0000C6000000}"/>
    <hyperlink ref="K330" r:id="rId199" xr:uid="{00000000-0004-0000-0200-0000C7000000}"/>
    <hyperlink ref="K331" r:id="rId200" xr:uid="{00000000-0004-0000-0200-0000C8000000}"/>
    <hyperlink ref="K332" r:id="rId201" xr:uid="{00000000-0004-0000-0200-0000C9000000}"/>
    <hyperlink ref="K333" r:id="rId202" xr:uid="{00000000-0004-0000-0200-0000CA000000}"/>
    <hyperlink ref="K334" r:id="rId203" display="https://www.frontiersin.org/journals/toxicology/articles/10.3389/ftox.2025.1477822/full" xr:uid="{00000000-0004-0000-0200-0000CB000000}"/>
    <hyperlink ref="K335" r:id="rId204" xr:uid="{00000000-0004-0000-0200-0000CC000000}"/>
    <hyperlink ref="K336" r:id="rId205" xr:uid="{00000000-0004-0000-0200-0000CD000000}"/>
    <hyperlink ref="E337" r:id="rId206" xr:uid="{00000000-0004-0000-0200-0000CE000000}"/>
    <hyperlink ref="K337" r:id="rId207" xr:uid="{00000000-0004-0000-0200-0000CF000000}"/>
    <hyperlink ref="K338" r:id="rId208" xr:uid="{00000000-0004-0000-0200-0000D0000000}"/>
    <hyperlink ref="K339" r:id="rId209" xr:uid="{00000000-0004-0000-0200-0000D1000000}"/>
    <hyperlink ref="K341" r:id="rId210" xr:uid="{00000000-0004-0000-0200-0000D2000000}"/>
    <hyperlink ref="K342" r:id="rId211" xr:uid="{00000000-0004-0000-0200-0000D3000000}"/>
    <hyperlink ref="N216" r:id="rId212" xr:uid="{00000000-0004-0000-0200-00008C000000}"/>
  </hyperlinks>
  <pageMargins left="0.7" right="0.7" top="0.75" bottom="0.75" header="0" footer="0"/>
  <pageSetup orientation="landscape"/>
  <tableParts count="1">
    <tablePart r:id="rId2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1D8A1-D604-4C37-900F-7B29953E197C}">
  <dimension ref="A1:L185"/>
  <sheetViews>
    <sheetView zoomScale="127" workbookViewId="0">
      <selection activeCell="I8" sqref="I8"/>
    </sheetView>
  </sheetViews>
  <sheetFormatPr defaultRowHeight="13.2"/>
  <cols>
    <col min="1" max="1" width="7.44140625" customWidth="1"/>
    <col min="2" max="2" width="20.77734375" customWidth="1"/>
    <col min="3" max="3" width="33.5546875" customWidth="1"/>
    <col min="4" max="4" width="45.33203125" customWidth="1"/>
    <col min="5" max="5" width="18.33203125" customWidth="1"/>
    <col min="6" max="6" width="38.6640625" customWidth="1"/>
    <col min="7" max="7" width="39.33203125" customWidth="1"/>
    <col min="8" max="8" width="33" customWidth="1"/>
    <col min="9" max="9" width="51.88671875" style="32" customWidth="1"/>
    <col min="10" max="10" width="41.33203125" customWidth="1"/>
    <col min="11" max="11" width="76.88671875" bestFit="1" customWidth="1"/>
    <col min="12" max="12" width="7" bestFit="1" customWidth="1"/>
  </cols>
  <sheetData>
    <row r="1" spans="1:12" ht="27">
      <c r="A1" s="28" t="s">
        <v>991</v>
      </c>
      <c r="B1" s="28" t="s">
        <v>992</v>
      </c>
      <c r="C1" s="29" t="s">
        <v>993</v>
      </c>
      <c r="D1" s="29" t="s">
        <v>3022</v>
      </c>
      <c r="E1" s="28" t="s">
        <v>71</v>
      </c>
      <c r="F1" s="28" t="s">
        <v>994</v>
      </c>
      <c r="G1" s="29" t="s">
        <v>3023</v>
      </c>
      <c r="H1" s="43" t="s">
        <v>3024</v>
      </c>
      <c r="I1" s="56" t="s">
        <v>3052</v>
      </c>
      <c r="J1" s="28" t="s">
        <v>995</v>
      </c>
      <c r="K1" s="28"/>
      <c r="L1" s="28"/>
    </row>
    <row r="2" spans="1:12" ht="26.4">
      <c r="A2" s="28">
        <v>1</v>
      </c>
      <c r="B2" s="28" t="s">
        <v>996</v>
      </c>
      <c r="C2" s="28" t="s">
        <v>997</v>
      </c>
      <c r="D2" s="28" t="s">
        <v>998</v>
      </c>
      <c r="E2" s="28" t="s">
        <v>999</v>
      </c>
      <c r="F2" s="28" t="s">
        <v>1000</v>
      </c>
      <c r="G2" s="28" t="s">
        <v>1001</v>
      </c>
      <c r="H2" s="44">
        <v>45358</v>
      </c>
      <c r="I2" s="30">
        <v>45605</v>
      </c>
      <c r="J2" s="28" t="s">
        <v>1002</v>
      </c>
      <c r="K2" s="28"/>
      <c r="L2" s="28"/>
    </row>
    <row r="3" spans="1:12" ht="26.4">
      <c r="A3" s="28">
        <v>2</v>
      </c>
      <c r="B3" s="28">
        <v>202441071878</v>
      </c>
      <c r="C3" s="28" t="s">
        <v>147</v>
      </c>
      <c r="D3" s="28" t="s">
        <v>96</v>
      </c>
      <c r="E3" s="28" t="s">
        <v>22</v>
      </c>
      <c r="F3" s="28" t="s">
        <v>1003</v>
      </c>
      <c r="G3" s="28" t="s">
        <v>1004</v>
      </c>
      <c r="H3" s="44" t="s">
        <v>1005</v>
      </c>
      <c r="I3" s="30">
        <v>45392</v>
      </c>
      <c r="J3" s="28" t="s">
        <v>1006</v>
      </c>
      <c r="K3" s="28"/>
      <c r="L3" s="28"/>
    </row>
    <row r="4" spans="1:12" ht="26.4">
      <c r="A4" s="28">
        <v>3</v>
      </c>
      <c r="B4" s="28">
        <v>202441071057</v>
      </c>
      <c r="C4" s="28" t="s">
        <v>1007</v>
      </c>
      <c r="D4" s="28" t="s">
        <v>1008</v>
      </c>
      <c r="E4" s="28" t="s">
        <v>14</v>
      </c>
      <c r="F4" s="28" t="s">
        <v>1009</v>
      </c>
      <c r="G4" s="28" t="s">
        <v>1010</v>
      </c>
      <c r="H4" s="44" t="s">
        <v>1011</v>
      </c>
      <c r="I4" s="30" t="s">
        <v>83</v>
      </c>
      <c r="J4" s="28" t="s">
        <v>83</v>
      </c>
      <c r="K4" s="28"/>
      <c r="L4" s="28"/>
    </row>
    <row r="5" spans="1:12" ht="26.4">
      <c r="A5" s="28">
        <v>4</v>
      </c>
      <c r="B5" s="28">
        <v>202441071164</v>
      </c>
      <c r="C5" s="28" t="s">
        <v>1007</v>
      </c>
      <c r="D5" s="28" t="s">
        <v>1012</v>
      </c>
      <c r="E5" s="28" t="s">
        <v>14</v>
      </c>
      <c r="F5" s="28" t="s">
        <v>1013</v>
      </c>
      <c r="G5" s="28" t="s">
        <v>1014</v>
      </c>
      <c r="H5" s="44" t="s">
        <v>1011</v>
      </c>
      <c r="I5" s="30" t="s">
        <v>83</v>
      </c>
      <c r="J5" s="28" t="s">
        <v>83</v>
      </c>
      <c r="K5" s="28"/>
      <c r="L5" s="28"/>
    </row>
    <row r="6" spans="1:12">
      <c r="A6" s="28">
        <v>5</v>
      </c>
      <c r="B6" s="28">
        <v>202441049674</v>
      </c>
      <c r="C6" s="28" t="s">
        <v>1007</v>
      </c>
      <c r="D6" s="28" t="s">
        <v>1015</v>
      </c>
      <c r="E6" s="28" t="s">
        <v>17</v>
      </c>
      <c r="F6" s="28" t="s">
        <v>1016</v>
      </c>
      <c r="G6" s="28" t="s">
        <v>1015</v>
      </c>
      <c r="H6" s="44" t="s">
        <v>1017</v>
      </c>
      <c r="I6" s="30" t="s">
        <v>83</v>
      </c>
      <c r="J6" s="28" t="s">
        <v>83</v>
      </c>
      <c r="K6" s="28"/>
      <c r="L6" s="28"/>
    </row>
    <row r="7" spans="1:12" ht="39.6">
      <c r="A7" s="28">
        <v>6</v>
      </c>
      <c r="B7" s="28">
        <v>202441065133</v>
      </c>
      <c r="C7" s="28" t="s">
        <v>1018</v>
      </c>
      <c r="D7" s="28" t="s">
        <v>1019</v>
      </c>
      <c r="E7" s="28" t="s">
        <v>16</v>
      </c>
      <c r="F7" s="28" t="s">
        <v>1020</v>
      </c>
      <c r="G7" s="28" t="s">
        <v>1019</v>
      </c>
      <c r="H7" s="44" t="s">
        <v>1021</v>
      </c>
      <c r="I7" s="30">
        <v>45452</v>
      </c>
      <c r="J7" s="28" t="s">
        <v>1022</v>
      </c>
      <c r="K7" s="28"/>
      <c r="L7" s="28"/>
    </row>
    <row r="8" spans="1:12" ht="26.4">
      <c r="A8" s="28">
        <v>7</v>
      </c>
      <c r="B8" s="28">
        <v>202441073045</v>
      </c>
      <c r="C8" s="28" t="s">
        <v>1023</v>
      </c>
      <c r="D8" s="28" t="s">
        <v>1024</v>
      </c>
      <c r="E8" s="28" t="s">
        <v>16</v>
      </c>
      <c r="F8" s="28" t="s">
        <v>1025</v>
      </c>
      <c r="G8" s="28" t="s">
        <v>1026</v>
      </c>
      <c r="H8" s="44" t="s">
        <v>1027</v>
      </c>
      <c r="I8" s="30" t="s">
        <v>83</v>
      </c>
      <c r="J8" s="28" t="s">
        <v>83</v>
      </c>
      <c r="K8" s="28"/>
      <c r="L8" s="28"/>
    </row>
    <row r="9" spans="1:12">
      <c r="A9" s="28">
        <v>8</v>
      </c>
      <c r="B9" s="28">
        <v>202441085362</v>
      </c>
      <c r="C9" s="28" t="s">
        <v>147</v>
      </c>
      <c r="D9" s="28" t="s">
        <v>196</v>
      </c>
      <c r="E9" s="28" t="s">
        <v>16</v>
      </c>
      <c r="F9" s="28" t="s">
        <v>1028</v>
      </c>
      <c r="G9" s="28" t="s">
        <v>196</v>
      </c>
      <c r="H9" s="44">
        <v>45484</v>
      </c>
      <c r="I9" s="30" t="s">
        <v>83</v>
      </c>
      <c r="J9" s="28" t="s">
        <v>9</v>
      </c>
      <c r="K9" s="28"/>
      <c r="L9" s="28"/>
    </row>
    <row r="10" spans="1:12">
      <c r="A10" s="28">
        <v>9</v>
      </c>
      <c r="B10" s="28">
        <v>202441085368</v>
      </c>
      <c r="C10" s="28" t="s">
        <v>1007</v>
      </c>
      <c r="D10" s="28" t="s">
        <v>196</v>
      </c>
      <c r="E10" s="28" t="s">
        <v>16</v>
      </c>
      <c r="F10" s="28" t="s">
        <v>1029</v>
      </c>
      <c r="G10" s="28" t="s">
        <v>196</v>
      </c>
      <c r="H10" s="44">
        <v>45484</v>
      </c>
      <c r="I10" s="30" t="s">
        <v>83</v>
      </c>
      <c r="J10" s="28" t="s">
        <v>1030</v>
      </c>
      <c r="K10" s="28"/>
      <c r="L10" s="28"/>
    </row>
    <row r="11" spans="1:12" ht="39.6">
      <c r="A11" s="28">
        <v>10</v>
      </c>
      <c r="B11" s="28">
        <v>202441084592</v>
      </c>
      <c r="C11" s="28" t="s">
        <v>1007</v>
      </c>
      <c r="D11" s="28" t="s">
        <v>659</v>
      </c>
      <c r="E11" s="28" t="s">
        <v>16</v>
      </c>
      <c r="F11" s="28" t="s">
        <v>1031</v>
      </c>
      <c r="G11" s="28" t="s">
        <v>659</v>
      </c>
      <c r="H11" s="44">
        <v>45423</v>
      </c>
      <c r="I11" s="30" t="s">
        <v>83</v>
      </c>
      <c r="J11" s="28" t="s">
        <v>1032</v>
      </c>
      <c r="K11" s="28"/>
      <c r="L11" s="28"/>
    </row>
    <row r="12" spans="1:12" ht="26.4">
      <c r="A12" s="28">
        <v>11</v>
      </c>
      <c r="B12" s="28">
        <v>202441084804</v>
      </c>
      <c r="C12" s="28" t="s">
        <v>1007</v>
      </c>
      <c r="D12" s="28" t="s">
        <v>1033</v>
      </c>
      <c r="E12" s="28" t="s">
        <v>16</v>
      </c>
      <c r="F12" s="28" t="s">
        <v>1034</v>
      </c>
      <c r="G12" s="28" t="s">
        <v>215</v>
      </c>
      <c r="H12" s="44">
        <v>45454</v>
      </c>
      <c r="I12" s="30" t="s">
        <v>83</v>
      </c>
      <c r="J12" s="28" t="s">
        <v>1035</v>
      </c>
      <c r="K12" s="28"/>
      <c r="L12" s="28"/>
    </row>
    <row r="13" spans="1:12" ht="26.4">
      <c r="A13" s="28">
        <v>12</v>
      </c>
      <c r="B13" s="28">
        <v>202441084582</v>
      </c>
      <c r="C13" s="28" t="s">
        <v>1007</v>
      </c>
      <c r="D13" s="28" t="s">
        <v>200</v>
      </c>
      <c r="E13" s="28" t="s">
        <v>16</v>
      </c>
      <c r="F13" s="28" t="s">
        <v>1036</v>
      </c>
      <c r="G13" s="28" t="s">
        <v>200</v>
      </c>
      <c r="H13" s="44">
        <v>45423</v>
      </c>
      <c r="I13" s="30" t="s">
        <v>83</v>
      </c>
      <c r="J13" s="28" t="s">
        <v>1037</v>
      </c>
      <c r="K13" s="28"/>
      <c r="L13" s="28"/>
    </row>
    <row r="14" spans="1:12" ht="39.6">
      <c r="A14" s="28">
        <v>13</v>
      </c>
      <c r="B14" s="28">
        <v>202441097049</v>
      </c>
      <c r="C14" s="28" t="s">
        <v>1007</v>
      </c>
      <c r="D14" s="28" t="s">
        <v>1038</v>
      </c>
      <c r="E14" s="28" t="s">
        <v>17</v>
      </c>
      <c r="F14" s="28" t="s">
        <v>1039</v>
      </c>
      <c r="G14" s="28" t="s">
        <v>1038</v>
      </c>
      <c r="H14" s="44" t="s">
        <v>1040</v>
      </c>
      <c r="I14" s="30" t="s">
        <v>83</v>
      </c>
      <c r="J14" s="28" t="s">
        <v>1041</v>
      </c>
      <c r="K14" s="28"/>
      <c r="L14" s="28"/>
    </row>
    <row r="15" spans="1:12">
      <c r="A15" s="28">
        <v>14</v>
      </c>
      <c r="B15" s="28">
        <v>202441098549</v>
      </c>
      <c r="C15" s="28" t="s">
        <v>1007</v>
      </c>
      <c r="D15" s="28" t="s">
        <v>1042</v>
      </c>
      <c r="E15" s="28" t="s">
        <v>16</v>
      </c>
      <c r="F15" s="28" t="s">
        <v>1043</v>
      </c>
      <c r="G15" s="28" t="s">
        <v>1042</v>
      </c>
      <c r="H15" s="44" t="s">
        <v>1044</v>
      </c>
      <c r="I15" s="30" t="s">
        <v>83</v>
      </c>
      <c r="J15" s="28" t="s">
        <v>1045</v>
      </c>
      <c r="K15" s="28"/>
      <c r="L15" s="28"/>
    </row>
    <row r="16" spans="1:12" ht="39.6">
      <c r="A16" s="28">
        <v>15</v>
      </c>
      <c r="B16" s="28">
        <v>202441098181</v>
      </c>
      <c r="C16" s="28" t="s">
        <v>1007</v>
      </c>
      <c r="D16" s="28" t="s">
        <v>1046</v>
      </c>
      <c r="E16" s="28" t="s">
        <v>23</v>
      </c>
      <c r="F16" s="28" t="s">
        <v>1047</v>
      </c>
      <c r="G16" s="28" t="s">
        <v>1046</v>
      </c>
      <c r="H16" s="44">
        <v>45638</v>
      </c>
      <c r="I16" s="30" t="s">
        <v>83</v>
      </c>
      <c r="J16" s="28" t="s">
        <v>1048</v>
      </c>
      <c r="K16" s="28"/>
      <c r="L16" s="28"/>
    </row>
    <row r="17" spans="1:12" ht="39.6">
      <c r="A17" s="28">
        <v>16</v>
      </c>
      <c r="B17" s="28">
        <v>202441090955</v>
      </c>
      <c r="C17" s="28" t="s">
        <v>1007</v>
      </c>
      <c r="D17" s="28" t="s">
        <v>228</v>
      </c>
      <c r="E17" s="28" t="s">
        <v>14</v>
      </c>
      <c r="F17" s="28" t="s">
        <v>1049</v>
      </c>
      <c r="G17" s="28" t="s">
        <v>1050</v>
      </c>
      <c r="H17" s="44" t="s">
        <v>1051</v>
      </c>
      <c r="I17" s="30" t="s">
        <v>83</v>
      </c>
      <c r="J17" s="28" t="s">
        <v>83</v>
      </c>
      <c r="K17" s="28"/>
      <c r="L17" s="28"/>
    </row>
    <row r="18" spans="1:12" ht="26.4">
      <c r="A18" s="28">
        <v>17</v>
      </c>
      <c r="B18" s="28">
        <v>20241098664</v>
      </c>
      <c r="C18" s="28" t="s">
        <v>1007</v>
      </c>
      <c r="D18" s="28" t="s">
        <v>1052</v>
      </c>
      <c r="E18" s="28" t="s">
        <v>14</v>
      </c>
      <c r="F18" s="28" t="s">
        <v>1053</v>
      </c>
      <c r="G18" s="28" t="s">
        <v>1054</v>
      </c>
      <c r="H18" s="44" t="s">
        <v>1044</v>
      </c>
      <c r="I18" s="30" t="s">
        <v>83</v>
      </c>
      <c r="J18" s="28" t="s">
        <v>83</v>
      </c>
      <c r="K18" s="28"/>
      <c r="L18" s="28"/>
    </row>
    <row r="19" spans="1:12" ht="39.6">
      <c r="A19" s="28">
        <v>18</v>
      </c>
      <c r="B19" s="28">
        <v>202441099788</v>
      </c>
      <c r="C19" s="28" t="s">
        <v>1007</v>
      </c>
      <c r="D19" s="28" t="s">
        <v>1055</v>
      </c>
      <c r="E19" s="28" t="s">
        <v>16</v>
      </c>
      <c r="F19" s="28" t="s">
        <v>1056</v>
      </c>
      <c r="G19" s="28" t="s">
        <v>1055</v>
      </c>
      <c r="H19" s="44" t="s">
        <v>1057</v>
      </c>
      <c r="I19" s="30" t="s">
        <v>83</v>
      </c>
      <c r="J19" s="28" t="s">
        <v>1058</v>
      </c>
      <c r="K19" s="28"/>
      <c r="L19" s="28"/>
    </row>
    <row r="20" spans="1:12" ht="26.4">
      <c r="A20" s="28">
        <v>19</v>
      </c>
      <c r="B20" s="28">
        <v>202441051961</v>
      </c>
      <c r="C20" s="28" t="s">
        <v>1059</v>
      </c>
      <c r="D20" s="28" t="s">
        <v>1060</v>
      </c>
      <c r="E20" s="28" t="s">
        <v>424</v>
      </c>
      <c r="F20" s="28" t="s">
        <v>1061</v>
      </c>
      <c r="G20" s="28" t="s">
        <v>1060</v>
      </c>
      <c r="H20" s="44">
        <v>45511</v>
      </c>
      <c r="I20" s="30" t="s">
        <v>755</v>
      </c>
      <c r="J20" s="28" t="s">
        <v>1062</v>
      </c>
      <c r="K20" s="28"/>
      <c r="L20" s="28"/>
    </row>
    <row r="21" spans="1:12" ht="39.6">
      <c r="A21" s="28">
        <v>20</v>
      </c>
      <c r="B21" s="28">
        <v>202441103930</v>
      </c>
      <c r="C21" s="28" t="s">
        <v>147</v>
      </c>
      <c r="D21" s="28" t="s">
        <v>1063</v>
      </c>
      <c r="E21" s="28" t="s">
        <v>16</v>
      </c>
      <c r="F21" s="28" t="s">
        <v>1064</v>
      </c>
      <c r="G21" s="28" t="s">
        <v>1063</v>
      </c>
      <c r="H21" s="44" t="s">
        <v>1065</v>
      </c>
      <c r="I21" s="30" t="s">
        <v>1066</v>
      </c>
      <c r="J21" s="28" t="s">
        <v>1067</v>
      </c>
      <c r="K21" s="28"/>
      <c r="L21" s="28"/>
    </row>
    <row r="22" spans="1:12" ht="26.4">
      <c r="A22" s="28">
        <v>21</v>
      </c>
      <c r="B22" s="28">
        <v>202441099853</v>
      </c>
      <c r="C22" s="28" t="s">
        <v>1059</v>
      </c>
      <c r="D22" s="28" t="s">
        <v>1068</v>
      </c>
      <c r="E22" s="28" t="s">
        <v>15</v>
      </c>
      <c r="F22" s="28" t="s">
        <v>1069</v>
      </c>
      <c r="G22" s="28" t="s">
        <v>1068</v>
      </c>
      <c r="H22" s="44" t="s">
        <v>1070</v>
      </c>
      <c r="I22" s="30" t="s">
        <v>83</v>
      </c>
      <c r="J22" s="28" t="s">
        <v>83</v>
      </c>
      <c r="K22" s="28"/>
      <c r="L22" s="28"/>
    </row>
    <row r="23" spans="1:12" ht="39.6">
      <c r="A23" s="28">
        <v>22</v>
      </c>
      <c r="B23" s="28">
        <v>202441079114</v>
      </c>
      <c r="C23" s="28" t="s">
        <v>1059</v>
      </c>
      <c r="D23" s="28" t="s">
        <v>1071</v>
      </c>
      <c r="E23" s="28" t="s">
        <v>20</v>
      </c>
      <c r="F23" s="28" t="s">
        <v>1072</v>
      </c>
      <c r="G23" s="28" t="s">
        <v>1071</v>
      </c>
      <c r="H23" s="44" t="s">
        <v>1073</v>
      </c>
      <c r="I23" s="30" t="s">
        <v>83</v>
      </c>
      <c r="J23" s="28" t="s">
        <v>83</v>
      </c>
      <c r="K23" s="28"/>
      <c r="L23" s="28"/>
    </row>
    <row r="24" spans="1:12" ht="52.8">
      <c r="A24" s="28">
        <v>23</v>
      </c>
      <c r="B24" s="28">
        <v>202441085354</v>
      </c>
      <c r="C24" s="28" t="s">
        <v>1059</v>
      </c>
      <c r="D24" s="28" t="s">
        <v>1074</v>
      </c>
      <c r="E24" s="28" t="s">
        <v>20</v>
      </c>
      <c r="F24" s="28" t="s">
        <v>1075</v>
      </c>
      <c r="G24" s="28" t="s">
        <v>1074</v>
      </c>
      <c r="H24" s="44" t="s">
        <v>1076</v>
      </c>
      <c r="I24" s="30" t="s">
        <v>83</v>
      </c>
      <c r="J24" s="28" t="s">
        <v>83</v>
      </c>
      <c r="K24" s="28"/>
      <c r="L24" s="28"/>
    </row>
    <row r="25" spans="1:12" ht="39.6">
      <c r="A25" s="28">
        <v>24</v>
      </c>
      <c r="B25" s="28">
        <v>202441094713</v>
      </c>
      <c r="C25" s="28" t="s">
        <v>1059</v>
      </c>
      <c r="D25" s="28" t="s">
        <v>1074</v>
      </c>
      <c r="E25" s="28" t="s">
        <v>20</v>
      </c>
      <c r="F25" s="28" t="s">
        <v>1077</v>
      </c>
      <c r="G25" s="28" t="s">
        <v>1074</v>
      </c>
      <c r="H25" s="44" t="s">
        <v>1078</v>
      </c>
      <c r="I25" s="30" t="s">
        <v>83</v>
      </c>
      <c r="J25" s="28" t="s">
        <v>83</v>
      </c>
      <c r="K25" s="28"/>
      <c r="L25" s="28"/>
    </row>
    <row r="26" spans="1:12" ht="26.4">
      <c r="A26" s="28">
        <v>25</v>
      </c>
      <c r="B26" s="28">
        <v>202024107613.29999</v>
      </c>
      <c r="C26" s="28" t="s">
        <v>1007</v>
      </c>
      <c r="D26" s="28" t="s">
        <v>1079</v>
      </c>
      <c r="E26" s="28" t="s">
        <v>14</v>
      </c>
      <c r="F26" s="28" t="s">
        <v>1080</v>
      </c>
      <c r="G26" s="28" t="s">
        <v>1079</v>
      </c>
      <c r="H26" s="44" t="s">
        <v>1081</v>
      </c>
      <c r="I26" s="30" t="s">
        <v>83</v>
      </c>
      <c r="J26" s="28" t="s">
        <v>83</v>
      </c>
      <c r="K26" s="28"/>
      <c r="L26" s="28"/>
    </row>
    <row r="27" spans="1:12" ht="39.6">
      <c r="A27" s="28">
        <v>26</v>
      </c>
      <c r="B27" s="28">
        <v>202441099767</v>
      </c>
      <c r="C27" s="28" t="s">
        <v>1007</v>
      </c>
      <c r="D27" s="28" t="s">
        <v>1082</v>
      </c>
      <c r="E27" s="28" t="s">
        <v>14</v>
      </c>
      <c r="F27" s="28" t="s">
        <v>1083</v>
      </c>
      <c r="G27" s="28" t="s">
        <v>1084</v>
      </c>
      <c r="H27" s="44" t="s">
        <v>1085</v>
      </c>
      <c r="I27" s="30" t="s">
        <v>83</v>
      </c>
      <c r="J27" s="28" t="s">
        <v>83</v>
      </c>
      <c r="K27" s="28"/>
      <c r="L27" s="28"/>
    </row>
    <row r="28" spans="1:12" ht="39.6">
      <c r="A28" s="28">
        <v>27</v>
      </c>
      <c r="B28" s="28">
        <v>202541004342</v>
      </c>
      <c r="C28" s="28" t="s">
        <v>1007</v>
      </c>
      <c r="D28" s="28" t="s">
        <v>1086</v>
      </c>
      <c r="E28" s="28" t="s">
        <v>14</v>
      </c>
      <c r="F28" s="28" t="s">
        <v>1087</v>
      </c>
      <c r="G28" s="28" t="s">
        <v>1086</v>
      </c>
      <c r="H28" s="44" t="s">
        <v>1088</v>
      </c>
      <c r="I28" s="30" t="s">
        <v>83</v>
      </c>
      <c r="J28" s="28" t="s">
        <v>83</v>
      </c>
      <c r="K28" s="28"/>
      <c r="L28" s="28"/>
    </row>
    <row r="29" spans="1:12">
      <c r="A29" s="28">
        <v>28</v>
      </c>
      <c r="B29" s="28">
        <v>202441101812</v>
      </c>
      <c r="C29" s="28" t="s">
        <v>1007</v>
      </c>
      <c r="D29" s="28" t="s">
        <v>1089</v>
      </c>
      <c r="E29" s="28" t="s">
        <v>23</v>
      </c>
      <c r="F29" s="28" t="s">
        <v>1090</v>
      </c>
      <c r="G29" s="28" t="s">
        <v>1089</v>
      </c>
      <c r="H29" s="44" t="s">
        <v>1091</v>
      </c>
      <c r="I29" s="30" t="s">
        <v>83</v>
      </c>
      <c r="J29" s="28" t="s">
        <v>83</v>
      </c>
      <c r="K29" s="28"/>
      <c r="L29" s="28"/>
    </row>
    <row r="30" spans="1:12" ht="26.4">
      <c r="A30" s="28">
        <v>29</v>
      </c>
      <c r="B30" s="28">
        <v>202441102644</v>
      </c>
      <c r="C30" s="28" t="s">
        <v>1007</v>
      </c>
      <c r="D30" s="28" t="s">
        <v>1092</v>
      </c>
      <c r="E30" s="28" t="s">
        <v>23</v>
      </c>
      <c r="F30" s="28" t="s">
        <v>1093</v>
      </c>
      <c r="G30" s="28" t="s">
        <v>1094</v>
      </c>
      <c r="H30" s="44">
        <v>45627</v>
      </c>
      <c r="I30" s="30" t="s">
        <v>83</v>
      </c>
      <c r="J30" s="28" t="s">
        <v>83</v>
      </c>
      <c r="K30" s="28"/>
      <c r="L30" s="28"/>
    </row>
    <row r="31" spans="1:12">
      <c r="A31" s="28">
        <v>30</v>
      </c>
      <c r="B31" s="28">
        <v>202441104295</v>
      </c>
      <c r="C31" s="28" t="s">
        <v>1007</v>
      </c>
      <c r="D31" s="28" t="s">
        <v>515</v>
      </c>
      <c r="E31" s="28" t="s">
        <v>23</v>
      </c>
      <c r="F31" s="28" t="s">
        <v>1095</v>
      </c>
      <c r="G31" s="28" t="s">
        <v>1096</v>
      </c>
      <c r="H31" s="44" t="s">
        <v>1097</v>
      </c>
      <c r="I31" s="30" t="s">
        <v>83</v>
      </c>
      <c r="J31" s="28" t="s">
        <v>83</v>
      </c>
      <c r="K31" s="28"/>
      <c r="L31" s="28"/>
    </row>
    <row r="32" spans="1:12" ht="26.4">
      <c r="A32" s="28">
        <v>31</v>
      </c>
      <c r="B32" s="28">
        <v>202541001326</v>
      </c>
      <c r="C32" s="28" t="s">
        <v>1007</v>
      </c>
      <c r="D32" s="28" t="s">
        <v>1098</v>
      </c>
      <c r="E32" s="28" t="s">
        <v>16</v>
      </c>
      <c r="F32" s="28" t="s">
        <v>1099</v>
      </c>
      <c r="G32" s="28" t="s">
        <v>1098</v>
      </c>
      <c r="H32" s="44">
        <v>45839</v>
      </c>
      <c r="I32" s="30" t="s">
        <v>83</v>
      </c>
      <c r="J32" s="28" t="s">
        <v>1100</v>
      </c>
      <c r="K32" s="28"/>
      <c r="L32" s="28"/>
    </row>
    <row r="33" spans="1:12" ht="26.4">
      <c r="A33" s="28">
        <v>32</v>
      </c>
      <c r="B33" s="28">
        <v>202541012160</v>
      </c>
      <c r="C33" s="28" t="s">
        <v>1007</v>
      </c>
      <c r="D33" s="28" t="s">
        <v>1101</v>
      </c>
      <c r="E33" s="28" t="s">
        <v>16</v>
      </c>
      <c r="F33" s="28" t="s">
        <v>1102</v>
      </c>
      <c r="G33" s="28" t="s">
        <v>1101</v>
      </c>
      <c r="H33" s="44" t="s">
        <v>1103</v>
      </c>
      <c r="I33" s="30" t="s">
        <v>83</v>
      </c>
      <c r="J33" s="28" t="s">
        <v>1104</v>
      </c>
      <c r="K33" s="28"/>
      <c r="L33" s="28"/>
    </row>
    <row r="34" spans="1:12">
      <c r="A34" s="28">
        <v>33</v>
      </c>
      <c r="B34" s="28">
        <v>202441103101</v>
      </c>
      <c r="C34" s="28" t="s">
        <v>1007</v>
      </c>
      <c r="D34" s="28" t="s">
        <v>1105</v>
      </c>
      <c r="E34" s="28" t="s">
        <v>15</v>
      </c>
      <c r="F34" s="28" t="s">
        <v>1106</v>
      </c>
      <c r="G34" s="28" t="s">
        <v>1105</v>
      </c>
      <c r="H34" s="44" t="s">
        <v>1107</v>
      </c>
      <c r="I34" s="30" t="s">
        <v>83</v>
      </c>
      <c r="J34" s="28" t="s">
        <v>83</v>
      </c>
      <c r="K34" s="28"/>
      <c r="L34" s="28"/>
    </row>
    <row r="35" spans="1:12" ht="39.6">
      <c r="A35" s="28">
        <v>34</v>
      </c>
      <c r="B35" s="28">
        <v>202541010267</v>
      </c>
      <c r="C35" s="28" t="s">
        <v>1007</v>
      </c>
      <c r="D35" s="28" t="s">
        <v>293</v>
      </c>
      <c r="E35" s="28" t="s">
        <v>15</v>
      </c>
      <c r="F35" s="28" t="s">
        <v>1108</v>
      </c>
      <c r="G35" s="28" t="s">
        <v>293</v>
      </c>
      <c r="H35" s="44">
        <v>45840</v>
      </c>
      <c r="I35" s="30" t="s">
        <v>83</v>
      </c>
      <c r="J35" s="28" t="s">
        <v>83</v>
      </c>
      <c r="K35" s="28"/>
      <c r="L35" s="28"/>
    </row>
    <row r="36" spans="1:12" ht="39.6">
      <c r="A36" s="28">
        <v>35</v>
      </c>
      <c r="B36" s="28">
        <v>202541004630</v>
      </c>
      <c r="C36" s="28" t="s">
        <v>1007</v>
      </c>
      <c r="D36" s="28" t="s">
        <v>1109</v>
      </c>
      <c r="E36" s="28" t="s">
        <v>20</v>
      </c>
      <c r="F36" s="28" t="s">
        <v>1110</v>
      </c>
      <c r="G36" s="28" t="s">
        <v>1109</v>
      </c>
      <c r="H36" s="44" t="s">
        <v>1111</v>
      </c>
      <c r="I36" s="30" t="s">
        <v>83</v>
      </c>
      <c r="J36" s="28" t="s">
        <v>83</v>
      </c>
      <c r="K36" s="28"/>
      <c r="L36" s="28"/>
    </row>
    <row r="37" spans="1:12" ht="26.4">
      <c r="A37" s="28">
        <v>36</v>
      </c>
      <c r="B37" s="28">
        <v>202541013376</v>
      </c>
      <c r="C37" s="28" t="s">
        <v>1112</v>
      </c>
      <c r="D37" s="28" t="s">
        <v>1063</v>
      </c>
      <c r="E37" s="28" t="s">
        <v>16</v>
      </c>
      <c r="F37" s="28" t="s">
        <v>1113</v>
      </c>
      <c r="G37" s="28" t="s">
        <v>1063</v>
      </c>
      <c r="H37" s="44">
        <v>45705</v>
      </c>
      <c r="I37" s="30" t="s">
        <v>83</v>
      </c>
      <c r="J37" s="28" t="s">
        <v>1114</v>
      </c>
      <c r="K37" s="28"/>
      <c r="L37" s="28"/>
    </row>
    <row r="38" spans="1:12" ht="26.4">
      <c r="A38" s="28">
        <v>37</v>
      </c>
      <c r="B38" s="28">
        <v>202541006247</v>
      </c>
      <c r="C38" s="28" t="s">
        <v>1007</v>
      </c>
      <c r="D38" s="28" t="s">
        <v>1115</v>
      </c>
      <c r="E38" s="28" t="s">
        <v>14</v>
      </c>
      <c r="F38" s="28" t="s">
        <v>1116</v>
      </c>
      <c r="G38" s="28" t="s">
        <v>1115</v>
      </c>
      <c r="H38" s="44" t="s">
        <v>1117</v>
      </c>
      <c r="I38" s="30" t="s">
        <v>83</v>
      </c>
      <c r="J38" s="28" t="s">
        <v>83</v>
      </c>
      <c r="K38" s="28"/>
      <c r="L38" s="28"/>
    </row>
    <row r="39" spans="1:12" ht="26.4">
      <c r="A39" s="28">
        <v>38</v>
      </c>
      <c r="B39" s="28">
        <v>202541008661</v>
      </c>
      <c r="C39" s="28" t="s">
        <v>1007</v>
      </c>
      <c r="D39" s="28" t="s">
        <v>846</v>
      </c>
      <c r="E39" s="28" t="s">
        <v>14</v>
      </c>
      <c r="F39" s="28" t="s">
        <v>1118</v>
      </c>
      <c r="G39" s="28" t="s">
        <v>1119</v>
      </c>
      <c r="H39" s="44">
        <v>45718</v>
      </c>
      <c r="I39" s="30" t="s">
        <v>83</v>
      </c>
      <c r="J39" s="28" t="s">
        <v>83</v>
      </c>
      <c r="K39" s="28"/>
      <c r="L39" s="28"/>
    </row>
    <row r="40" spans="1:12" ht="39.6">
      <c r="A40" s="28">
        <v>39</v>
      </c>
      <c r="B40" s="28">
        <v>202541004273</v>
      </c>
      <c r="C40" s="28" t="s">
        <v>1007</v>
      </c>
      <c r="D40" s="28" t="s">
        <v>1120</v>
      </c>
      <c r="E40" s="28" t="s">
        <v>14</v>
      </c>
      <c r="F40" s="28" t="s">
        <v>1121</v>
      </c>
      <c r="G40" s="28" t="s">
        <v>1120</v>
      </c>
      <c r="H40" s="44" t="s">
        <v>1122</v>
      </c>
      <c r="I40" s="30" t="s">
        <v>83</v>
      </c>
      <c r="J40" s="28" t="s">
        <v>83</v>
      </c>
      <c r="K40" s="28"/>
      <c r="L40" s="28"/>
    </row>
    <row r="41" spans="1:12" ht="39.6">
      <c r="A41" s="28">
        <v>40</v>
      </c>
      <c r="B41" s="28">
        <v>202531001922</v>
      </c>
      <c r="C41" s="28" t="s">
        <v>1007</v>
      </c>
      <c r="D41" s="28" t="s">
        <v>116</v>
      </c>
      <c r="E41" s="28" t="s">
        <v>14</v>
      </c>
      <c r="F41" s="28" t="s">
        <v>1123</v>
      </c>
      <c r="G41" s="28" t="s">
        <v>116</v>
      </c>
      <c r="H41" s="44" t="s">
        <v>1124</v>
      </c>
      <c r="I41" s="30" t="s">
        <v>83</v>
      </c>
      <c r="J41" s="28" t="s">
        <v>83</v>
      </c>
      <c r="K41" s="28"/>
      <c r="L41" s="28"/>
    </row>
    <row r="42" spans="1:12" ht="26.4">
      <c r="A42" s="28">
        <v>41</v>
      </c>
      <c r="B42" s="28">
        <v>202541010266</v>
      </c>
      <c r="C42" s="28" t="s">
        <v>1007</v>
      </c>
      <c r="D42" s="28" t="s">
        <v>1125</v>
      </c>
      <c r="E42" s="28" t="s">
        <v>15</v>
      </c>
      <c r="F42" s="28" t="s">
        <v>1126</v>
      </c>
      <c r="G42" s="28" t="s">
        <v>1125</v>
      </c>
      <c r="H42" s="44">
        <v>45840</v>
      </c>
      <c r="I42" s="30" t="s">
        <v>83</v>
      </c>
      <c r="J42" s="28" t="s">
        <v>83</v>
      </c>
      <c r="K42" s="28"/>
      <c r="L42" s="28"/>
    </row>
    <row r="43" spans="1:12" ht="39.6">
      <c r="A43" s="28">
        <v>42</v>
      </c>
      <c r="B43" s="28">
        <v>202541012529</v>
      </c>
      <c r="C43" s="28" t="s">
        <v>1007</v>
      </c>
      <c r="D43" s="28" t="s">
        <v>699</v>
      </c>
      <c r="E43" s="28" t="s">
        <v>15</v>
      </c>
      <c r="F43" s="28" t="s">
        <v>1127</v>
      </c>
      <c r="G43" s="28" t="s">
        <v>699</v>
      </c>
      <c r="H43" s="44" t="s">
        <v>1128</v>
      </c>
      <c r="I43" s="30" t="s">
        <v>83</v>
      </c>
      <c r="J43" s="28" t="s">
        <v>83</v>
      </c>
      <c r="K43" s="28"/>
      <c r="L43" s="28"/>
    </row>
    <row r="44" spans="1:12" ht="39.6">
      <c r="A44" s="28">
        <v>43</v>
      </c>
      <c r="B44" s="28" t="s">
        <v>1129</v>
      </c>
      <c r="C44" s="28" t="s">
        <v>1007</v>
      </c>
      <c r="D44" s="28" t="s">
        <v>399</v>
      </c>
      <c r="E44" s="28" t="s">
        <v>14</v>
      </c>
      <c r="F44" s="28" t="s">
        <v>1130</v>
      </c>
      <c r="G44" s="28" t="s">
        <v>1131</v>
      </c>
      <c r="H44" s="44" t="s">
        <v>1011</v>
      </c>
      <c r="I44" s="30">
        <v>45392</v>
      </c>
      <c r="J44" s="28" t="s">
        <v>83</v>
      </c>
      <c r="K44" s="28"/>
      <c r="L44" s="28"/>
    </row>
    <row r="45" spans="1:12" ht="26.4">
      <c r="A45" s="28">
        <v>44</v>
      </c>
      <c r="B45" s="28">
        <v>202441104722</v>
      </c>
      <c r="C45" s="28" t="s">
        <v>1007</v>
      </c>
      <c r="D45" s="28" t="s">
        <v>1132</v>
      </c>
      <c r="E45" s="28" t="s">
        <v>16</v>
      </c>
      <c r="F45" s="28" t="s">
        <v>1133</v>
      </c>
      <c r="G45" s="28" t="s">
        <v>1134</v>
      </c>
      <c r="H45" s="44" t="s">
        <v>1135</v>
      </c>
      <c r="I45" s="30" t="s">
        <v>83</v>
      </c>
      <c r="J45" s="28" t="s">
        <v>1104</v>
      </c>
      <c r="K45" s="28"/>
      <c r="L45" s="28"/>
    </row>
    <row r="46" spans="1:12" ht="26.4">
      <c r="A46" s="28">
        <v>45</v>
      </c>
      <c r="B46" s="28">
        <v>202541022950</v>
      </c>
      <c r="C46" s="28" t="s">
        <v>1007</v>
      </c>
      <c r="D46" s="28" t="s">
        <v>1136</v>
      </c>
      <c r="E46" s="28" t="s">
        <v>16</v>
      </c>
      <c r="F46" s="28" t="s">
        <v>1137</v>
      </c>
      <c r="G46" s="28" t="s">
        <v>145</v>
      </c>
      <c r="H46" s="44" t="s">
        <v>1138</v>
      </c>
      <c r="I46" s="30" t="s">
        <v>1139</v>
      </c>
      <c r="J46" s="28" t="s">
        <v>1140</v>
      </c>
      <c r="K46" s="28"/>
      <c r="L46" s="28"/>
    </row>
    <row r="47" spans="1:12" ht="52.8">
      <c r="A47" s="28">
        <v>46</v>
      </c>
      <c r="B47" s="28">
        <v>202541018546</v>
      </c>
      <c r="C47" s="28" t="s">
        <v>1007</v>
      </c>
      <c r="D47" s="28" t="s">
        <v>597</v>
      </c>
      <c r="E47" s="28" t="s">
        <v>15</v>
      </c>
      <c r="F47" s="28" t="s">
        <v>1141</v>
      </c>
      <c r="G47" s="28" t="s">
        <v>597</v>
      </c>
      <c r="H47" s="44">
        <v>45719</v>
      </c>
      <c r="I47" s="30" t="s">
        <v>83</v>
      </c>
      <c r="J47" s="28" t="s">
        <v>83</v>
      </c>
      <c r="K47" s="28"/>
      <c r="L47" s="28"/>
    </row>
    <row r="48" spans="1:12" ht="52.8">
      <c r="A48" s="28">
        <v>47</v>
      </c>
      <c r="B48" s="28" t="s">
        <v>1142</v>
      </c>
      <c r="C48" s="28" t="s">
        <v>1007</v>
      </c>
      <c r="D48" s="28" t="s">
        <v>1143</v>
      </c>
      <c r="E48" s="28" t="s">
        <v>23</v>
      </c>
      <c r="F48" s="28" t="s">
        <v>1144</v>
      </c>
      <c r="G48" s="28" t="s">
        <v>1145</v>
      </c>
      <c r="H48" s="44" t="s">
        <v>1138</v>
      </c>
      <c r="I48" s="30" t="s">
        <v>83</v>
      </c>
      <c r="J48" s="28" t="s">
        <v>83</v>
      </c>
      <c r="K48" s="28"/>
      <c r="L48" s="28"/>
    </row>
    <row r="49" spans="1:12" ht="26.4">
      <c r="A49" s="28">
        <v>48</v>
      </c>
      <c r="B49" s="28">
        <v>202541019603</v>
      </c>
      <c r="C49" s="28" t="s">
        <v>1007</v>
      </c>
      <c r="D49" s="28" t="s">
        <v>1146</v>
      </c>
      <c r="E49" s="28" t="s">
        <v>14</v>
      </c>
      <c r="F49" s="28" t="s">
        <v>1147</v>
      </c>
      <c r="G49" s="28" t="s">
        <v>1148</v>
      </c>
      <c r="H49" s="44">
        <v>45780</v>
      </c>
      <c r="I49" s="30" t="s">
        <v>40</v>
      </c>
      <c r="J49" s="28" t="s">
        <v>83</v>
      </c>
      <c r="K49" s="28"/>
      <c r="L49" s="28"/>
    </row>
    <row r="50" spans="1:12" ht="66">
      <c r="A50" s="28">
        <v>49</v>
      </c>
      <c r="B50" s="28">
        <v>202541019094</v>
      </c>
      <c r="C50" s="28" t="s">
        <v>1059</v>
      </c>
      <c r="D50" s="28" t="s">
        <v>849</v>
      </c>
      <c r="E50" s="28" t="s">
        <v>14</v>
      </c>
      <c r="F50" s="28" t="s">
        <v>1149</v>
      </c>
      <c r="G50" s="28" t="s">
        <v>1150</v>
      </c>
      <c r="H50" s="44">
        <v>45750</v>
      </c>
      <c r="I50" s="30" t="s">
        <v>40</v>
      </c>
      <c r="J50" s="28" t="s">
        <v>83</v>
      </c>
      <c r="K50" s="28"/>
      <c r="L50" s="28"/>
    </row>
    <row r="51" spans="1:12" ht="26.4">
      <c r="A51" s="28">
        <v>50</v>
      </c>
      <c r="B51" s="28">
        <v>202541009095</v>
      </c>
      <c r="C51" s="28" t="s">
        <v>1059</v>
      </c>
      <c r="D51" s="28" t="s">
        <v>141</v>
      </c>
      <c r="E51" s="28" t="s">
        <v>16</v>
      </c>
      <c r="F51" s="28" t="s">
        <v>1151</v>
      </c>
      <c r="G51" s="28" t="s">
        <v>141</v>
      </c>
      <c r="H51" s="44">
        <v>45749</v>
      </c>
      <c r="I51" s="30" t="s">
        <v>83</v>
      </c>
      <c r="J51" s="28" t="s">
        <v>1152</v>
      </c>
      <c r="K51" s="28"/>
      <c r="L51" s="28"/>
    </row>
    <row r="52" spans="1:12" ht="52.8">
      <c r="A52" s="28">
        <v>51</v>
      </c>
      <c r="B52" s="28">
        <v>202411062261</v>
      </c>
      <c r="C52" s="28" t="s">
        <v>147</v>
      </c>
      <c r="D52" s="28" t="s">
        <v>1153</v>
      </c>
      <c r="E52" s="28" t="s">
        <v>16</v>
      </c>
      <c r="F52" s="28" t="s">
        <v>1154</v>
      </c>
      <c r="G52" s="28" t="s">
        <v>1153</v>
      </c>
      <c r="H52" s="44" t="s">
        <v>1155</v>
      </c>
      <c r="I52" s="30" t="s">
        <v>1156</v>
      </c>
      <c r="J52" s="28" t="s">
        <v>1157</v>
      </c>
      <c r="K52" s="28"/>
      <c r="L52" s="28"/>
    </row>
    <row r="53" spans="1:12" ht="39.6">
      <c r="A53" s="28">
        <v>52</v>
      </c>
      <c r="B53" s="28">
        <v>202541033658</v>
      </c>
      <c r="C53" s="28" t="s">
        <v>1007</v>
      </c>
      <c r="D53" s="28" t="s">
        <v>1158</v>
      </c>
      <c r="E53" s="28" t="s">
        <v>16</v>
      </c>
      <c r="F53" s="28" t="s">
        <v>1159</v>
      </c>
      <c r="G53" s="28" t="s">
        <v>1158</v>
      </c>
      <c r="H53" s="44">
        <v>45842</v>
      </c>
      <c r="I53" s="30" t="s">
        <v>83</v>
      </c>
      <c r="J53" s="28" t="s">
        <v>1160</v>
      </c>
      <c r="K53" s="28"/>
      <c r="L53" s="28"/>
    </row>
    <row r="54" spans="1:12">
      <c r="A54" s="28">
        <v>53</v>
      </c>
      <c r="B54" s="28">
        <v>202541020683</v>
      </c>
      <c r="C54" s="28" t="s">
        <v>1007</v>
      </c>
      <c r="D54" s="28" t="s">
        <v>563</v>
      </c>
      <c r="E54" s="28" t="s">
        <v>17</v>
      </c>
      <c r="F54" s="28" t="s">
        <v>1161</v>
      </c>
      <c r="G54" s="28" t="s">
        <v>563</v>
      </c>
      <c r="H54" s="44">
        <v>45723</v>
      </c>
      <c r="I54" s="30" t="s">
        <v>83</v>
      </c>
      <c r="J54" s="28" t="s">
        <v>1162</v>
      </c>
      <c r="K54" s="28"/>
      <c r="L54" s="28"/>
    </row>
    <row r="55" spans="1:12" ht="39.6">
      <c r="A55" s="28">
        <v>54</v>
      </c>
      <c r="B55" s="28">
        <v>202541022963</v>
      </c>
      <c r="C55" s="28" t="s">
        <v>1007</v>
      </c>
      <c r="D55" s="28" t="s">
        <v>167</v>
      </c>
      <c r="E55" s="28" t="s">
        <v>17</v>
      </c>
      <c r="F55" s="28" t="s">
        <v>1163</v>
      </c>
      <c r="G55" s="28" t="s">
        <v>167</v>
      </c>
      <c r="H55" s="44" t="s">
        <v>1164</v>
      </c>
      <c r="I55" s="30" t="s">
        <v>83</v>
      </c>
      <c r="J55" s="28" t="s">
        <v>1165</v>
      </c>
      <c r="K55" s="28"/>
      <c r="L55" s="28"/>
    </row>
    <row r="56" spans="1:12" ht="26.4">
      <c r="A56" s="28">
        <v>55</v>
      </c>
      <c r="B56" s="28">
        <v>202541032505</v>
      </c>
      <c r="C56" s="28" t="s">
        <v>1007</v>
      </c>
      <c r="D56" s="28" t="s">
        <v>257</v>
      </c>
      <c r="E56" s="28" t="s">
        <v>15</v>
      </c>
      <c r="F56" s="28" t="s">
        <v>1166</v>
      </c>
      <c r="G56" s="28" t="s">
        <v>257</v>
      </c>
      <c r="H56" s="44">
        <v>45692</v>
      </c>
      <c r="I56" s="30" t="s">
        <v>83</v>
      </c>
      <c r="J56" s="28" t="s">
        <v>83</v>
      </c>
      <c r="K56" s="28"/>
      <c r="L56" s="28"/>
    </row>
    <row r="57" spans="1:12">
      <c r="A57" s="28">
        <v>56</v>
      </c>
      <c r="B57" s="28">
        <v>202541023596</v>
      </c>
      <c r="C57" s="28" t="s">
        <v>1018</v>
      </c>
      <c r="D57" s="28" t="s">
        <v>185</v>
      </c>
      <c r="E57" s="28" t="s">
        <v>20</v>
      </c>
      <c r="F57" s="28" t="s">
        <v>1167</v>
      </c>
      <c r="G57" s="28" t="s">
        <v>185</v>
      </c>
      <c r="H57" s="44" t="s">
        <v>1168</v>
      </c>
      <c r="I57" s="30" t="s">
        <v>1139</v>
      </c>
      <c r="J57" s="28" t="s">
        <v>1169</v>
      </c>
      <c r="K57" s="28"/>
      <c r="L57" s="28"/>
    </row>
    <row r="58" spans="1:12" ht="26.4">
      <c r="A58" s="28">
        <v>57</v>
      </c>
      <c r="B58" s="28">
        <v>202541022951</v>
      </c>
      <c r="C58" s="28" t="s">
        <v>1018</v>
      </c>
      <c r="D58" s="28" t="s">
        <v>1170</v>
      </c>
      <c r="E58" s="28" t="s">
        <v>21</v>
      </c>
      <c r="F58" s="28" t="s">
        <v>1171</v>
      </c>
      <c r="G58" s="28" t="s">
        <v>1172</v>
      </c>
      <c r="H58" s="44" t="s">
        <v>1164</v>
      </c>
      <c r="I58" s="30" t="s">
        <v>1173</v>
      </c>
      <c r="J58" s="28" t="s">
        <v>1174</v>
      </c>
      <c r="K58" s="28"/>
      <c r="L58" s="28"/>
    </row>
    <row r="59" spans="1:12" ht="26.4">
      <c r="A59" s="28">
        <v>58</v>
      </c>
      <c r="B59" s="28">
        <v>202441103553</v>
      </c>
      <c r="C59" s="28" t="s">
        <v>1007</v>
      </c>
      <c r="D59" s="28" t="s">
        <v>1175</v>
      </c>
      <c r="E59" s="28" t="s">
        <v>21</v>
      </c>
      <c r="F59" s="28" t="s">
        <v>1176</v>
      </c>
      <c r="G59" s="28" t="s">
        <v>1175</v>
      </c>
      <c r="H59" s="44" t="s">
        <v>1065</v>
      </c>
      <c r="I59" s="30" t="s">
        <v>83</v>
      </c>
      <c r="J59" s="28" t="s">
        <v>1177</v>
      </c>
      <c r="K59" s="28"/>
      <c r="L59" s="28"/>
    </row>
    <row r="60" spans="1:12" ht="26.4">
      <c r="A60" s="28">
        <v>59</v>
      </c>
      <c r="B60" s="28">
        <v>202541023297</v>
      </c>
      <c r="C60" s="28" t="s">
        <v>1007</v>
      </c>
      <c r="D60" s="28" t="s">
        <v>1178</v>
      </c>
      <c r="E60" s="28" t="s">
        <v>21</v>
      </c>
      <c r="F60" s="28" t="s">
        <v>1179</v>
      </c>
      <c r="G60" s="28" t="s">
        <v>1175</v>
      </c>
      <c r="H60" s="44" t="s">
        <v>1180</v>
      </c>
      <c r="I60" s="30" t="s">
        <v>83</v>
      </c>
      <c r="J60" s="28" t="s">
        <v>1181</v>
      </c>
      <c r="K60" s="28"/>
      <c r="L60" s="28"/>
    </row>
    <row r="61" spans="1:12" ht="26.4">
      <c r="A61" s="28">
        <v>60</v>
      </c>
      <c r="B61" s="28">
        <v>202541060927</v>
      </c>
      <c r="C61" s="28" t="s">
        <v>1007</v>
      </c>
      <c r="D61" s="28" t="s">
        <v>178</v>
      </c>
      <c r="E61" s="28" t="s">
        <v>21</v>
      </c>
      <c r="F61" s="28" t="s">
        <v>1182</v>
      </c>
      <c r="G61" s="28" t="s">
        <v>1183</v>
      </c>
      <c r="H61" s="44" t="s">
        <v>1184</v>
      </c>
      <c r="I61" s="30" t="s">
        <v>83</v>
      </c>
      <c r="J61" s="28" t="s">
        <v>1185</v>
      </c>
      <c r="K61" s="28"/>
      <c r="L61" s="28"/>
    </row>
    <row r="62" spans="1:12" ht="39.6">
      <c r="A62" s="28">
        <v>61</v>
      </c>
      <c r="B62" s="28">
        <v>202541057957</v>
      </c>
      <c r="C62" s="28" t="s">
        <v>1007</v>
      </c>
      <c r="D62" s="28" t="s">
        <v>1186</v>
      </c>
      <c r="E62" s="28" t="s">
        <v>21</v>
      </c>
      <c r="F62" s="28" t="s">
        <v>1187</v>
      </c>
      <c r="G62" s="28" t="s">
        <v>1186</v>
      </c>
      <c r="H62" s="44" t="s">
        <v>1188</v>
      </c>
      <c r="I62" s="30" t="s">
        <v>83</v>
      </c>
      <c r="J62" s="28" t="s">
        <v>1189</v>
      </c>
      <c r="K62" s="28"/>
      <c r="L62" s="28"/>
    </row>
    <row r="63" spans="1:12" ht="39.6">
      <c r="A63" s="28">
        <v>62</v>
      </c>
      <c r="B63" s="28">
        <v>202541062108</v>
      </c>
      <c r="C63" s="28" t="s">
        <v>1007</v>
      </c>
      <c r="D63" s="28" t="s">
        <v>1190</v>
      </c>
      <c r="E63" s="28" t="s">
        <v>21</v>
      </c>
      <c r="F63" s="28" t="s">
        <v>1191</v>
      </c>
      <c r="G63" s="28" t="s">
        <v>1190</v>
      </c>
      <c r="H63" s="44">
        <v>45838</v>
      </c>
      <c r="I63" s="30" t="s">
        <v>83</v>
      </c>
      <c r="J63" s="28" t="s">
        <v>1192</v>
      </c>
      <c r="K63" s="28"/>
      <c r="L63" s="28"/>
    </row>
    <row r="64" spans="1:12" ht="26.4">
      <c r="A64" s="28">
        <v>63</v>
      </c>
      <c r="B64" s="28">
        <v>202541062205</v>
      </c>
      <c r="C64" s="28" t="s">
        <v>1007</v>
      </c>
      <c r="D64" s="28" t="s">
        <v>1193</v>
      </c>
      <c r="E64" s="28" t="s">
        <v>21</v>
      </c>
      <c r="F64" s="28" t="s">
        <v>1194</v>
      </c>
      <c r="G64" s="28" t="s">
        <v>1193</v>
      </c>
      <c r="H64" s="44">
        <v>45838</v>
      </c>
      <c r="I64" s="30" t="s">
        <v>83</v>
      </c>
      <c r="J64" s="28" t="s">
        <v>1195</v>
      </c>
      <c r="K64" s="28"/>
      <c r="L64" s="28"/>
    </row>
    <row r="65" spans="1:12" ht="26.4">
      <c r="A65" s="28">
        <v>64</v>
      </c>
      <c r="B65" s="28" t="s">
        <v>1196</v>
      </c>
      <c r="C65" s="28" t="s">
        <v>147</v>
      </c>
      <c r="D65" s="28" t="s">
        <v>1197</v>
      </c>
      <c r="E65" s="28" t="s">
        <v>21</v>
      </c>
      <c r="F65" s="28" t="s">
        <v>1198</v>
      </c>
      <c r="G65" s="28" t="s">
        <v>1199</v>
      </c>
      <c r="H65" s="44">
        <v>45475</v>
      </c>
      <c r="I65" s="30">
        <v>45478</v>
      </c>
      <c r="J65" s="28" t="s">
        <v>1200</v>
      </c>
      <c r="K65" s="28"/>
      <c r="L65" s="28"/>
    </row>
    <row r="66" spans="1:12" ht="26.4">
      <c r="A66" s="28">
        <v>65</v>
      </c>
      <c r="B66" s="28">
        <v>6410165</v>
      </c>
      <c r="C66" s="28" t="s">
        <v>147</v>
      </c>
      <c r="D66" s="28" t="s">
        <v>1201</v>
      </c>
      <c r="E66" s="28" t="s">
        <v>21</v>
      </c>
      <c r="F66" s="28" t="s">
        <v>1202</v>
      </c>
      <c r="G66" s="28" t="s">
        <v>1203</v>
      </c>
      <c r="H66" s="44">
        <v>45636</v>
      </c>
      <c r="I66" s="30">
        <v>45646</v>
      </c>
      <c r="J66" s="28" t="s">
        <v>1204</v>
      </c>
      <c r="K66" s="28"/>
      <c r="L66" s="28"/>
    </row>
    <row r="67" spans="1:12" ht="26.4">
      <c r="A67" s="28">
        <v>66</v>
      </c>
      <c r="B67" s="28" t="s">
        <v>1205</v>
      </c>
      <c r="C67" s="28" t="s">
        <v>1007</v>
      </c>
      <c r="D67" s="28" t="s">
        <v>1206</v>
      </c>
      <c r="E67" s="28" t="s">
        <v>22</v>
      </c>
      <c r="F67" s="28" t="s">
        <v>1207</v>
      </c>
      <c r="G67" s="28" t="s">
        <v>1208</v>
      </c>
      <c r="H67" s="44" t="s">
        <v>1209</v>
      </c>
      <c r="I67" s="30" t="s">
        <v>83</v>
      </c>
      <c r="J67" s="28" t="s">
        <v>1210</v>
      </c>
      <c r="K67" s="28"/>
      <c r="L67" s="28"/>
    </row>
    <row r="68" spans="1:12">
      <c r="A68" s="28">
        <v>67</v>
      </c>
      <c r="B68" s="28" t="s">
        <v>1211</v>
      </c>
      <c r="C68" s="28" t="s">
        <v>1007</v>
      </c>
      <c r="D68" s="28" t="s">
        <v>1212</v>
      </c>
      <c r="E68" s="28" t="s">
        <v>22</v>
      </c>
      <c r="F68" s="28" t="s">
        <v>1213</v>
      </c>
      <c r="G68" s="28" t="s">
        <v>1212</v>
      </c>
      <c r="H68" s="44">
        <v>45843</v>
      </c>
      <c r="I68" s="30" t="s">
        <v>83</v>
      </c>
      <c r="J68" s="28" t="s">
        <v>1214</v>
      </c>
      <c r="K68" s="28"/>
      <c r="L68" s="28"/>
    </row>
    <row r="69" spans="1:12" ht="26.4">
      <c r="A69" s="28">
        <v>68</v>
      </c>
      <c r="B69" s="28">
        <v>202541036282</v>
      </c>
      <c r="C69" s="28" t="s">
        <v>1007</v>
      </c>
      <c r="D69" s="28" t="s">
        <v>477</v>
      </c>
      <c r="E69" s="28" t="s">
        <v>16</v>
      </c>
      <c r="F69" s="28" t="s">
        <v>1215</v>
      </c>
      <c r="G69" s="28" t="s">
        <v>1216</v>
      </c>
      <c r="H69" s="44" t="s">
        <v>1217</v>
      </c>
      <c r="I69" s="30" t="s">
        <v>83</v>
      </c>
      <c r="J69" s="28" t="s">
        <v>1218</v>
      </c>
      <c r="K69" s="28"/>
      <c r="L69" s="28"/>
    </row>
    <row r="70" spans="1:12" ht="26.4">
      <c r="A70" s="28">
        <v>69</v>
      </c>
      <c r="B70" s="28">
        <v>202541042469</v>
      </c>
      <c r="C70" s="28" t="s">
        <v>1007</v>
      </c>
      <c r="D70" s="28" t="s">
        <v>1219</v>
      </c>
      <c r="E70" s="28" t="s">
        <v>23</v>
      </c>
      <c r="F70" s="28" t="s">
        <v>1220</v>
      </c>
      <c r="G70" s="28" t="s">
        <v>1219</v>
      </c>
      <c r="H70" s="44">
        <v>45662</v>
      </c>
      <c r="I70" s="30" t="s">
        <v>83</v>
      </c>
      <c r="J70" s="28" t="s">
        <v>1221</v>
      </c>
      <c r="K70" s="28"/>
      <c r="L70" s="28" t="s">
        <v>1222</v>
      </c>
    </row>
    <row r="71" spans="1:12" ht="39.6">
      <c r="A71" s="28">
        <v>70</v>
      </c>
      <c r="B71" s="28">
        <v>202541042431</v>
      </c>
      <c r="C71" s="28" t="s">
        <v>1007</v>
      </c>
      <c r="D71" s="28" t="s">
        <v>1219</v>
      </c>
      <c r="E71" s="28" t="s">
        <v>23</v>
      </c>
      <c r="F71" s="28" t="s">
        <v>1223</v>
      </c>
      <c r="G71" s="28" t="s">
        <v>1219</v>
      </c>
      <c r="H71" s="44">
        <v>45662</v>
      </c>
      <c r="I71" s="30" t="s">
        <v>83</v>
      </c>
      <c r="J71" s="28" t="s">
        <v>1224</v>
      </c>
      <c r="K71" s="28"/>
      <c r="L71" s="28" t="s">
        <v>1225</v>
      </c>
    </row>
    <row r="72" spans="1:12" ht="26.4">
      <c r="A72" s="28">
        <v>71</v>
      </c>
      <c r="B72" s="28">
        <v>202541045476</v>
      </c>
      <c r="C72" s="28" t="s">
        <v>1007</v>
      </c>
      <c r="D72" s="28" t="s">
        <v>1226</v>
      </c>
      <c r="E72" s="28" t="s">
        <v>23</v>
      </c>
      <c r="F72" s="28" t="s">
        <v>1227</v>
      </c>
      <c r="G72" s="28" t="s">
        <v>1226</v>
      </c>
      <c r="H72" s="44">
        <v>45996</v>
      </c>
      <c r="I72" s="30" t="s">
        <v>83</v>
      </c>
      <c r="J72" s="28" t="s">
        <v>1228</v>
      </c>
      <c r="K72" s="28"/>
      <c r="L72" s="28" t="s">
        <v>1222</v>
      </c>
    </row>
    <row r="73" spans="1:12" ht="39.6">
      <c r="A73" s="28">
        <v>72</v>
      </c>
      <c r="B73" s="28">
        <v>202541046177</v>
      </c>
      <c r="C73" s="28" t="s">
        <v>1007</v>
      </c>
      <c r="D73" s="28" t="s">
        <v>1226</v>
      </c>
      <c r="E73" s="28" t="s">
        <v>23</v>
      </c>
      <c r="F73" s="28" t="s">
        <v>1229</v>
      </c>
      <c r="G73" s="28" t="s">
        <v>1226</v>
      </c>
      <c r="H73" s="44" t="s">
        <v>1230</v>
      </c>
      <c r="I73" s="30" t="s">
        <v>83</v>
      </c>
      <c r="J73" s="28" t="s">
        <v>1231</v>
      </c>
      <c r="K73" s="28"/>
      <c r="L73" s="28" t="s">
        <v>1225</v>
      </c>
    </row>
    <row r="74" spans="1:12" ht="26.4">
      <c r="A74" s="28">
        <v>73</v>
      </c>
      <c r="B74" s="28">
        <v>202541037267</v>
      </c>
      <c r="C74" s="28" t="s">
        <v>1007</v>
      </c>
      <c r="D74" s="28" t="s">
        <v>184</v>
      </c>
      <c r="E74" s="28" t="s">
        <v>15</v>
      </c>
      <c r="F74" s="28" t="s">
        <v>1232</v>
      </c>
      <c r="G74" s="28" t="s">
        <v>184</v>
      </c>
      <c r="H74" s="44" t="s">
        <v>1233</v>
      </c>
      <c r="I74" s="30" t="s">
        <v>83</v>
      </c>
      <c r="J74" s="28" t="s">
        <v>83</v>
      </c>
      <c r="K74" s="28"/>
      <c r="L74" s="28"/>
    </row>
    <row r="75" spans="1:12" ht="52.8">
      <c r="A75" s="28">
        <v>74</v>
      </c>
      <c r="B75" s="28">
        <v>202541038571</v>
      </c>
      <c r="C75" s="28" t="s">
        <v>1007</v>
      </c>
      <c r="D75" s="28" t="s">
        <v>1234</v>
      </c>
      <c r="E75" s="28" t="s">
        <v>15</v>
      </c>
      <c r="F75" s="28" t="s">
        <v>1235</v>
      </c>
      <c r="G75" s="28" t="s">
        <v>1234</v>
      </c>
      <c r="H75" s="44" t="s">
        <v>1236</v>
      </c>
      <c r="I75" s="30" t="s">
        <v>83</v>
      </c>
      <c r="J75" s="28" t="s">
        <v>83</v>
      </c>
      <c r="K75" s="28"/>
      <c r="L75" s="28"/>
    </row>
    <row r="76" spans="1:12" ht="39.6">
      <c r="A76" s="28">
        <v>75</v>
      </c>
      <c r="B76" s="28">
        <v>202541040928</v>
      </c>
      <c r="C76" s="28" t="s">
        <v>1007</v>
      </c>
      <c r="D76" s="28" t="s">
        <v>185</v>
      </c>
      <c r="E76" s="28" t="s">
        <v>20</v>
      </c>
      <c r="F76" s="28" t="s">
        <v>1237</v>
      </c>
      <c r="G76" s="28" t="s">
        <v>185</v>
      </c>
      <c r="H76" s="44" t="s">
        <v>1238</v>
      </c>
      <c r="I76" s="30" t="s">
        <v>83</v>
      </c>
      <c r="J76" s="28" t="s">
        <v>83</v>
      </c>
      <c r="K76" s="28"/>
      <c r="L76" s="28"/>
    </row>
    <row r="77" spans="1:12" ht="66">
      <c r="A77" s="28">
        <v>76</v>
      </c>
      <c r="B77" s="28">
        <v>202541026824</v>
      </c>
      <c r="C77" s="28" t="s">
        <v>1007</v>
      </c>
      <c r="D77" s="28" t="s">
        <v>1239</v>
      </c>
      <c r="E77" s="28" t="s">
        <v>24</v>
      </c>
      <c r="F77" s="28" t="s">
        <v>1240</v>
      </c>
      <c r="G77" s="28" t="s">
        <v>1241</v>
      </c>
      <c r="H77" s="44" t="s">
        <v>1242</v>
      </c>
      <c r="I77" s="30">
        <v>45965</v>
      </c>
      <c r="J77" s="28" t="s">
        <v>1243</v>
      </c>
      <c r="K77" s="28"/>
      <c r="L77" s="28"/>
    </row>
    <row r="78" spans="1:12" ht="39.6">
      <c r="A78" s="28">
        <v>77</v>
      </c>
      <c r="B78" s="28">
        <v>202541047953</v>
      </c>
      <c r="C78" s="28" t="s">
        <v>1007</v>
      </c>
      <c r="D78" s="28" t="s">
        <v>1244</v>
      </c>
      <c r="E78" s="28" t="s">
        <v>16</v>
      </c>
      <c r="F78" s="28" t="s">
        <v>1245</v>
      </c>
      <c r="G78" s="28" t="s">
        <v>1244</v>
      </c>
      <c r="H78" s="44" t="s">
        <v>1246</v>
      </c>
      <c r="I78" s="30" t="s">
        <v>83</v>
      </c>
      <c r="J78" s="28" t="s">
        <v>1247</v>
      </c>
      <c r="K78" s="28"/>
      <c r="L78" s="28"/>
    </row>
    <row r="79" spans="1:12" ht="39.6">
      <c r="A79" s="28">
        <v>78</v>
      </c>
      <c r="B79" s="28">
        <v>202541056546</v>
      </c>
      <c r="C79" s="28" t="s">
        <v>1007</v>
      </c>
      <c r="D79" s="28" t="s">
        <v>145</v>
      </c>
      <c r="E79" s="28" t="s">
        <v>16</v>
      </c>
      <c r="F79" s="28" t="s">
        <v>1248</v>
      </c>
      <c r="G79" s="28" t="s">
        <v>1249</v>
      </c>
      <c r="H79" s="44">
        <v>45997</v>
      </c>
      <c r="I79" s="30" t="s">
        <v>83</v>
      </c>
      <c r="J79" s="28" t="s">
        <v>1250</v>
      </c>
      <c r="K79" s="28"/>
      <c r="L79" s="28"/>
    </row>
    <row r="80" spans="1:12" ht="39.6">
      <c r="A80" s="28">
        <v>79</v>
      </c>
      <c r="B80" s="28">
        <v>202541051098</v>
      </c>
      <c r="C80" s="28" t="s">
        <v>1007</v>
      </c>
      <c r="D80" s="28" t="s">
        <v>532</v>
      </c>
      <c r="E80" s="28" t="s">
        <v>16</v>
      </c>
      <c r="F80" s="28" t="s">
        <v>1251</v>
      </c>
      <c r="G80" s="28" t="s">
        <v>532</v>
      </c>
      <c r="H80" s="44" t="s">
        <v>1252</v>
      </c>
      <c r="I80" s="30" t="s">
        <v>83</v>
      </c>
      <c r="J80" s="28" t="s">
        <v>1253</v>
      </c>
      <c r="K80" s="28"/>
      <c r="L80" s="28"/>
    </row>
    <row r="81" spans="1:12">
      <c r="A81" s="28">
        <v>80</v>
      </c>
      <c r="B81" s="28">
        <v>202541051102</v>
      </c>
      <c r="C81" s="28" t="s">
        <v>1007</v>
      </c>
      <c r="D81" s="28" t="s">
        <v>1254</v>
      </c>
      <c r="E81" s="28" t="s">
        <v>16</v>
      </c>
      <c r="F81" s="28" t="s">
        <v>1255</v>
      </c>
      <c r="G81" s="28" t="s">
        <v>1254</v>
      </c>
      <c r="H81" s="44" t="s">
        <v>1252</v>
      </c>
      <c r="I81" s="30" t="s">
        <v>83</v>
      </c>
      <c r="J81" s="28" t="s">
        <v>1256</v>
      </c>
      <c r="K81" s="28"/>
      <c r="L81" s="28"/>
    </row>
    <row r="82" spans="1:12" ht="26.4">
      <c r="A82" s="28">
        <v>81</v>
      </c>
      <c r="B82" s="28" t="s">
        <v>1257</v>
      </c>
      <c r="C82" s="28" t="s">
        <v>1007</v>
      </c>
      <c r="D82" s="28" t="s">
        <v>1258</v>
      </c>
      <c r="E82" s="28" t="s">
        <v>16</v>
      </c>
      <c r="F82" s="28" t="s">
        <v>1259</v>
      </c>
      <c r="G82" s="28" t="s">
        <v>1260</v>
      </c>
      <c r="H82" s="44">
        <v>45749</v>
      </c>
      <c r="I82" s="30" t="s">
        <v>83</v>
      </c>
      <c r="J82" s="28" t="s">
        <v>1261</v>
      </c>
      <c r="K82" s="28"/>
      <c r="L82" s="28"/>
    </row>
    <row r="83" spans="1:12" ht="26.4">
      <c r="A83" s="28">
        <v>82</v>
      </c>
      <c r="B83" s="28">
        <v>202541015778</v>
      </c>
      <c r="C83" s="28" t="s">
        <v>1007</v>
      </c>
      <c r="D83" s="28" t="s">
        <v>1262</v>
      </c>
      <c r="E83" s="28" t="s">
        <v>15</v>
      </c>
      <c r="F83" s="28" t="s">
        <v>1263</v>
      </c>
      <c r="G83" s="28" t="s">
        <v>1262</v>
      </c>
      <c r="H83" s="44" t="s">
        <v>1264</v>
      </c>
      <c r="I83" s="30" t="s">
        <v>83</v>
      </c>
      <c r="J83" s="28" t="s">
        <v>83</v>
      </c>
      <c r="K83" s="28"/>
      <c r="L83" s="28"/>
    </row>
    <row r="84" spans="1:12" ht="39.6">
      <c r="A84" s="28">
        <v>83</v>
      </c>
      <c r="B84" s="28">
        <v>202541056491</v>
      </c>
      <c r="C84" s="28" t="s">
        <v>1007</v>
      </c>
      <c r="D84" s="28" t="s">
        <v>519</v>
      </c>
      <c r="E84" s="28" t="s">
        <v>15</v>
      </c>
      <c r="F84" s="28" t="s">
        <v>1265</v>
      </c>
      <c r="G84" s="28" t="s">
        <v>519</v>
      </c>
      <c r="H84" s="44" t="s">
        <v>1266</v>
      </c>
      <c r="I84" s="30" t="s">
        <v>83</v>
      </c>
      <c r="J84" s="28" t="s">
        <v>83</v>
      </c>
      <c r="K84" s="28"/>
      <c r="L84" s="28"/>
    </row>
    <row r="85" spans="1:12" ht="26.4">
      <c r="A85" s="28">
        <v>84</v>
      </c>
      <c r="B85" s="28">
        <v>202541014598</v>
      </c>
      <c r="C85" s="28" t="s">
        <v>1007</v>
      </c>
      <c r="D85" s="28" t="s">
        <v>280</v>
      </c>
      <c r="E85" s="28" t="s">
        <v>16</v>
      </c>
      <c r="F85" s="28" t="s">
        <v>1267</v>
      </c>
      <c r="G85" s="28" t="s">
        <v>1268</v>
      </c>
      <c r="H85" s="44" t="s">
        <v>1269</v>
      </c>
      <c r="I85" s="30" t="s">
        <v>83</v>
      </c>
      <c r="J85" s="28" t="s">
        <v>1270</v>
      </c>
      <c r="K85" s="28"/>
      <c r="L85" s="28"/>
    </row>
    <row r="86" spans="1:12" ht="26.4">
      <c r="A86" s="28">
        <v>85</v>
      </c>
      <c r="B86" s="28">
        <v>202541057312</v>
      </c>
      <c r="C86" s="28" t="s">
        <v>1007</v>
      </c>
      <c r="D86" s="28" t="s">
        <v>193</v>
      </c>
      <c r="E86" s="28" t="s">
        <v>20</v>
      </c>
      <c r="F86" s="28" t="s">
        <v>1271</v>
      </c>
      <c r="G86" s="28" t="s">
        <v>193</v>
      </c>
      <c r="H86" s="44" t="s">
        <v>1272</v>
      </c>
      <c r="I86" s="30" t="s">
        <v>83</v>
      </c>
      <c r="J86" s="28" t="s">
        <v>83</v>
      </c>
      <c r="K86" s="28"/>
      <c r="L86" s="28"/>
    </row>
    <row r="87" spans="1:12" ht="26.4">
      <c r="A87" s="28">
        <v>86</v>
      </c>
      <c r="B87" s="28">
        <v>202541057440</v>
      </c>
      <c r="C87" s="28" t="s">
        <v>1007</v>
      </c>
      <c r="D87" s="28" t="s">
        <v>497</v>
      </c>
      <c r="E87" s="28" t="s">
        <v>14</v>
      </c>
      <c r="F87" s="28" t="s">
        <v>1273</v>
      </c>
      <c r="G87" s="28" t="s">
        <v>497</v>
      </c>
      <c r="H87" s="44" t="s">
        <v>1274</v>
      </c>
      <c r="I87" s="30" t="s">
        <v>40</v>
      </c>
      <c r="J87" s="28" t="s">
        <v>40</v>
      </c>
      <c r="K87" s="28"/>
      <c r="L87" s="28"/>
    </row>
    <row r="88" spans="1:12">
      <c r="A88" s="28">
        <v>87</v>
      </c>
      <c r="B88" s="28">
        <v>202541057899</v>
      </c>
      <c r="C88" s="28" t="s">
        <v>1007</v>
      </c>
      <c r="D88" s="28" t="s">
        <v>1275</v>
      </c>
      <c r="E88" s="28" t="s">
        <v>16</v>
      </c>
      <c r="F88" s="28" t="s">
        <v>1276</v>
      </c>
      <c r="G88" s="28" t="s">
        <v>1275</v>
      </c>
      <c r="H88" s="44" t="s">
        <v>1277</v>
      </c>
      <c r="I88" s="30" t="s">
        <v>40</v>
      </c>
      <c r="J88" s="28" t="s">
        <v>1278</v>
      </c>
      <c r="K88" s="28" t="s">
        <v>1279</v>
      </c>
      <c r="L88" s="28"/>
    </row>
    <row r="89" spans="1:12" ht="39.6">
      <c r="A89" s="28">
        <v>88</v>
      </c>
      <c r="B89" s="28">
        <v>202441080459</v>
      </c>
      <c r="C89" s="28" t="s">
        <v>147</v>
      </c>
      <c r="D89" s="28" t="s">
        <v>1280</v>
      </c>
      <c r="E89" s="28" t="s">
        <v>16</v>
      </c>
      <c r="F89" s="28" t="s">
        <v>1281</v>
      </c>
      <c r="G89" s="28" t="s">
        <v>1280</v>
      </c>
      <c r="H89" s="44" t="s">
        <v>1282</v>
      </c>
      <c r="I89" s="30" t="s">
        <v>1283</v>
      </c>
      <c r="J89" s="28" t="s">
        <v>1284</v>
      </c>
      <c r="K89" s="28"/>
      <c r="L89" s="28"/>
    </row>
    <row r="90" spans="1:12" ht="39.6">
      <c r="A90" s="28">
        <v>89</v>
      </c>
      <c r="B90" s="28">
        <v>202541023759</v>
      </c>
      <c r="C90" s="28" t="s">
        <v>147</v>
      </c>
      <c r="D90" s="28" t="s">
        <v>1285</v>
      </c>
      <c r="E90" s="28" t="s">
        <v>16</v>
      </c>
      <c r="F90" s="28" t="s">
        <v>1286</v>
      </c>
      <c r="G90" s="28" t="s">
        <v>1285</v>
      </c>
      <c r="H90" s="44" t="s">
        <v>1168</v>
      </c>
      <c r="I90" s="30" t="s">
        <v>1139</v>
      </c>
      <c r="J90" s="28" t="s">
        <v>1287</v>
      </c>
      <c r="K90" s="28"/>
      <c r="L90" s="28"/>
    </row>
    <row r="91" spans="1:12">
      <c r="A91" s="28">
        <v>90</v>
      </c>
      <c r="B91" s="28">
        <v>202541034645</v>
      </c>
      <c r="C91" s="28" t="s">
        <v>147</v>
      </c>
      <c r="D91" s="28" t="s">
        <v>1285</v>
      </c>
      <c r="E91" s="28" t="s">
        <v>16</v>
      </c>
      <c r="F91" s="28" t="s">
        <v>1288</v>
      </c>
      <c r="G91" s="28" t="s">
        <v>1285</v>
      </c>
      <c r="H91" s="44">
        <v>45904</v>
      </c>
      <c r="I91" s="30" t="s">
        <v>40</v>
      </c>
      <c r="J91" s="28" t="s">
        <v>1289</v>
      </c>
      <c r="K91" s="28"/>
      <c r="L91" s="28"/>
    </row>
    <row r="92" spans="1:12" ht="26.4">
      <c r="A92" s="28">
        <v>91</v>
      </c>
      <c r="B92" s="28">
        <v>202541040688</v>
      </c>
      <c r="C92" s="28" t="s">
        <v>1007</v>
      </c>
      <c r="D92" s="28" t="s">
        <v>1290</v>
      </c>
      <c r="E92" s="28" t="s">
        <v>16</v>
      </c>
      <c r="F92" s="28" t="s">
        <v>1291</v>
      </c>
      <c r="G92" s="28" t="s">
        <v>1290</v>
      </c>
      <c r="H92" s="44" t="s">
        <v>1292</v>
      </c>
      <c r="I92" s="30" t="s">
        <v>40</v>
      </c>
      <c r="J92" s="28" t="s">
        <v>1293</v>
      </c>
      <c r="K92" s="28"/>
      <c r="L92" s="28"/>
    </row>
    <row r="93" spans="1:12" ht="66">
      <c r="A93" s="28">
        <v>92</v>
      </c>
      <c r="B93" s="28">
        <v>202541062118</v>
      </c>
      <c r="C93" s="28" t="s">
        <v>1007</v>
      </c>
      <c r="D93" s="28" t="s">
        <v>670</v>
      </c>
      <c r="E93" s="28" t="s">
        <v>17</v>
      </c>
      <c r="F93" s="28" t="s">
        <v>1294</v>
      </c>
      <c r="G93" s="28" t="s">
        <v>670</v>
      </c>
      <c r="H93" s="44" t="s">
        <v>1295</v>
      </c>
      <c r="I93" s="30" t="s">
        <v>83</v>
      </c>
      <c r="J93" s="28" t="s">
        <v>1296</v>
      </c>
      <c r="K93" s="28"/>
      <c r="L93" s="28"/>
    </row>
    <row r="94" spans="1:12">
      <c r="A94" s="28">
        <v>93</v>
      </c>
      <c r="B94" s="28">
        <v>202541061368</v>
      </c>
      <c r="C94" s="28" t="s">
        <v>1007</v>
      </c>
      <c r="D94" s="28" t="s">
        <v>1297</v>
      </c>
      <c r="E94" s="28" t="s">
        <v>16</v>
      </c>
      <c r="F94" s="28" t="s">
        <v>1298</v>
      </c>
      <c r="G94" s="28" t="s">
        <v>1297</v>
      </c>
      <c r="H94" s="44" t="s">
        <v>1299</v>
      </c>
      <c r="I94" s="30" t="s">
        <v>40</v>
      </c>
      <c r="J94" s="28" t="s">
        <v>1104</v>
      </c>
      <c r="K94" s="28"/>
      <c r="L94" s="28"/>
    </row>
    <row r="95" spans="1:12">
      <c r="A95" s="28">
        <v>94</v>
      </c>
      <c r="B95" s="28">
        <v>202541060043</v>
      </c>
      <c r="C95" s="28" t="s">
        <v>1007</v>
      </c>
      <c r="D95" s="28" t="s">
        <v>459</v>
      </c>
      <c r="E95" s="28" t="s">
        <v>15</v>
      </c>
      <c r="F95" s="28" t="s">
        <v>1300</v>
      </c>
      <c r="G95" s="28" t="s">
        <v>459</v>
      </c>
      <c r="H95" s="44" t="s">
        <v>1301</v>
      </c>
      <c r="I95" s="30" t="s">
        <v>83</v>
      </c>
      <c r="J95" s="28" t="s">
        <v>83</v>
      </c>
      <c r="K95" s="28"/>
      <c r="L95" s="28"/>
    </row>
    <row r="96" spans="1:12" ht="26.4">
      <c r="A96" s="28">
        <v>95</v>
      </c>
      <c r="B96" s="28">
        <v>202541059740</v>
      </c>
      <c r="C96" s="28" t="s">
        <v>1007</v>
      </c>
      <c r="D96" s="28" t="s">
        <v>705</v>
      </c>
      <c r="E96" s="28" t="s">
        <v>15</v>
      </c>
      <c r="F96" s="28" t="s">
        <v>1302</v>
      </c>
      <c r="G96" s="28" t="s">
        <v>705</v>
      </c>
      <c r="H96" s="44" t="s">
        <v>1303</v>
      </c>
      <c r="I96" s="30" t="s">
        <v>83</v>
      </c>
      <c r="J96" s="28" t="s">
        <v>83</v>
      </c>
      <c r="K96" s="28"/>
      <c r="L96" s="28"/>
    </row>
    <row r="97" spans="1:12" ht="26.4">
      <c r="A97" s="28">
        <v>96</v>
      </c>
      <c r="B97" s="28">
        <v>202541059226</v>
      </c>
      <c r="C97" s="28" t="s">
        <v>1007</v>
      </c>
      <c r="D97" s="28" t="s">
        <v>594</v>
      </c>
      <c r="E97" s="28" t="s">
        <v>15</v>
      </c>
      <c r="F97" s="28" t="s">
        <v>1304</v>
      </c>
      <c r="G97" s="28" t="s">
        <v>594</v>
      </c>
      <c r="H97" s="44" t="s">
        <v>1305</v>
      </c>
      <c r="I97" s="30" t="s">
        <v>83</v>
      </c>
      <c r="J97" s="28" t="s">
        <v>83</v>
      </c>
      <c r="K97" s="28"/>
      <c r="L97" s="28"/>
    </row>
    <row r="98" spans="1:12" ht="52.8">
      <c r="A98" s="28">
        <v>97</v>
      </c>
      <c r="B98" s="28">
        <v>202541059754</v>
      </c>
      <c r="C98" s="28" t="s">
        <v>1007</v>
      </c>
      <c r="D98" s="28" t="s">
        <v>255</v>
      </c>
      <c r="E98" s="28" t="s">
        <v>15</v>
      </c>
      <c r="F98" s="28" t="s">
        <v>1306</v>
      </c>
      <c r="G98" s="28" t="s">
        <v>255</v>
      </c>
      <c r="H98" s="44" t="s">
        <v>1303</v>
      </c>
      <c r="I98" s="30" t="s">
        <v>83</v>
      </c>
      <c r="J98" s="28" t="s">
        <v>83</v>
      </c>
      <c r="K98" s="28"/>
      <c r="L98" s="28"/>
    </row>
    <row r="99" spans="1:12" ht="26.4">
      <c r="A99" s="28">
        <v>98</v>
      </c>
      <c r="B99" s="28">
        <v>202541059234</v>
      </c>
      <c r="C99" s="28" t="s">
        <v>1007</v>
      </c>
      <c r="D99" s="28" t="s">
        <v>707</v>
      </c>
      <c r="E99" s="28" t="s">
        <v>15</v>
      </c>
      <c r="F99" s="28" t="s">
        <v>1307</v>
      </c>
      <c r="G99" s="28" t="s">
        <v>707</v>
      </c>
      <c r="H99" s="44" t="s">
        <v>1305</v>
      </c>
      <c r="I99" s="30" t="s">
        <v>83</v>
      </c>
      <c r="J99" s="28" t="s">
        <v>83</v>
      </c>
      <c r="K99" s="28"/>
      <c r="L99" s="28"/>
    </row>
    <row r="100" spans="1:12" ht="39.6">
      <c r="A100" s="28">
        <v>99</v>
      </c>
      <c r="B100" s="28">
        <v>202541060080</v>
      </c>
      <c r="C100" s="28" t="s">
        <v>1007</v>
      </c>
      <c r="D100" s="28" t="s">
        <v>717</v>
      </c>
      <c r="E100" s="28" t="s">
        <v>15</v>
      </c>
      <c r="F100" s="28" t="s">
        <v>1308</v>
      </c>
      <c r="G100" s="28" t="s">
        <v>717</v>
      </c>
      <c r="H100" s="44" t="s">
        <v>1309</v>
      </c>
      <c r="I100" s="30" t="s">
        <v>83</v>
      </c>
      <c r="J100" s="28" t="s">
        <v>83</v>
      </c>
      <c r="K100" s="28"/>
      <c r="L100" s="28"/>
    </row>
    <row r="101" spans="1:12" ht="39.6">
      <c r="A101" s="28">
        <v>100</v>
      </c>
      <c r="B101" s="28">
        <v>202541061759</v>
      </c>
      <c r="C101" s="28" t="s">
        <v>1007</v>
      </c>
      <c r="D101" s="28" t="s">
        <v>1310</v>
      </c>
      <c r="E101" s="28" t="s">
        <v>16</v>
      </c>
      <c r="F101" s="28" t="s">
        <v>1311</v>
      </c>
      <c r="G101" s="28" t="s">
        <v>1310</v>
      </c>
      <c r="H101" s="44" t="s">
        <v>1312</v>
      </c>
      <c r="I101" s="30" t="s">
        <v>83</v>
      </c>
      <c r="J101" s="28" t="s">
        <v>1104</v>
      </c>
      <c r="K101" s="28"/>
      <c r="L101" s="28"/>
    </row>
    <row r="102" spans="1:12" ht="39.6">
      <c r="A102" s="28">
        <v>101</v>
      </c>
      <c r="B102" s="28">
        <v>202541062021</v>
      </c>
      <c r="C102" s="28" t="s">
        <v>1007</v>
      </c>
      <c r="D102" s="28" t="s">
        <v>1313</v>
      </c>
      <c r="E102" s="28" t="s">
        <v>16</v>
      </c>
      <c r="F102" s="28" t="s">
        <v>1314</v>
      </c>
      <c r="G102" s="28" t="s">
        <v>1313</v>
      </c>
      <c r="H102" s="44" t="s">
        <v>1295</v>
      </c>
      <c r="I102" s="30" t="s">
        <v>83</v>
      </c>
      <c r="J102" s="28" t="s">
        <v>1315</v>
      </c>
      <c r="K102" s="28"/>
      <c r="L102" s="28"/>
    </row>
    <row r="103" spans="1:12" ht="26.4">
      <c r="A103" s="28">
        <v>102</v>
      </c>
      <c r="B103" s="28">
        <v>202541005681</v>
      </c>
      <c r="C103" s="28" t="s">
        <v>1007</v>
      </c>
      <c r="D103" s="28" t="s">
        <v>1316</v>
      </c>
      <c r="E103" s="28" t="s">
        <v>16</v>
      </c>
      <c r="F103" s="28" t="s">
        <v>1317</v>
      </c>
      <c r="G103" s="28" t="s">
        <v>1316</v>
      </c>
      <c r="H103" s="44" t="s">
        <v>1318</v>
      </c>
      <c r="I103" s="30" t="s">
        <v>83</v>
      </c>
      <c r="J103" s="28" t="s">
        <v>1319</v>
      </c>
      <c r="K103" s="28"/>
      <c r="L103" s="28"/>
    </row>
    <row r="104" spans="1:12" ht="26.4">
      <c r="A104" s="28">
        <v>103</v>
      </c>
      <c r="B104" s="28">
        <v>202541056192</v>
      </c>
      <c r="C104" s="28" t="s">
        <v>1007</v>
      </c>
      <c r="D104" s="28" t="s">
        <v>1320</v>
      </c>
      <c r="E104" s="28" t="s">
        <v>16</v>
      </c>
      <c r="F104" s="28" t="s">
        <v>1321</v>
      </c>
      <c r="G104" s="28" t="s">
        <v>1320</v>
      </c>
      <c r="H104" s="44">
        <v>45967</v>
      </c>
      <c r="I104" s="30" t="s">
        <v>83</v>
      </c>
      <c r="J104" s="28" t="s">
        <v>1322</v>
      </c>
      <c r="K104" s="28"/>
      <c r="L104" s="28"/>
    </row>
    <row r="105" spans="1:12" ht="39.6">
      <c r="A105" s="28">
        <v>104</v>
      </c>
      <c r="B105" s="28">
        <v>202541060951</v>
      </c>
      <c r="C105" s="28" t="s">
        <v>147</v>
      </c>
      <c r="D105" s="28" t="s">
        <v>1323</v>
      </c>
      <c r="E105" s="28" t="s">
        <v>126</v>
      </c>
      <c r="F105" s="28" t="s">
        <v>1324</v>
      </c>
      <c r="G105" s="28" t="s">
        <v>1323</v>
      </c>
      <c r="H105" s="44" t="s">
        <v>1184</v>
      </c>
      <c r="I105" s="30" t="s">
        <v>83</v>
      </c>
      <c r="J105" s="28" t="s">
        <v>1325</v>
      </c>
      <c r="K105" s="28"/>
      <c r="L105" s="28"/>
    </row>
    <row r="106" spans="1:12" ht="26.4">
      <c r="A106" s="28">
        <v>105</v>
      </c>
      <c r="B106" s="28">
        <v>202541061057</v>
      </c>
      <c r="C106" s="28" t="s">
        <v>231</v>
      </c>
      <c r="D106" s="28" t="s">
        <v>1326</v>
      </c>
      <c r="E106" s="28" t="s">
        <v>424</v>
      </c>
      <c r="F106" s="28" t="s">
        <v>1327</v>
      </c>
      <c r="G106" s="28"/>
      <c r="H106" s="44" t="s">
        <v>1184</v>
      </c>
      <c r="I106" s="30" t="s">
        <v>83</v>
      </c>
      <c r="J106" s="28" t="s">
        <v>1328</v>
      </c>
      <c r="K106" s="28"/>
      <c r="L106" s="28"/>
    </row>
    <row r="107" spans="1:12" ht="26.4">
      <c r="A107" s="28">
        <v>106</v>
      </c>
      <c r="B107" s="28">
        <v>202541061785</v>
      </c>
      <c r="C107" s="28" t="s">
        <v>1007</v>
      </c>
      <c r="D107" s="28" t="s">
        <v>1326</v>
      </c>
      <c r="E107" s="28" t="s">
        <v>424</v>
      </c>
      <c r="F107" s="28" t="s">
        <v>1329</v>
      </c>
      <c r="G107" s="28"/>
      <c r="H107" s="44" t="s">
        <v>1299</v>
      </c>
      <c r="I107" s="30" t="s">
        <v>83</v>
      </c>
      <c r="J107" s="28" t="s">
        <v>1330</v>
      </c>
      <c r="K107" s="28"/>
      <c r="L107" s="28"/>
    </row>
    <row r="108" spans="1:12">
      <c r="A108" s="28">
        <v>107</v>
      </c>
      <c r="B108" s="28">
        <v>202541061811</v>
      </c>
      <c r="C108" s="28" t="s">
        <v>1007</v>
      </c>
      <c r="D108" s="28" t="s">
        <v>1331</v>
      </c>
      <c r="E108" s="28" t="s">
        <v>424</v>
      </c>
      <c r="F108" s="28" t="s">
        <v>1332</v>
      </c>
      <c r="G108" s="28" t="s">
        <v>1331</v>
      </c>
      <c r="H108" s="44" t="s">
        <v>1333</v>
      </c>
      <c r="I108" s="30" t="s">
        <v>83</v>
      </c>
      <c r="J108" s="28" t="s">
        <v>1334</v>
      </c>
      <c r="K108" s="28"/>
      <c r="L108" s="28"/>
    </row>
    <row r="109" spans="1:12" ht="26.4">
      <c r="A109" s="28">
        <v>108</v>
      </c>
      <c r="B109" s="28">
        <v>202541061791</v>
      </c>
      <c r="C109" s="28" t="s">
        <v>147</v>
      </c>
      <c r="D109" s="28" t="s">
        <v>1331</v>
      </c>
      <c r="E109" s="28" t="s">
        <v>424</v>
      </c>
      <c r="F109" s="28" t="s">
        <v>1335</v>
      </c>
      <c r="G109" s="28" t="s">
        <v>1331</v>
      </c>
      <c r="H109" s="44" t="s">
        <v>1333</v>
      </c>
      <c r="I109" s="30" t="s">
        <v>83</v>
      </c>
      <c r="J109" s="28" t="s">
        <v>1336</v>
      </c>
      <c r="K109" s="28"/>
      <c r="L109" s="28"/>
    </row>
    <row r="110" spans="1:12" ht="26.4">
      <c r="A110" s="28">
        <v>109</v>
      </c>
      <c r="B110" s="28">
        <v>202441051961</v>
      </c>
      <c r="C110" s="28" t="s">
        <v>1059</v>
      </c>
      <c r="D110" s="28" t="s">
        <v>1060</v>
      </c>
      <c r="E110" s="28" t="s">
        <v>424</v>
      </c>
      <c r="F110" s="28" t="s">
        <v>1061</v>
      </c>
      <c r="G110" s="28" t="s">
        <v>1060</v>
      </c>
      <c r="H110" s="44">
        <v>45511</v>
      </c>
      <c r="I110" s="30" t="s">
        <v>755</v>
      </c>
      <c r="J110" s="28" t="s">
        <v>1337</v>
      </c>
      <c r="K110" s="28"/>
      <c r="L110" s="28"/>
    </row>
    <row r="111" spans="1:12" ht="39.6">
      <c r="A111" s="28">
        <v>110</v>
      </c>
      <c r="B111" s="28">
        <v>202541061852</v>
      </c>
      <c r="C111" s="28" t="s">
        <v>1059</v>
      </c>
      <c r="D111" s="28" t="s">
        <v>752</v>
      </c>
      <c r="E111" s="28" t="s">
        <v>424</v>
      </c>
      <c r="F111" s="28" t="s">
        <v>1338</v>
      </c>
      <c r="G111" s="28" t="s">
        <v>752</v>
      </c>
      <c r="H111" s="44">
        <v>45836</v>
      </c>
      <c r="I111" s="30" t="s">
        <v>83</v>
      </c>
      <c r="J111" s="28" t="s">
        <v>1339</v>
      </c>
      <c r="K111" s="28"/>
      <c r="L111" s="28"/>
    </row>
    <row r="112" spans="1:12" ht="26.4">
      <c r="A112" s="28">
        <v>111</v>
      </c>
      <c r="B112" s="28">
        <v>202541060705</v>
      </c>
      <c r="C112" s="28" t="s">
        <v>1059</v>
      </c>
      <c r="D112" s="28" t="s">
        <v>1340</v>
      </c>
      <c r="E112" s="28" t="s">
        <v>16</v>
      </c>
      <c r="F112" s="28" t="s">
        <v>1341</v>
      </c>
      <c r="G112" s="28" t="s">
        <v>1340</v>
      </c>
      <c r="H112" s="44" t="s">
        <v>1342</v>
      </c>
      <c r="I112" s="30" t="s">
        <v>83</v>
      </c>
      <c r="J112" s="28" t="s">
        <v>1343</v>
      </c>
      <c r="K112" s="28"/>
      <c r="L112" s="28"/>
    </row>
    <row r="113" spans="1:12" ht="26.4">
      <c r="A113" s="28">
        <v>112</v>
      </c>
      <c r="B113" s="28">
        <v>202541060967</v>
      </c>
      <c r="C113" s="28" t="s">
        <v>1059</v>
      </c>
      <c r="D113" s="28" t="s">
        <v>1340</v>
      </c>
      <c r="E113" s="28" t="s">
        <v>16</v>
      </c>
      <c r="F113" s="28" t="s">
        <v>1344</v>
      </c>
      <c r="G113" s="28" t="s">
        <v>1340</v>
      </c>
      <c r="H113" s="44" t="s">
        <v>1345</v>
      </c>
      <c r="I113" s="30" t="s">
        <v>83</v>
      </c>
      <c r="J113" s="28" t="s">
        <v>1346</v>
      </c>
      <c r="K113" s="28"/>
      <c r="L113" s="28"/>
    </row>
    <row r="114" spans="1:12" ht="39.6">
      <c r="A114" s="28">
        <v>113</v>
      </c>
      <c r="B114" s="28">
        <v>202541029746</v>
      </c>
      <c r="C114" s="28" t="s">
        <v>1007</v>
      </c>
      <c r="D114" s="28" t="s">
        <v>1347</v>
      </c>
      <c r="E114" s="28" t="s">
        <v>23</v>
      </c>
      <c r="F114" s="28" t="s">
        <v>1348</v>
      </c>
      <c r="G114" s="28" t="s">
        <v>1349</v>
      </c>
      <c r="H114" s="44" t="s">
        <v>1173</v>
      </c>
      <c r="I114" s="30" t="s">
        <v>83</v>
      </c>
      <c r="J114" s="28" t="s">
        <v>1350</v>
      </c>
      <c r="K114" s="28"/>
      <c r="L114" s="28"/>
    </row>
    <row r="115" spans="1:12" ht="39.6">
      <c r="A115" s="28">
        <v>114</v>
      </c>
      <c r="B115" s="28">
        <v>202541056454</v>
      </c>
      <c r="C115" s="28" t="s">
        <v>1007</v>
      </c>
      <c r="D115" s="28" t="s">
        <v>1351</v>
      </c>
      <c r="E115" s="28" t="s">
        <v>23</v>
      </c>
      <c r="F115" s="28" t="s">
        <v>1352</v>
      </c>
      <c r="G115" s="28" t="s">
        <v>1353</v>
      </c>
      <c r="H115" s="44">
        <v>45997</v>
      </c>
      <c r="I115" s="30" t="s">
        <v>83</v>
      </c>
      <c r="J115" s="28" t="s">
        <v>1354</v>
      </c>
      <c r="K115" s="28"/>
      <c r="L115" s="28"/>
    </row>
    <row r="116" spans="1:12" ht="26.4">
      <c r="A116" s="28">
        <v>115</v>
      </c>
      <c r="B116" s="28">
        <v>202541056822</v>
      </c>
      <c r="C116" s="28" t="s">
        <v>1007</v>
      </c>
      <c r="D116" s="28" t="s">
        <v>1349</v>
      </c>
      <c r="E116" s="28" t="s">
        <v>23</v>
      </c>
      <c r="F116" s="28" t="s">
        <v>1355</v>
      </c>
      <c r="G116" s="28" t="s">
        <v>1353</v>
      </c>
      <c r="H116" s="44" t="s">
        <v>1356</v>
      </c>
      <c r="I116" s="30" t="s">
        <v>83</v>
      </c>
      <c r="J116" s="28" t="s">
        <v>1357</v>
      </c>
      <c r="K116" s="28"/>
      <c r="L116" s="28"/>
    </row>
    <row r="117" spans="1:12" ht="39.6">
      <c r="A117" s="28">
        <v>116</v>
      </c>
      <c r="B117" s="28">
        <v>202541061437</v>
      </c>
      <c r="C117" s="28" t="s">
        <v>1007</v>
      </c>
      <c r="D117" s="28" t="s">
        <v>642</v>
      </c>
      <c r="E117" s="28" t="s">
        <v>23</v>
      </c>
      <c r="F117" s="28" t="s">
        <v>1358</v>
      </c>
      <c r="G117" s="28" t="s">
        <v>1349</v>
      </c>
      <c r="H117" s="44" t="s">
        <v>1359</v>
      </c>
      <c r="I117" s="30" t="s">
        <v>83</v>
      </c>
      <c r="J117" s="28" t="s">
        <v>1360</v>
      </c>
      <c r="K117" s="28"/>
      <c r="L117" s="28"/>
    </row>
    <row r="118" spans="1:12" ht="39.6">
      <c r="A118" s="28">
        <v>117</v>
      </c>
      <c r="B118" s="28">
        <v>202541057305</v>
      </c>
      <c r="C118" s="28" t="s">
        <v>1007</v>
      </c>
      <c r="D118" s="28" t="s">
        <v>1361</v>
      </c>
      <c r="E118" s="28" t="s">
        <v>23</v>
      </c>
      <c r="F118" s="28" t="s">
        <v>1362</v>
      </c>
      <c r="G118" s="28" t="s">
        <v>1363</v>
      </c>
      <c r="H118" s="44" t="s">
        <v>1364</v>
      </c>
      <c r="I118" s="30" t="s">
        <v>83</v>
      </c>
      <c r="J118" s="28" t="s">
        <v>1365</v>
      </c>
      <c r="K118" s="28"/>
      <c r="L118" s="28"/>
    </row>
    <row r="119" spans="1:12" ht="26.4">
      <c r="A119" s="28">
        <v>118</v>
      </c>
      <c r="B119" s="28">
        <v>202541057255</v>
      </c>
      <c r="C119" s="28" t="s">
        <v>1007</v>
      </c>
      <c r="D119" s="28" t="s">
        <v>782</v>
      </c>
      <c r="E119" s="28" t="s">
        <v>23</v>
      </c>
      <c r="F119" s="28" t="s">
        <v>1366</v>
      </c>
      <c r="G119" s="28" t="s">
        <v>1367</v>
      </c>
      <c r="H119" s="44" t="s">
        <v>1364</v>
      </c>
      <c r="I119" s="30" t="s">
        <v>83</v>
      </c>
      <c r="J119" s="28" t="s">
        <v>1368</v>
      </c>
      <c r="K119" s="28"/>
      <c r="L119" s="28"/>
    </row>
    <row r="120" spans="1:12" ht="52.8">
      <c r="A120" s="28">
        <v>119</v>
      </c>
      <c r="B120" s="28">
        <v>202541051097</v>
      </c>
      <c r="C120" s="28" t="s">
        <v>1007</v>
      </c>
      <c r="D120" s="28" t="s">
        <v>782</v>
      </c>
      <c r="E120" s="28" t="s">
        <v>23</v>
      </c>
      <c r="F120" s="28" t="s">
        <v>1369</v>
      </c>
      <c r="G120" s="28" t="s">
        <v>1370</v>
      </c>
      <c r="H120" s="44" t="s">
        <v>1252</v>
      </c>
      <c r="I120" s="30" t="s">
        <v>83</v>
      </c>
      <c r="J120" s="28" t="s">
        <v>1371</v>
      </c>
      <c r="K120" s="28"/>
      <c r="L120" s="28"/>
    </row>
    <row r="121" spans="1:12" ht="52.8">
      <c r="A121" s="28">
        <v>120</v>
      </c>
      <c r="B121" s="28">
        <v>202541061483</v>
      </c>
      <c r="C121" s="28" t="s">
        <v>1007</v>
      </c>
      <c r="D121" s="28" t="s">
        <v>782</v>
      </c>
      <c r="E121" s="28" t="s">
        <v>23</v>
      </c>
      <c r="F121" s="28" t="s">
        <v>1372</v>
      </c>
      <c r="G121" s="28" t="s">
        <v>1373</v>
      </c>
      <c r="H121" s="44" t="s">
        <v>1374</v>
      </c>
      <c r="I121" s="30" t="s">
        <v>83</v>
      </c>
      <c r="J121" s="28" t="s">
        <v>1375</v>
      </c>
      <c r="K121" s="28"/>
      <c r="L121" s="28"/>
    </row>
    <row r="122" spans="1:12" ht="26.4">
      <c r="A122" s="28">
        <v>121</v>
      </c>
      <c r="B122" s="28">
        <v>202541060473</v>
      </c>
      <c r="C122" s="28" t="s">
        <v>1007</v>
      </c>
      <c r="D122" s="28" t="s">
        <v>1376</v>
      </c>
      <c r="E122" s="28" t="s">
        <v>23</v>
      </c>
      <c r="F122" s="28" t="s">
        <v>1377</v>
      </c>
      <c r="G122" s="28" t="s">
        <v>1378</v>
      </c>
      <c r="H122" s="44" t="s">
        <v>1379</v>
      </c>
      <c r="I122" s="30" t="s">
        <v>83</v>
      </c>
      <c r="J122" s="28" t="s">
        <v>1380</v>
      </c>
      <c r="K122" s="28"/>
      <c r="L122" s="28"/>
    </row>
    <row r="123" spans="1:12" ht="26.4">
      <c r="A123" s="28">
        <v>122</v>
      </c>
      <c r="B123" s="28">
        <v>202541060928</v>
      </c>
      <c r="C123" s="28" t="s">
        <v>1007</v>
      </c>
      <c r="D123" s="28" t="s">
        <v>1376</v>
      </c>
      <c r="E123" s="28" t="s">
        <v>23</v>
      </c>
      <c r="F123" s="28" t="s">
        <v>1381</v>
      </c>
      <c r="G123" s="28" t="s">
        <v>1378</v>
      </c>
      <c r="H123" s="44" t="s">
        <v>1379</v>
      </c>
      <c r="I123" s="30" t="s">
        <v>83</v>
      </c>
      <c r="J123" s="28" t="s">
        <v>1382</v>
      </c>
      <c r="K123" s="28"/>
      <c r="L123" s="28"/>
    </row>
    <row r="124" spans="1:12" ht="52.8">
      <c r="A124" s="28">
        <v>123</v>
      </c>
      <c r="B124" s="28">
        <v>202541059682</v>
      </c>
      <c r="C124" s="28" t="s">
        <v>1007</v>
      </c>
      <c r="D124" s="28" t="s">
        <v>1383</v>
      </c>
      <c r="E124" s="28" t="s">
        <v>23</v>
      </c>
      <c r="F124" s="28" t="s">
        <v>1384</v>
      </c>
      <c r="G124" s="28" t="s">
        <v>1385</v>
      </c>
      <c r="H124" s="44" t="s">
        <v>1359</v>
      </c>
      <c r="I124" s="30" t="s">
        <v>83</v>
      </c>
      <c r="J124" s="28" t="s">
        <v>1386</v>
      </c>
      <c r="K124" s="28"/>
      <c r="L124" s="28"/>
    </row>
    <row r="125" spans="1:12" ht="66">
      <c r="A125" s="28">
        <v>124</v>
      </c>
      <c r="B125" s="28">
        <v>20254045902</v>
      </c>
      <c r="C125" s="28" t="s">
        <v>1007</v>
      </c>
      <c r="D125" s="28" t="s">
        <v>1383</v>
      </c>
      <c r="E125" s="28" t="s">
        <v>23</v>
      </c>
      <c r="F125" s="28" t="s">
        <v>1387</v>
      </c>
      <c r="G125" s="28" t="s">
        <v>1388</v>
      </c>
      <c r="H125" s="44" t="s">
        <v>1359</v>
      </c>
      <c r="I125" s="30" t="s">
        <v>83</v>
      </c>
      <c r="J125" s="28" t="s">
        <v>1389</v>
      </c>
      <c r="K125" s="28"/>
      <c r="L125" s="28"/>
    </row>
    <row r="126" spans="1:12" ht="39.6">
      <c r="A126" s="28">
        <v>125</v>
      </c>
      <c r="B126" s="28">
        <v>20254045908</v>
      </c>
      <c r="C126" s="28" t="s">
        <v>1007</v>
      </c>
      <c r="D126" s="28" t="s">
        <v>1383</v>
      </c>
      <c r="E126" s="28" t="s">
        <v>23</v>
      </c>
      <c r="F126" s="28" t="s">
        <v>1390</v>
      </c>
      <c r="G126" s="28" t="s">
        <v>1391</v>
      </c>
      <c r="H126" s="44" t="s">
        <v>1359</v>
      </c>
      <c r="I126" s="30" t="s">
        <v>83</v>
      </c>
      <c r="J126" s="28" t="s">
        <v>1392</v>
      </c>
      <c r="K126" s="28"/>
      <c r="L126" s="28"/>
    </row>
    <row r="127" spans="1:12" ht="66">
      <c r="A127" s="28">
        <v>126</v>
      </c>
      <c r="B127" s="28">
        <v>202541059661</v>
      </c>
      <c r="C127" s="28" t="s">
        <v>1007</v>
      </c>
      <c r="D127" s="28" t="s">
        <v>1383</v>
      </c>
      <c r="E127" s="28" t="s">
        <v>23</v>
      </c>
      <c r="F127" s="28" t="s">
        <v>1393</v>
      </c>
      <c r="G127" s="28" t="s">
        <v>1394</v>
      </c>
      <c r="H127" s="44" t="s">
        <v>1359</v>
      </c>
      <c r="I127" s="30" t="s">
        <v>83</v>
      </c>
      <c r="J127" s="28" t="s">
        <v>1395</v>
      </c>
      <c r="K127" s="28"/>
      <c r="L127" s="28"/>
    </row>
    <row r="128" spans="1:12" ht="52.8">
      <c r="A128" s="28">
        <v>127</v>
      </c>
      <c r="B128" s="28">
        <v>202541056167</v>
      </c>
      <c r="C128" s="28" t="s">
        <v>1007</v>
      </c>
      <c r="D128" s="28" t="s">
        <v>307</v>
      </c>
      <c r="E128" s="28" t="s">
        <v>23</v>
      </c>
      <c r="F128" s="28" t="s">
        <v>1396</v>
      </c>
      <c r="G128" s="28" t="s">
        <v>1397</v>
      </c>
      <c r="H128" s="44">
        <v>45967</v>
      </c>
      <c r="I128" s="30" t="s">
        <v>83</v>
      </c>
      <c r="J128" s="28" t="s">
        <v>1398</v>
      </c>
      <c r="K128" s="28"/>
      <c r="L128" s="28"/>
    </row>
    <row r="129" spans="1:12" ht="52.8">
      <c r="A129" s="28">
        <v>128</v>
      </c>
      <c r="B129" s="28">
        <v>202541056168</v>
      </c>
      <c r="C129" s="28" t="s">
        <v>1007</v>
      </c>
      <c r="D129" s="28" t="s">
        <v>307</v>
      </c>
      <c r="E129" s="28" t="s">
        <v>23</v>
      </c>
      <c r="F129" s="28" t="s">
        <v>1399</v>
      </c>
      <c r="G129" s="28" t="s">
        <v>1397</v>
      </c>
      <c r="H129" s="44">
        <v>45967</v>
      </c>
      <c r="I129" s="30" t="s">
        <v>83</v>
      </c>
      <c r="J129" s="28" t="s">
        <v>1400</v>
      </c>
      <c r="K129" s="28"/>
      <c r="L129" s="28"/>
    </row>
    <row r="130" spans="1:12" ht="39.6">
      <c r="A130" s="28">
        <v>129</v>
      </c>
      <c r="B130" s="28">
        <v>202541062546</v>
      </c>
      <c r="C130" s="28" t="s">
        <v>1007</v>
      </c>
      <c r="D130" s="28" t="s">
        <v>1401</v>
      </c>
      <c r="E130" s="28" t="s">
        <v>15</v>
      </c>
      <c r="F130" s="28" t="s">
        <v>1402</v>
      </c>
      <c r="G130" s="28" t="s">
        <v>1401</v>
      </c>
      <c r="H130" s="44" t="s">
        <v>1403</v>
      </c>
      <c r="I130" s="30" t="s">
        <v>83</v>
      </c>
      <c r="J130" s="28" t="s">
        <v>83</v>
      </c>
      <c r="K130" s="28"/>
      <c r="L130" s="28"/>
    </row>
    <row r="131" spans="1:12" ht="26.4">
      <c r="A131" s="28">
        <v>130</v>
      </c>
      <c r="B131" s="28">
        <v>202541062552</v>
      </c>
      <c r="C131" s="28" t="s">
        <v>1007</v>
      </c>
      <c r="D131" s="28" t="s">
        <v>1404</v>
      </c>
      <c r="E131" s="28" t="s">
        <v>15</v>
      </c>
      <c r="F131" s="28" t="s">
        <v>1405</v>
      </c>
      <c r="G131" s="28" t="s">
        <v>1404</v>
      </c>
      <c r="H131" s="44" t="s">
        <v>1403</v>
      </c>
      <c r="I131" s="30" t="s">
        <v>83</v>
      </c>
      <c r="J131" s="28" t="s">
        <v>83</v>
      </c>
      <c r="K131" s="28"/>
      <c r="L131" s="28"/>
    </row>
    <row r="132" spans="1:12" ht="26.4">
      <c r="A132" s="28">
        <v>131</v>
      </c>
      <c r="B132" s="28">
        <v>202541062543</v>
      </c>
      <c r="C132" s="28" t="s">
        <v>1007</v>
      </c>
      <c r="D132" s="28" t="s">
        <v>1404</v>
      </c>
      <c r="E132" s="28" t="s">
        <v>15</v>
      </c>
      <c r="F132" s="28" t="s">
        <v>1406</v>
      </c>
      <c r="G132" s="28" t="s">
        <v>1404</v>
      </c>
      <c r="H132" s="44" t="s">
        <v>1403</v>
      </c>
      <c r="I132" s="30" t="s">
        <v>83</v>
      </c>
      <c r="J132" s="28" t="s">
        <v>83</v>
      </c>
      <c r="K132" s="28"/>
      <c r="L132" s="28"/>
    </row>
    <row r="133" spans="1:12" ht="26.4">
      <c r="A133" s="28">
        <v>132</v>
      </c>
      <c r="B133" s="28">
        <v>202541057440</v>
      </c>
      <c r="C133" s="28" t="s">
        <v>1007</v>
      </c>
      <c r="D133" s="28" t="s">
        <v>170</v>
      </c>
      <c r="E133" s="28" t="s">
        <v>17</v>
      </c>
      <c r="F133" s="28" t="s">
        <v>1407</v>
      </c>
      <c r="G133" s="28" t="s">
        <v>170</v>
      </c>
      <c r="H133" s="44" t="s">
        <v>1408</v>
      </c>
      <c r="I133" s="30" t="s">
        <v>83</v>
      </c>
      <c r="J133" s="28" t="s">
        <v>1409</v>
      </c>
      <c r="K133" s="28"/>
      <c r="L133" s="28"/>
    </row>
    <row r="134" spans="1:12" ht="39.6">
      <c r="A134" s="28">
        <v>133</v>
      </c>
      <c r="B134" s="28">
        <v>202541060052</v>
      </c>
      <c r="C134" s="28" t="s">
        <v>1007</v>
      </c>
      <c r="D134" s="28" t="s">
        <v>1410</v>
      </c>
      <c r="E134" s="28" t="s">
        <v>15</v>
      </c>
      <c r="F134" s="28" t="s">
        <v>1411</v>
      </c>
      <c r="G134" s="28" t="s">
        <v>1410</v>
      </c>
      <c r="H134" s="44" t="s">
        <v>1301</v>
      </c>
      <c r="I134" s="30" t="s">
        <v>83</v>
      </c>
      <c r="J134" s="28" t="s">
        <v>83</v>
      </c>
      <c r="K134" s="28"/>
      <c r="L134" s="28"/>
    </row>
    <row r="135" spans="1:12" ht="26.4">
      <c r="A135" s="28">
        <v>134</v>
      </c>
      <c r="B135" s="28">
        <v>202541049795</v>
      </c>
      <c r="C135" s="28" t="s">
        <v>1007</v>
      </c>
      <c r="D135" s="28" t="s">
        <v>1412</v>
      </c>
      <c r="E135" s="28" t="s">
        <v>14</v>
      </c>
      <c r="F135" s="28" t="s">
        <v>1413</v>
      </c>
      <c r="G135" s="28" t="s">
        <v>1414</v>
      </c>
      <c r="H135" s="44" t="s">
        <v>1415</v>
      </c>
      <c r="I135" s="30" t="s">
        <v>83</v>
      </c>
      <c r="J135" s="28" t="s">
        <v>83</v>
      </c>
      <c r="K135" s="28"/>
      <c r="L135" s="28"/>
    </row>
    <row r="136" spans="1:12" ht="26.4">
      <c r="A136" s="28">
        <v>135</v>
      </c>
      <c r="B136" s="28">
        <v>202541049781</v>
      </c>
      <c r="C136" s="28" t="s">
        <v>1007</v>
      </c>
      <c r="D136" s="28" t="s">
        <v>1416</v>
      </c>
      <c r="E136" s="28" t="s">
        <v>14</v>
      </c>
      <c r="F136" s="28" t="s">
        <v>1417</v>
      </c>
      <c r="G136" s="28" t="s">
        <v>1418</v>
      </c>
      <c r="H136" s="44" t="s">
        <v>1415</v>
      </c>
      <c r="I136" s="30" t="s">
        <v>83</v>
      </c>
      <c r="J136" s="28" t="s">
        <v>83</v>
      </c>
      <c r="K136" s="28"/>
      <c r="L136" s="28"/>
    </row>
    <row r="137" spans="1:12" ht="26.4">
      <c r="A137" s="28">
        <v>136</v>
      </c>
      <c r="B137" s="28">
        <v>202541049794</v>
      </c>
      <c r="C137" s="28" t="s">
        <v>1007</v>
      </c>
      <c r="D137" s="28" t="s">
        <v>404</v>
      </c>
      <c r="E137" s="28" t="s">
        <v>14</v>
      </c>
      <c r="F137" s="28" t="s">
        <v>1419</v>
      </c>
      <c r="G137" s="28" t="s">
        <v>1420</v>
      </c>
      <c r="H137" s="44" t="s">
        <v>1415</v>
      </c>
      <c r="I137" s="30" t="s">
        <v>83</v>
      </c>
      <c r="J137" s="28" t="s">
        <v>83</v>
      </c>
      <c r="K137" s="28"/>
      <c r="L137" s="28"/>
    </row>
    <row r="138" spans="1:12" ht="52.8">
      <c r="A138" s="28">
        <v>137</v>
      </c>
      <c r="B138" s="28">
        <v>202541016394</v>
      </c>
      <c r="C138" s="28" t="s">
        <v>1007</v>
      </c>
      <c r="D138" s="28" t="s">
        <v>842</v>
      </c>
      <c r="E138" s="28" t="s">
        <v>14</v>
      </c>
      <c r="F138" s="28" t="s">
        <v>1421</v>
      </c>
      <c r="G138" s="28" t="s">
        <v>842</v>
      </c>
      <c r="H138" s="44" t="s">
        <v>1422</v>
      </c>
      <c r="I138" s="30" t="s">
        <v>83</v>
      </c>
      <c r="J138" s="28" t="s">
        <v>83</v>
      </c>
      <c r="K138" s="28"/>
      <c r="L138" s="28"/>
    </row>
    <row r="139" spans="1:12" ht="26.4">
      <c r="A139" s="28">
        <v>138</v>
      </c>
      <c r="B139" s="28">
        <v>202541055774</v>
      </c>
      <c r="C139" s="28" t="s">
        <v>1007</v>
      </c>
      <c r="D139" s="28" t="s">
        <v>1423</v>
      </c>
      <c r="E139" s="28" t="s">
        <v>14</v>
      </c>
      <c r="F139" s="28" t="s">
        <v>1424</v>
      </c>
      <c r="G139" s="28" t="s">
        <v>1423</v>
      </c>
      <c r="H139" s="44">
        <v>45936</v>
      </c>
      <c r="I139" s="30" t="s">
        <v>83</v>
      </c>
      <c r="J139" s="28" t="s">
        <v>83</v>
      </c>
      <c r="K139" s="28"/>
      <c r="L139" s="28"/>
    </row>
    <row r="140" spans="1:12" ht="26.4">
      <c r="A140" s="28">
        <v>139</v>
      </c>
      <c r="B140" s="28">
        <v>202541049781</v>
      </c>
      <c r="C140" s="28" t="s">
        <v>1007</v>
      </c>
      <c r="D140" s="28" t="s">
        <v>1416</v>
      </c>
      <c r="E140" s="28" t="s">
        <v>14</v>
      </c>
      <c r="F140" s="28" t="s">
        <v>1425</v>
      </c>
      <c r="G140" s="28" t="s">
        <v>1426</v>
      </c>
      <c r="H140" s="44" t="s">
        <v>1427</v>
      </c>
      <c r="I140" s="30" t="s">
        <v>83</v>
      </c>
      <c r="J140" s="28" t="s">
        <v>83</v>
      </c>
      <c r="K140" s="28"/>
      <c r="L140" s="28"/>
    </row>
    <row r="141" spans="1:12" ht="26.4">
      <c r="A141" s="28">
        <v>140</v>
      </c>
      <c r="B141" s="28">
        <v>202541056445</v>
      </c>
      <c r="C141" s="28" t="s">
        <v>1007</v>
      </c>
      <c r="D141" s="28" t="s">
        <v>1416</v>
      </c>
      <c r="E141" s="28" t="s">
        <v>14</v>
      </c>
      <c r="F141" s="28" t="s">
        <v>1428</v>
      </c>
      <c r="G141" s="28" t="s">
        <v>1426</v>
      </c>
      <c r="H141" s="44" t="s">
        <v>1429</v>
      </c>
      <c r="I141" s="30" t="s">
        <v>83</v>
      </c>
      <c r="J141" s="28" t="s">
        <v>83</v>
      </c>
      <c r="K141" s="28"/>
      <c r="L141" s="28"/>
    </row>
    <row r="142" spans="1:12" ht="26.4">
      <c r="A142" s="28">
        <v>141</v>
      </c>
      <c r="B142" s="28">
        <v>202541058305</v>
      </c>
      <c r="C142" s="28" t="s">
        <v>1059</v>
      </c>
      <c r="D142" s="28" t="s">
        <v>817</v>
      </c>
      <c r="E142" s="28" t="s">
        <v>14</v>
      </c>
      <c r="F142" s="28" t="s">
        <v>1430</v>
      </c>
      <c r="G142" s="28" t="s">
        <v>817</v>
      </c>
      <c r="H142" s="44" t="s">
        <v>1431</v>
      </c>
      <c r="I142" s="30" t="s">
        <v>83</v>
      </c>
      <c r="J142" s="28" t="s">
        <v>83</v>
      </c>
      <c r="K142" s="28"/>
      <c r="L142" s="28"/>
    </row>
    <row r="143" spans="1:12">
      <c r="A143" s="28">
        <v>142</v>
      </c>
      <c r="B143" s="28">
        <v>202541058385</v>
      </c>
      <c r="C143" s="28" t="s">
        <v>1007</v>
      </c>
      <c r="D143" s="28" t="s">
        <v>1432</v>
      </c>
      <c r="E143" s="28" t="s">
        <v>14</v>
      </c>
      <c r="F143" s="28" t="s">
        <v>1433</v>
      </c>
      <c r="G143" s="28" t="s">
        <v>542</v>
      </c>
      <c r="H143" s="44" t="s">
        <v>1434</v>
      </c>
      <c r="I143" s="30" t="s">
        <v>83</v>
      </c>
      <c r="J143" s="28" t="s">
        <v>83</v>
      </c>
      <c r="K143" s="28"/>
      <c r="L143" s="28"/>
    </row>
    <row r="144" spans="1:12" ht="52.8">
      <c r="A144" s="28">
        <v>143</v>
      </c>
      <c r="B144" s="28">
        <v>202541058429</v>
      </c>
      <c r="C144" s="28" t="s">
        <v>1007</v>
      </c>
      <c r="D144" s="28" t="s">
        <v>831</v>
      </c>
      <c r="E144" s="28" t="s">
        <v>14</v>
      </c>
      <c r="F144" s="28" t="s">
        <v>1435</v>
      </c>
      <c r="G144" s="28" t="s">
        <v>1436</v>
      </c>
      <c r="H144" s="44" t="s">
        <v>1437</v>
      </c>
      <c r="I144" s="30" t="s">
        <v>83</v>
      </c>
      <c r="J144" s="28" t="s">
        <v>83</v>
      </c>
      <c r="K144" s="28"/>
      <c r="L144" s="28"/>
    </row>
    <row r="145" spans="1:12" ht="26.4">
      <c r="A145" s="28">
        <v>144</v>
      </c>
      <c r="B145" s="28">
        <v>202531049950</v>
      </c>
      <c r="C145" s="28" t="s">
        <v>1007</v>
      </c>
      <c r="D145" s="28" t="s">
        <v>1438</v>
      </c>
      <c r="E145" s="28" t="s">
        <v>14</v>
      </c>
      <c r="F145" s="28" t="s">
        <v>1439</v>
      </c>
      <c r="G145" s="28" t="s">
        <v>1440</v>
      </c>
      <c r="H145" s="44" t="s">
        <v>1415</v>
      </c>
      <c r="I145" s="30" t="s">
        <v>83</v>
      </c>
      <c r="J145" s="28" t="s">
        <v>83</v>
      </c>
      <c r="K145" s="28"/>
      <c r="L145" s="28"/>
    </row>
    <row r="146" spans="1:12">
      <c r="A146" s="28">
        <v>145</v>
      </c>
      <c r="B146" s="28">
        <v>202541060507</v>
      </c>
      <c r="C146" s="28" t="s">
        <v>1007</v>
      </c>
      <c r="D146" s="28" t="s">
        <v>1441</v>
      </c>
      <c r="E146" s="28" t="s">
        <v>14</v>
      </c>
      <c r="F146" s="28" t="s">
        <v>1442</v>
      </c>
      <c r="G146" s="28" t="s">
        <v>1443</v>
      </c>
      <c r="H146" s="44" t="s">
        <v>1444</v>
      </c>
      <c r="I146" s="30" t="s">
        <v>83</v>
      </c>
      <c r="J146" s="28" t="s">
        <v>83</v>
      </c>
      <c r="K146" s="28"/>
      <c r="L146" s="28"/>
    </row>
    <row r="147" spans="1:12" ht="66">
      <c r="A147" s="28">
        <v>146</v>
      </c>
      <c r="B147" s="28">
        <v>202541060499</v>
      </c>
      <c r="C147" s="28" t="s">
        <v>1007</v>
      </c>
      <c r="D147" s="28" t="s">
        <v>233</v>
      </c>
      <c r="E147" s="28" t="s">
        <v>14</v>
      </c>
      <c r="F147" s="28" t="s">
        <v>1445</v>
      </c>
      <c r="G147" s="28" t="s">
        <v>1446</v>
      </c>
      <c r="H147" s="44" t="s">
        <v>1444</v>
      </c>
      <c r="I147" s="30" t="s">
        <v>83</v>
      </c>
      <c r="J147" s="28" t="s">
        <v>83</v>
      </c>
      <c r="K147" s="28"/>
      <c r="L147" s="28"/>
    </row>
    <row r="148" spans="1:12">
      <c r="A148" s="28">
        <v>147</v>
      </c>
      <c r="B148" s="28">
        <v>202541062078</v>
      </c>
      <c r="C148" s="28" t="s">
        <v>1007</v>
      </c>
      <c r="D148" s="28" t="s">
        <v>840</v>
      </c>
      <c r="E148" s="28" t="s">
        <v>14</v>
      </c>
      <c r="F148" s="28" t="s">
        <v>1447</v>
      </c>
      <c r="G148" s="28" t="s">
        <v>1448</v>
      </c>
      <c r="H148" s="44" t="s">
        <v>1449</v>
      </c>
      <c r="I148" s="30" t="s">
        <v>83</v>
      </c>
      <c r="J148" s="28" t="s">
        <v>83</v>
      </c>
      <c r="K148" s="28"/>
      <c r="L148" s="28"/>
    </row>
    <row r="149" spans="1:12">
      <c r="A149" s="28">
        <v>148</v>
      </c>
      <c r="B149" s="28">
        <v>202541048849</v>
      </c>
      <c r="C149" s="28" t="s">
        <v>1007</v>
      </c>
      <c r="D149" s="28" t="s">
        <v>1450</v>
      </c>
      <c r="E149" s="28" t="s">
        <v>14</v>
      </c>
      <c r="F149" s="28" t="s">
        <v>1451</v>
      </c>
      <c r="G149" s="28" t="s">
        <v>1450</v>
      </c>
      <c r="H149" s="44" t="s">
        <v>1452</v>
      </c>
      <c r="I149" s="30" t="s">
        <v>83</v>
      </c>
      <c r="J149" s="28" t="s">
        <v>83</v>
      </c>
      <c r="K149" s="28"/>
      <c r="L149" s="28"/>
    </row>
    <row r="150" spans="1:12" ht="26.4">
      <c r="A150" s="28">
        <v>149</v>
      </c>
      <c r="B150" s="28">
        <v>202541048850</v>
      </c>
      <c r="C150" s="28" t="s">
        <v>1007</v>
      </c>
      <c r="D150" s="28" t="s">
        <v>1450</v>
      </c>
      <c r="E150" s="28" t="s">
        <v>14</v>
      </c>
      <c r="F150" s="28" t="s">
        <v>1453</v>
      </c>
      <c r="G150" s="28" t="s">
        <v>1450</v>
      </c>
      <c r="H150" s="44" t="s">
        <v>1452</v>
      </c>
      <c r="I150" s="30" t="s">
        <v>83</v>
      </c>
      <c r="J150" s="28" t="s">
        <v>83</v>
      </c>
      <c r="K150" s="28"/>
      <c r="L150" s="28"/>
    </row>
    <row r="151" spans="1:12" ht="52.8">
      <c r="A151" s="28">
        <v>150</v>
      </c>
      <c r="B151" s="28">
        <v>202441061988</v>
      </c>
      <c r="C151" s="28" t="s">
        <v>1007</v>
      </c>
      <c r="D151" s="28" t="s">
        <v>1454</v>
      </c>
      <c r="E151" s="28" t="s">
        <v>14</v>
      </c>
      <c r="F151" s="28" t="s">
        <v>1455</v>
      </c>
      <c r="G151" s="28" t="s">
        <v>1456</v>
      </c>
      <c r="H151" s="44" t="s">
        <v>1457</v>
      </c>
      <c r="I151" s="30" t="s">
        <v>83</v>
      </c>
      <c r="J151" s="28" t="s">
        <v>1458</v>
      </c>
      <c r="K151" s="28"/>
      <c r="L151" s="28"/>
    </row>
    <row r="152" spans="1:12" ht="39.6">
      <c r="A152" s="28">
        <v>151</v>
      </c>
      <c r="B152" s="28">
        <v>202441062164</v>
      </c>
      <c r="C152" s="28" t="s">
        <v>1007</v>
      </c>
      <c r="D152" s="28" t="s">
        <v>1459</v>
      </c>
      <c r="E152" s="28" t="s">
        <v>14</v>
      </c>
      <c r="F152" s="28" t="s">
        <v>1460</v>
      </c>
      <c r="G152" s="28" t="s">
        <v>1456</v>
      </c>
      <c r="H152" s="44" t="s">
        <v>1295</v>
      </c>
      <c r="I152" s="30" t="s">
        <v>83</v>
      </c>
      <c r="J152" s="28" t="s">
        <v>1461</v>
      </c>
      <c r="K152" s="28"/>
      <c r="L152" s="28"/>
    </row>
    <row r="153" spans="1:12" ht="52.8">
      <c r="A153" s="28">
        <v>152</v>
      </c>
      <c r="B153" s="28" t="s">
        <v>1462</v>
      </c>
      <c r="C153" s="28" t="s">
        <v>1007</v>
      </c>
      <c r="D153" s="28" t="s">
        <v>1463</v>
      </c>
      <c r="E153" s="28" t="s">
        <v>14</v>
      </c>
      <c r="F153" s="28" t="s">
        <v>1421</v>
      </c>
      <c r="G153" s="28" t="s">
        <v>1464</v>
      </c>
      <c r="H153" s="44" t="s">
        <v>1465</v>
      </c>
      <c r="I153" s="30" t="s">
        <v>83</v>
      </c>
      <c r="J153" s="28" t="s">
        <v>83</v>
      </c>
      <c r="K153" s="28"/>
      <c r="L153" s="28"/>
    </row>
    <row r="154" spans="1:12" ht="39.6">
      <c r="A154" s="28">
        <v>153</v>
      </c>
      <c r="B154" s="28">
        <v>202541060474</v>
      </c>
      <c r="C154" s="28" t="s">
        <v>1007</v>
      </c>
      <c r="D154" s="28" t="s">
        <v>1466</v>
      </c>
      <c r="E154" s="28" t="s">
        <v>14</v>
      </c>
      <c r="F154" s="28" t="s">
        <v>1467</v>
      </c>
      <c r="G154" s="28" t="s">
        <v>1468</v>
      </c>
      <c r="H154" s="44" t="s">
        <v>1469</v>
      </c>
      <c r="I154" s="30" t="s">
        <v>83</v>
      </c>
      <c r="J154" s="28" t="s">
        <v>83</v>
      </c>
      <c r="K154" s="28"/>
      <c r="L154" s="28"/>
    </row>
    <row r="155" spans="1:12" ht="26.4">
      <c r="A155" s="28">
        <v>154</v>
      </c>
      <c r="B155" s="28">
        <v>202541042153</v>
      </c>
      <c r="C155" s="28" t="s">
        <v>1007</v>
      </c>
      <c r="D155" s="28" t="s">
        <v>1470</v>
      </c>
      <c r="E155" s="28" t="s">
        <v>14</v>
      </c>
      <c r="F155" s="28" t="s">
        <v>1471</v>
      </c>
      <c r="G155" s="28" t="s">
        <v>1472</v>
      </c>
      <c r="H155" s="44">
        <v>45662</v>
      </c>
      <c r="I155" s="30" t="s">
        <v>83</v>
      </c>
      <c r="J155" s="28" t="s">
        <v>83</v>
      </c>
      <c r="K155" s="28"/>
      <c r="L155" s="28"/>
    </row>
    <row r="156" spans="1:12" ht="39.6">
      <c r="A156" s="28">
        <v>155</v>
      </c>
      <c r="B156" s="28">
        <v>202541059785</v>
      </c>
      <c r="C156" s="28" t="s">
        <v>1007</v>
      </c>
      <c r="D156" s="28" t="s">
        <v>1473</v>
      </c>
      <c r="E156" s="28" t="s">
        <v>14</v>
      </c>
      <c r="F156" s="28" t="s">
        <v>1474</v>
      </c>
      <c r="G156" s="28" t="s">
        <v>864</v>
      </c>
      <c r="H156" s="44" t="s">
        <v>1475</v>
      </c>
      <c r="I156" s="30" t="s">
        <v>83</v>
      </c>
      <c r="J156" s="28" t="s">
        <v>83</v>
      </c>
      <c r="K156" s="28"/>
      <c r="L156" s="28"/>
    </row>
    <row r="157" spans="1:12" ht="26.4">
      <c r="A157" s="28">
        <v>156</v>
      </c>
      <c r="B157" s="28">
        <v>202541058449</v>
      </c>
      <c r="C157" s="28" t="s">
        <v>1007</v>
      </c>
      <c r="D157" s="28" t="s">
        <v>1476</v>
      </c>
      <c r="E157" s="28" t="s">
        <v>14</v>
      </c>
      <c r="F157" s="28" t="s">
        <v>1477</v>
      </c>
      <c r="G157" s="28" t="s">
        <v>876</v>
      </c>
      <c r="H157" s="44" t="s">
        <v>1437</v>
      </c>
      <c r="I157" s="30" t="s">
        <v>83</v>
      </c>
      <c r="J157" s="28" t="s">
        <v>83</v>
      </c>
      <c r="K157" s="28"/>
      <c r="L157" s="28"/>
    </row>
    <row r="158" spans="1:12" ht="39.6">
      <c r="A158" s="28">
        <v>157</v>
      </c>
      <c r="B158" s="28">
        <v>202541060588</v>
      </c>
      <c r="C158" s="28" t="s">
        <v>1007</v>
      </c>
      <c r="D158" s="28" t="s">
        <v>1478</v>
      </c>
      <c r="E158" s="28" t="s">
        <v>14</v>
      </c>
      <c r="F158" s="28" t="s">
        <v>1479</v>
      </c>
      <c r="G158" s="28" t="s">
        <v>876</v>
      </c>
      <c r="H158" s="44" t="s">
        <v>1480</v>
      </c>
      <c r="I158" s="30" t="s">
        <v>83</v>
      </c>
      <c r="J158" s="28" t="s">
        <v>83</v>
      </c>
      <c r="K158" s="28"/>
      <c r="L158" s="28"/>
    </row>
    <row r="159" spans="1:12" ht="52.8">
      <c r="A159" s="28">
        <v>158</v>
      </c>
      <c r="B159" s="28">
        <v>202541057429</v>
      </c>
      <c r="C159" s="28" t="s">
        <v>1007</v>
      </c>
      <c r="D159" s="28" t="s">
        <v>1481</v>
      </c>
      <c r="E159" s="28" t="s">
        <v>14</v>
      </c>
      <c r="F159" s="28" t="s">
        <v>1482</v>
      </c>
      <c r="G159" s="28" t="s">
        <v>1483</v>
      </c>
      <c r="H159" s="44" t="s">
        <v>1274</v>
      </c>
      <c r="I159" s="30" t="s">
        <v>83</v>
      </c>
      <c r="J159" s="28" t="s">
        <v>83</v>
      </c>
      <c r="K159" s="28"/>
      <c r="L159" s="28"/>
    </row>
    <row r="160" spans="1:12" ht="39.6">
      <c r="A160" s="28">
        <v>159</v>
      </c>
      <c r="B160" s="28">
        <v>202541058185</v>
      </c>
      <c r="C160" s="28" t="s">
        <v>1007</v>
      </c>
      <c r="D160" s="28" t="s">
        <v>1484</v>
      </c>
      <c r="E160" s="28" t="s">
        <v>20</v>
      </c>
      <c r="F160" s="28" t="s">
        <v>1485</v>
      </c>
      <c r="G160" s="28" t="s">
        <v>1484</v>
      </c>
      <c r="H160" s="44" t="s">
        <v>1486</v>
      </c>
      <c r="I160" s="30" t="s">
        <v>83</v>
      </c>
      <c r="J160" s="28" t="s">
        <v>83</v>
      </c>
      <c r="K160" s="28"/>
      <c r="L160" s="28"/>
    </row>
    <row r="161" spans="1:12">
      <c r="A161" s="28">
        <v>160</v>
      </c>
      <c r="B161" s="28">
        <v>202541061424</v>
      </c>
      <c r="C161" s="28" t="s">
        <v>1007</v>
      </c>
      <c r="D161" s="28" t="s">
        <v>1487</v>
      </c>
      <c r="E161" s="28" t="s">
        <v>20</v>
      </c>
      <c r="F161" s="28" t="s">
        <v>1488</v>
      </c>
      <c r="G161" s="28" t="s">
        <v>1487</v>
      </c>
      <c r="H161" s="44" t="s">
        <v>1489</v>
      </c>
      <c r="I161" s="30" t="s">
        <v>83</v>
      </c>
      <c r="J161" s="28" t="s">
        <v>83</v>
      </c>
      <c r="K161" s="28"/>
      <c r="L161" s="28"/>
    </row>
    <row r="162" spans="1:12" ht="26.4">
      <c r="A162" s="28">
        <v>161</v>
      </c>
      <c r="B162" s="28">
        <v>202541059211</v>
      </c>
      <c r="C162" s="28" t="s">
        <v>1007</v>
      </c>
      <c r="D162" s="28" t="s">
        <v>1490</v>
      </c>
      <c r="E162" s="28" t="s">
        <v>20</v>
      </c>
      <c r="F162" s="28" t="s">
        <v>1491</v>
      </c>
      <c r="G162" s="28" t="s">
        <v>1490</v>
      </c>
      <c r="H162" s="44" t="s">
        <v>1492</v>
      </c>
      <c r="I162" s="30" t="s">
        <v>83</v>
      </c>
      <c r="J162" s="28" t="s">
        <v>83</v>
      </c>
      <c r="K162" s="28"/>
      <c r="L162" s="28"/>
    </row>
    <row r="163" spans="1:12" ht="39.6">
      <c r="A163" s="28">
        <v>162</v>
      </c>
      <c r="B163" s="28">
        <v>202441063996</v>
      </c>
      <c r="C163" s="28" t="s">
        <v>1023</v>
      </c>
      <c r="D163" s="28" t="s">
        <v>906</v>
      </c>
      <c r="E163" s="28" t="s">
        <v>895</v>
      </c>
      <c r="F163" s="28" t="s">
        <v>1493</v>
      </c>
      <c r="G163" s="28" t="s">
        <v>906</v>
      </c>
      <c r="H163" s="44" t="s">
        <v>1494</v>
      </c>
      <c r="I163" s="30" t="s">
        <v>83</v>
      </c>
      <c r="J163" s="28" t="s">
        <v>1495</v>
      </c>
      <c r="K163" s="28"/>
      <c r="L163" s="28"/>
    </row>
    <row r="164" spans="1:12" ht="26.4">
      <c r="A164" s="28">
        <v>163</v>
      </c>
      <c r="B164" s="28">
        <v>202441074591</v>
      </c>
      <c r="C164" s="28" t="s">
        <v>1023</v>
      </c>
      <c r="D164" s="28" t="s">
        <v>906</v>
      </c>
      <c r="E164" s="28" t="s">
        <v>895</v>
      </c>
      <c r="F164" s="28" t="s">
        <v>1496</v>
      </c>
      <c r="G164" s="28" t="s">
        <v>906</v>
      </c>
      <c r="H164" s="44">
        <v>45361</v>
      </c>
      <c r="I164" s="30" t="s">
        <v>83</v>
      </c>
      <c r="J164" s="28" t="s">
        <v>1497</v>
      </c>
      <c r="K164" s="28"/>
      <c r="L164" s="28"/>
    </row>
    <row r="165" spans="1:12" ht="39.6">
      <c r="A165" s="28">
        <v>164</v>
      </c>
      <c r="B165" s="28">
        <v>202541018563</v>
      </c>
      <c r="C165" s="28" t="s">
        <v>1007</v>
      </c>
      <c r="D165" s="28" t="s">
        <v>1498</v>
      </c>
      <c r="E165" s="28" t="s">
        <v>1499</v>
      </c>
      <c r="F165" s="28" t="s">
        <v>1500</v>
      </c>
      <c r="G165" s="28" t="s">
        <v>1498</v>
      </c>
      <c r="H165" s="44">
        <v>45719</v>
      </c>
      <c r="I165" s="30" t="s">
        <v>83</v>
      </c>
      <c r="J165" s="28" t="s">
        <v>1501</v>
      </c>
      <c r="K165" s="28"/>
      <c r="L165" s="28"/>
    </row>
    <row r="166" spans="1:12" ht="26.4">
      <c r="A166" s="28">
        <v>165</v>
      </c>
      <c r="B166" s="28">
        <v>202441084399</v>
      </c>
      <c r="C166" s="28" t="s">
        <v>1023</v>
      </c>
      <c r="D166" s="28" t="s">
        <v>948</v>
      </c>
      <c r="E166" s="28" t="s">
        <v>19</v>
      </c>
      <c r="F166" s="28" t="s">
        <v>1502</v>
      </c>
      <c r="G166" s="28" t="s">
        <v>948</v>
      </c>
      <c r="H166" s="44">
        <v>45423</v>
      </c>
      <c r="I166" s="30" t="s">
        <v>83</v>
      </c>
      <c r="J166" s="28" t="s">
        <v>1503</v>
      </c>
      <c r="K166" s="28"/>
      <c r="L166" s="28"/>
    </row>
    <row r="167" spans="1:12" ht="39.6">
      <c r="A167" s="28">
        <v>166</v>
      </c>
      <c r="B167" s="28">
        <v>202541044230</v>
      </c>
      <c r="C167" s="28" t="s">
        <v>1007</v>
      </c>
      <c r="D167" s="28" t="s">
        <v>1504</v>
      </c>
      <c r="E167" s="28" t="s">
        <v>19</v>
      </c>
      <c r="F167" s="28" t="s">
        <v>1505</v>
      </c>
      <c r="G167" s="28" t="s">
        <v>1504</v>
      </c>
      <c r="H167" s="44">
        <v>45843</v>
      </c>
      <c r="I167" s="30" t="s">
        <v>83</v>
      </c>
      <c r="J167" s="28" t="s">
        <v>1506</v>
      </c>
      <c r="K167" s="28"/>
      <c r="L167" s="28"/>
    </row>
    <row r="168" spans="1:12" ht="26.4">
      <c r="A168" s="28">
        <v>167</v>
      </c>
      <c r="B168" s="28">
        <v>202541058037</v>
      </c>
      <c r="C168" s="28" t="s">
        <v>1007</v>
      </c>
      <c r="D168" s="28" t="s">
        <v>971</v>
      </c>
      <c r="E168" s="28" t="s">
        <v>19</v>
      </c>
      <c r="F168" s="28" t="s">
        <v>1507</v>
      </c>
      <c r="G168" s="28" t="s">
        <v>1508</v>
      </c>
      <c r="H168" s="44" t="s">
        <v>1509</v>
      </c>
      <c r="I168" s="30" t="s">
        <v>83</v>
      </c>
      <c r="J168" s="28" t="s">
        <v>1510</v>
      </c>
      <c r="K168" s="28"/>
      <c r="L168" s="28"/>
    </row>
    <row r="169" spans="1:12" ht="52.8">
      <c r="A169" s="28">
        <v>168</v>
      </c>
      <c r="B169" s="28">
        <v>202541060189</v>
      </c>
      <c r="C169" s="28" t="s">
        <v>1007</v>
      </c>
      <c r="D169" s="28" t="s">
        <v>1511</v>
      </c>
      <c r="E169" s="28" t="s">
        <v>895</v>
      </c>
      <c r="F169" s="28" t="s">
        <v>1512</v>
      </c>
      <c r="G169" s="28" t="s">
        <v>1511</v>
      </c>
      <c r="H169" s="44" t="s">
        <v>1513</v>
      </c>
      <c r="I169" s="30" t="s">
        <v>83</v>
      </c>
      <c r="J169" s="28" t="s">
        <v>1514</v>
      </c>
      <c r="K169" s="28"/>
      <c r="L169" s="28"/>
    </row>
    <row r="170" spans="1:12" ht="26.4">
      <c r="A170" s="28">
        <v>169</v>
      </c>
      <c r="B170" s="28">
        <v>202541048508</v>
      </c>
      <c r="C170" s="28" t="s">
        <v>1007</v>
      </c>
      <c r="D170" s="28" t="s">
        <v>1515</v>
      </c>
      <c r="E170" s="28" t="s">
        <v>19</v>
      </c>
      <c r="F170" s="28" t="s">
        <v>1516</v>
      </c>
      <c r="G170" s="28" t="s">
        <v>1517</v>
      </c>
      <c r="H170" s="44" t="s">
        <v>1518</v>
      </c>
      <c r="I170" s="30" t="s">
        <v>83</v>
      </c>
      <c r="J170" s="28" t="s">
        <v>1519</v>
      </c>
      <c r="K170" s="28"/>
      <c r="L170" s="28"/>
    </row>
    <row r="171" spans="1:12" ht="52.8">
      <c r="A171" s="28">
        <v>170</v>
      </c>
      <c r="B171" s="28">
        <v>202541060187</v>
      </c>
      <c r="C171" s="28" t="s">
        <v>1007</v>
      </c>
      <c r="D171" s="28" t="s">
        <v>942</v>
      </c>
      <c r="E171" s="28" t="s">
        <v>19</v>
      </c>
      <c r="F171" s="28" t="s">
        <v>1520</v>
      </c>
      <c r="G171" s="28" t="s">
        <v>942</v>
      </c>
      <c r="H171" s="44" t="s">
        <v>1513</v>
      </c>
      <c r="I171" s="30" t="s">
        <v>83</v>
      </c>
      <c r="J171" s="28" t="s">
        <v>1521</v>
      </c>
      <c r="K171" s="28"/>
      <c r="L171" s="28"/>
    </row>
    <row r="172" spans="1:12" ht="39.6">
      <c r="A172" s="28">
        <v>171</v>
      </c>
      <c r="B172" s="28">
        <v>202541060603</v>
      </c>
      <c r="C172" s="28" t="s">
        <v>1007</v>
      </c>
      <c r="D172" s="28" t="s">
        <v>1522</v>
      </c>
      <c r="E172" s="28" t="s">
        <v>895</v>
      </c>
      <c r="F172" s="28" t="s">
        <v>1523</v>
      </c>
      <c r="G172" s="28" t="s">
        <v>1522</v>
      </c>
      <c r="H172" s="44" t="s">
        <v>1524</v>
      </c>
      <c r="I172" s="30" t="s">
        <v>83</v>
      </c>
      <c r="J172" s="28" t="s">
        <v>1525</v>
      </c>
      <c r="K172" s="28"/>
      <c r="L172" s="28"/>
    </row>
    <row r="173" spans="1:12" ht="39.6">
      <c r="A173" s="28">
        <v>172</v>
      </c>
      <c r="B173" s="28">
        <v>202541058021</v>
      </c>
      <c r="C173" s="28" t="s">
        <v>1007</v>
      </c>
      <c r="D173" s="28" t="s">
        <v>902</v>
      </c>
      <c r="E173" s="28" t="s">
        <v>895</v>
      </c>
      <c r="F173" s="28" t="s">
        <v>1526</v>
      </c>
      <c r="G173" s="28" t="s">
        <v>902</v>
      </c>
      <c r="H173" s="44" t="s">
        <v>1509</v>
      </c>
      <c r="I173" s="30" t="s">
        <v>83</v>
      </c>
      <c r="J173" s="28" t="s">
        <v>1527</v>
      </c>
      <c r="K173" s="28"/>
      <c r="L173" s="28"/>
    </row>
    <row r="174" spans="1:12" ht="39.6">
      <c r="A174" s="28">
        <v>173</v>
      </c>
      <c r="B174" s="28">
        <v>202541060042</v>
      </c>
      <c r="C174" s="28" t="s">
        <v>1007</v>
      </c>
      <c r="D174" s="28" t="s">
        <v>1528</v>
      </c>
      <c r="E174" s="28" t="s">
        <v>895</v>
      </c>
      <c r="F174" s="28" t="s">
        <v>1529</v>
      </c>
      <c r="G174" s="28" t="s">
        <v>1528</v>
      </c>
      <c r="H174" s="44" t="s">
        <v>1301</v>
      </c>
      <c r="I174" s="30" t="s">
        <v>83</v>
      </c>
      <c r="J174" s="28" t="s">
        <v>1530</v>
      </c>
      <c r="K174" s="28"/>
      <c r="L174" s="28"/>
    </row>
    <row r="175" spans="1:12" ht="26.4">
      <c r="A175" s="28">
        <v>174</v>
      </c>
      <c r="B175" s="28">
        <v>202541058043</v>
      </c>
      <c r="C175" s="28" t="s">
        <v>1007</v>
      </c>
      <c r="D175" s="28" t="s">
        <v>978</v>
      </c>
      <c r="E175" s="28" t="s">
        <v>895</v>
      </c>
      <c r="F175" s="28" t="s">
        <v>1531</v>
      </c>
      <c r="G175" s="28" t="s">
        <v>978</v>
      </c>
      <c r="H175" s="44" t="s">
        <v>1509</v>
      </c>
      <c r="I175" s="30" t="s">
        <v>83</v>
      </c>
      <c r="J175" s="28" t="s">
        <v>1532</v>
      </c>
      <c r="K175" s="28"/>
      <c r="L175" s="28"/>
    </row>
    <row r="176" spans="1:12" ht="26.4">
      <c r="A176" s="28">
        <v>175</v>
      </c>
      <c r="B176" s="28">
        <v>202541061390</v>
      </c>
      <c r="C176" s="28" t="s">
        <v>1007</v>
      </c>
      <c r="D176" s="28" t="s">
        <v>1533</v>
      </c>
      <c r="E176" s="28" t="s">
        <v>895</v>
      </c>
      <c r="F176" s="28" t="s">
        <v>1534</v>
      </c>
      <c r="G176" s="28" t="s">
        <v>1533</v>
      </c>
      <c r="H176" s="44" t="s">
        <v>1299</v>
      </c>
      <c r="I176" s="30" t="s">
        <v>83</v>
      </c>
      <c r="J176" s="28" t="s">
        <v>1535</v>
      </c>
      <c r="K176" s="28"/>
      <c r="L176" s="28"/>
    </row>
    <row r="177" spans="1:12" ht="39.6">
      <c r="A177" s="28">
        <v>176</v>
      </c>
      <c r="B177" s="28">
        <v>202541061502</v>
      </c>
      <c r="C177" s="28" t="s">
        <v>1007</v>
      </c>
      <c r="D177" s="28" t="s">
        <v>1533</v>
      </c>
      <c r="E177" s="28" t="s">
        <v>895</v>
      </c>
      <c r="F177" s="28" t="s">
        <v>1536</v>
      </c>
      <c r="G177" s="28" t="s">
        <v>1533</v>
      </c>
      <c r="H177" s="44" t="s">
        <v>1299</v>
      </c>
      <c r="I177" s="30" t="s">
        <v>83</v>
      </c>
      <c r="J177" s="28" t="s">
        <v>1537</v>
      </c>
      <c r="K177" s="28"/>
      <c r="L177" s="28"/>
    </row>
    <row r="178" spans="1:12" ht="26.4">
      <c r="A178" s="28">
        <v>177</v>
      </c>
      <c r="B178" s="28">
        <v>202541062096</v>
      </c>
      <c r="C178" s="28" t="s">
        <v>1023</v>
      </c>
      <c r="D178" s="28" t="s">
        <v>1538</v>
      </c>
      <c r="E178" s="28" t="s">
        <v>19</v>
      </c>
      <c r="F178" s="28" t="s">
        <v>1539</v>
      </c>
      <c r="G178" s="28" t="s">
        <v>1538</v>
      </c>
      <c r="H178" s="44" t="s">
        <v>1295</v>
      </c>
      <c r="I178" s="30" t="s">
        <v>83</v>
      </c>
      <c r="J178" s="28" t="s">
        <v>1540</v>
      </c>
      <c r="K178" s="28"/>
      <c r="L178" s="28"/>
    </row>
    <row r="179" spans="1:12" ht="26.4">
      <c r="A179" s="28">
        <v>178</v>
      </c>
      <c r="B179" s="28">
        <v>202541062522</v>
      </c>
      <c r="C179" s="28" t="s">
        <v>1023</v>
      </c>
      <c r="D179" s="28" t="s">
        <v>1541</v>
      </c>
      <c r="E179" s="28" t="s">
        <v>19</v>
      </c>
      <c r="F179" s="28" t="s">
        <v>1542</v>
      </c>
      <c r="G179" s="28" t="s">
        <v>1541</v>
      </c>
      <c r="H179" s="44">
        <v>45664</v>
      </c>
      <c r="I179" s="30" t="s">
        <v>83</v>
      </c>
      <c r="J179" s="28" t="s">
        <v>1543</v>
      </c>
      <c r="K179" s="28"/>
      <c r="L179" s="28"/>
    </row>
    <row r="180" spans="1:12" ht="26.4">
      <c r="A180" s="28">
        <v>179</v>
      </c>
      <c r="B180" s="28">
        <v>202541062521</v>
      </c>
      <c r="C180" s="28" t="s">
        <v>1023</v>
      </c>
      <c r="D180" s="28" t="s">
        <v>1541</v>
      </c>
      <c r="E180" s="28" t="s">
        <v>19</v>
      </c>
      <c r="F180" s="28" t="s">
        <v>1544</v>
      </c>
      <c r="G180" s="28" t="s">
        <v>1541</v>
      </c>
      <c r="H180" s="44">
        <v>45664</v>
      </c>
      <c r="I180" s="30" t="s">
        <v>83</v>
      </c>
      <c r="J180" s="28" t="s">
        <v>1545</v>
      </c>
      <c r="K180" s="28"/>
      <c r="L180" s="28"/>
    </row>
    <row r="181" spans="1:12" ht="39.6">
      <c r="A181" s="28">
        <v>180</v>
      </c>
      <c r="B181" s="28">
        <v>202541060047</v>
      </c>
      <c r="C181" s="28" t="s">
        <v>1007</v>
      </c>
      <c r="D181" s="28" t="s">
        <v>1528</v>
      </c>
      <c r="E181" s="28" t="s">
        <v>895</v>
      </c>
      <c r="F181" s="28" t="s">
        <v>1546</v>
      </c>
      <c r="G181" s="28" t="s">
        <v>1528</v>
      </c>
      <c r="H181" s="44" t="s">
        <v>1301</v>
      </c>
      <c r="I181" s="30" t="s">
        <v>83</v>
      </c>
      <c r="J181" s="28" t="s">
        <v>1547</v>
      </c>
      <c r="K181" s="28"/>
      <c r="L181" s="28"/>
    </row>
    <row r="182" spans="1:12" ht="26.4">
      <c r="A182" s="28">
        <v>181</v>
      </c>
      <c r="B182" s="28">
        <v>202441050425</v>
      </c>
      <c r="C182" s="28" t="s">
        <v>1007</v>
      </c>
      <c r="D182" s="28" t="s">
        <v>1541</v>
      </c>
      <c r="E182" s="28" t="s">
        <v>19</v>
      </c>
      <c r="F182" s="28" t="s">
        <v>1548</v>
      </c>
      <c r="G182" s="28" t="s">
        <v>1541</v>
      </c>
      <c r="H182" s="44">
        <v>45298</v>
      </c>
      <c r="I182" s="30" t="s">
        <v>83</v>
      </c>
      <c r="J182" s="28" t="s">
        <v>1549</v>
      </c>
      <c r="K182" s="28"/>
      <c r="L182" s="28"/>
    </row>
    <row r="183" spans="1:12" ht="52.8">
      <c r="A183" s="28">
        <v>182</v>
      </c>
      <c r="B183" s="28">
        <v>202541053607</v>
      </c>
      <c r="C183" s="28" t="s">
        <v>1007</v>
      </c>
      <c r="D183" s="28" t="s">
        <v>1550</v>
      </c>
      <c r="E183" s="28" t="s">
        <v>19</v>
      </c>
      <c r="F183" s="28" t="s">
        <v>1551</v>
      </c>
      <c r="G183" s="28" t="s">
        <v>1550</v>
      </c>
      <c r="H183" s="44">
        <v>45722</v>
      </c>
      <c r="I183" s="30" t="s">
        <v>83</v>
      </c>
      <c r="J183" s="28" t="s">
        <v>83</v>
      </c>
      <c r="K183" s="28"/>
      <c r="L183" s="28"/>
    </row>
    <row r="184" spans="1:12" ht="26.4">
      <c r="A184" s="28">
        <v>183</v>
      </c>
      <c r="B184" s="28">
        <v>202541056121</v>
      </c>
      <c r="C184" s="28" t="s">
        <v>1007</v>
      </c>
      <c r="D184" s="28" t="s">
        <v>1552</v>
      </c>
      <c r="E184" s="28" t="s">
        <v>14</v>
      </c>
      <c r="F184" s="28" t="s">
        <v>1553</v>
      </c>
      <c r="G184" s="28" t="s">
        <v>985</v>
      </c>
      <c r="H184" s="44">
        <v>45967</v>
      </c>
      <c r="I184" s="30" t="s">
        <v>83</v>
      </c>
      <c r="J184" s="28" t="s">
        <v>83</v>
      </c>
      <c r="K184" s="28"/>
      <c r="L184" s="28"/>
    </row>
    <row r="185" spans="1:12" ht="26.4">
      <c r="A185" s="28">
        <v>184</v>
      </c>
      <c r="B185" s="28" t="s">
        <v>1554</v>
      </c>
      <c r="C185" s="28" t="s">
        <v>1555</v>
      </c>
      <c r="D185" s="28" t="s">
        <v>1556</v>
      </c>
      <c r="E185" s="28" t="s">
        <v>15</v>
      </c>
      <c r="F185" s="28" t="s">
        <v>1557</v>
      </c>
      <c r="G185" s="28" t="s">
        <v>1558</v>
      </c>
      <c r="H185" s="44">
        <v>45028</v>
      </c>
      <c r="I185" s="30">
        <v>45831</v>
      </c>
      <c r="J185" s="28" t="s">
        <v>1559</v>
      </c>
      <c r="K185" s="28" t="s">
        <v>1559</v>
      </c>
      <c r="L185" s="28"/>
    </row>
  </sheetData>
  <hyperlinks>
    <hyperlink ref="A1" r:id="rId1" xr:uid="{68BF3425-41F7-4E8E-BB54-3A8B7582997E}"/>
    <hyperlink ref="J2" r:id="rId2" xr:uid="{2DCF9EC9-BC82-463A-AD8C-7C29D09DB8D3}"/>
    <hyperlink ref="J3" r:id="rId3" xr:uid="{A0342EB3-0B14-4EF8-AAC3-CF7E3CE116B5}"/>
    <hyperlink ref="J7" r:id="rId4" xr:uid="{61E97389-4DCF-4324-A3BD-401F16887B97}"/>
    <hyperlink ref="J9" r:id="rId5" xr:uid="{2E7F4E57-ACFB-41C9-A742-9F1AB62E25C5}"/>
    <hyperlink ref="J10" r:id="rId6" xr:uid="{51D49973-8F14-45C1-A6AB-724D8162F08B}"/>
    <hyperlink ref="J11" r:id="rId7" xr:uid="{CF0652D9-E51C-476A-BBBD-199EECD0FFB2}"/>
    <hyperlink ref="J12" r:id="rId8" xr:uid="{C7AFBAF1-27D7-4A9F-A487-7F5501C8D67A}"/>
    <hyperlink ref="J13" r:id="rId9" xr:uid="{5A4FD2F9-A6E4-4D1D-B5EE-8C7FC7E77CAD}"/>
    <hyperlink ref="J14" r:id="rId10" xr:uid="{FB4A2C4D-5C89-461E-A727-9FE2B8F54AF1}"/>
    <hyperlink ref="J15" r:id="rId11" xr:uid="{E9746AEE-D405-4F48-9C85-C29298B83D5F}"/>
    <hyperlink ref="J16" r:id="rId12" xr:uid="{6ED2B08A-C57C-496A-A408-636FB21E59EE}"/>
    <hyperlink ref="J19" r:id="rId13" xr:uid="{5F2DFE2E-74A6-4CB0-B63C-38815E12B4E2}"/>
    <hyperlink ref="J20" r:id="rId14" xr:uid="{BB101786-314E-4057-B55F-2CB3B22DEB7E}"/>
    <hyperlink ref="J21" r:id="rId15" xr:uid="{54DCB622-1314-463B-9795-CE74A0294722}"/>
    <hyperlink ref="J32" r:id="rId16" xr:uid="{E76AF407-03EC-4C70-B84A-DFD261B44AEF}"/>
    <hyperlink ref="J33" r:id="rId17" xr:uid="{BDC76242-8295-40D6-96CC-F917A26FE9F7}"/>
    <hyperlink ref="J37" r:id="rId18" xr:uid="{6BAFBE38-252B-4112-BD44-85E3AF5C77D9}"/>
    <hyperlink ref="J45" r:id="rId19" xr:uid="{55BB1BA3-54E4-4F14-8D3F-648A34EEA82C}"/>
    <hyperlink ref="J46" r:id="rId20" xr:uid="{936F601C-3106-4ECE-A8C4-AAC7C12817E3}"/>
    <hyperlink ref="J51" r:id="rId21" xr:uid="{D942E5CA-252B-4462-AF03-8950BEBB48D5}"/>
    <hyperlink ref="J52" r:id="rId22" xr:uid="{5EA8CF36-9D26-4C09-92F8-1286E09F56A8}"/>
    <hyperlink ref="J53" r:id="rId23" xr:uid="{2ECF0F87-053C-47CA-AE96-A7830963E4C6}"/>
    <hyperlink ref="J54" r:id="rId24" xr:uid="{65E9BF8A-DAE9-4C61-A80D-22D8E2873DAE}"/>
    <hyperlink ref="J57" r:id="rId25" xr:uid="{24A4B573-0CC8-4306-A934-05572A4D3324}"/>
    <hyperlink ref="J58" r:id="rId26" xr:uid="{16474DAE-78EC-4190-8AA4-856ADDFDB11E}"/>
    <hyperlink ref="J59" r:id="rId27" xr:uid="{875D17CC-ACFD-4D1C-909A-29B78CE38CAF}"/>
    <hyperlink ref="J60" r:id="rId28" xr:uid="{C2B7C41C-1263-43F9-ADCD-13E174DBCE44}"/>
    <hyperlink ref="J61" r:id="rId29" xr:uid="{5FC0EC6D-0B94-4535-B3E1-EB673AD994BD}"/>
    <hyperlink ref="J62" r:id="rId30" xr:uid="{9E0E8C47-673C-473A-97A2-8D45EF7475E0}"/>
    <hyperlink ref="J63" r:id="rId31" xr:uid="{06E01A36-F1F7-4F60-B1EF-2EF3A5FE6478}"/>
    <hyperlink ref="J64" r:id="rId32" xr:uid="{09EEA369-5FEF-4916-9A78-B11E66C29886}"/>
    <hyperlink ref="J65" r:id="rId33" xr:uid="{84BCD087-AAE7-4B3C-9261-72F822CE4FEB}"/>
    <hyperlink ref="J66" r:id="rId34" xr:uid="{2ECD67AD-4A18-4146-8D15-BC5F77517FC1}"/>
    <hyperlink ref="J67" r:id="rId35" xr:uid="{39E10257-C2A7-4FB6-800D-52226D3A90B8}"/>
    <hyperlink ref="J68" r:id="rId36" xr:uid="{9C24997B-9CD2-4DE0-831E-092F1731B5E9}"/>
    <hyperlink ref="J69" r:id="rId37" xr:uid="{FFF34F5B-51DA-4D17-92E8-2A364781C14C}"/>
    <hyperlink ref="J70" r:id="rId38" xr:uid="{24461EE4-25FB-42ED-AFB3-BFC30ADAD8DD}"/>
    <hyperlink ref="J71" r:id="rId39" xr:uid="{D220F503-F1C1-4A00-B28E-67AE4182BDDA}"/>
    <hyperlink ref="J72" r:id="rId40" xr:uid="{1EE1D8AD-68DE-4B63-B769-B9191489CBC3}"/>
    <hyperlink ref="J73" r:id="rId41" xr:uid="{FB581279-17BC-4322-AB9C-35CCADA4DCD4}"/>
    <hyperlink ref="J77" r:id="rId42" xr:uid="{80A70163-AB69-4D4C-BDDE-00D327009421}"/>
    <hyperlink ref="J78" r:id="rId43" xr:uid="{3745C264-F765-42EE-A76F-D6AC867B4F2A}"/>
    <hyperlink ref="J79" r:id="rId44" xr:uid="{4A427428-E8F0-4AAE-AC94-CCFD16C1EC8A}"/>
    <hyperlink ref="J80" r:id="rId45" xr:uid="{7E0FDA32-D870-4B17-A205-D8D46A98A0C6}"/>
    <hyperlink ref="J81" r:id="rId46" xr:uid="{ED74BE56-864F-4ABB-A4F1-31FBFA41E842}"/>
    <hyperlink ref="J82" r:id="rId47" xr:uid="{25A71EA2-D659-41EA-906A-99D99EC60CE4}"/>
    <hyperlink ref="J85" r:id="rId48" xr:uid="{CB635A4B-843F-4BDA-ABB0-92849BC5279A}"/>
    <hyperlink ref="J88" r:id="rId49" xr:uid="{23329ED0-49A0-49AA-B294-2A62712A10B0}"/>
    <hyperlink ref="J89" r:id="rId50" xr:uid="{622F79DF-4B3F-4B69-A511-48DF8287717F}"/>
    <hyperlink ref="J90" r:id="rId51" xr:uid="{96CD554B-EA40-4332-BBF6-3229F90E17A4}"/>
    <hyperlink ref="J91" r:id="rId52" xr:uid="{629AE3DA-21A6-40ED-90C3-E1F2A43523D2}"/>
    <hyperlink ref="J92" r:id="rId53" xr:uid="{18C7ECD1-D7D3-4966-A782-C50651D28B61}"/>
    <hyperlink ref="J93" r:id="rId54" xr:uid="{BA7239A1-C76E-4420-8430-0415798B9DE3}"/>
    <hyperlink ref="J94" r:id="rId55" xr:uid="{8A740A8F-FCCE-4FC7-AC9F-C6A19A073AEF}"/>
    <hyperlink ref="J101" r:id="rId56" xr:uid="{2EB4DC25-A936-42CC-A8FA-5EF0DC755EBD}"/>
    <hyperlink ref="J102" r:id="rId57" xr:uid="{1CFCD73A-B34F-4BD4-87F1-3330259D1A52}"/>
    <hyperlink ref="J103" r:id="rId58" xr:uid="{7AB2AB74-6EE7-41DD-81AB-1494F7DF3650}"/>
    <hyperlink ref="J104" r:id="rId59" xr:uid="{1A853D7D-4137-427F-A48A-2052AFF01484}"/>
    <hyperlink ref="J105" r:id="rId60" xr:uid="{633896EB-912A-44F2-9D1B-569171BAEC1A}"/>
    <hyperlink ref="J106" r:id="rId61" xr:uid="{78268BCA-6D0D-4147-BC85-053CEB87FC81}"/>
    <hyperlink ref="J107" r:id="rId62" xr:uid="{982F16BF-6CCF-4914-BE7A-B0C37D3F5F3B}"/>
    <hyperlink ref="J108" r:id="rId63" xr:uid="{9688760B-7675-4396-AAFF-4156013D4709}"/>
    <hyperlink ref="J109" r:id="rId64" xr:uid="{7BF75F1E-54D8-45EF-BFF0-8727C4E2515F}"/>
    <hyperlink ref="J110" r:id="rId65" xr:uid="{9D4AD556-CC1A-47CF-B4D8-D9BB53D04457}"/>
    <hyperlink ref="J111" r:id="rId66" xr:uid="{D63C4913-2593-4A62-8C47-71053FD3B2BE}"/>
    <hyperlink ref="J112" r:id="rId67" xr:uid="{6A2F7870-0EF8-4631-ABB5-B10C3FDC3938}"/>
    <hyperlink ref="J113" r:id="rId68" xr:uid="{DD33166C-42F2-4476-9B4A-3A32FF359E53}"/>
    <hyperlink ref="J114" r:id="rId69" xr:uid="{D8142035-36E7-4444-8509-5EC78B01BB29}"/>
    <hyperlink ref="J115" r:id="rId70" xr:uid="{163466F6-CB6C-4262-88F1-5899F54C330B}"/>
    <hyperlink ref="J116" r:id="rId71" xr:uid="{0F09FA5C-B716-4238-A626-65789E75D0FE}"/>
    <hyperlink ref="J117" r:id="rId72" xr:uid="{91F75595-0EC7-4FBB-ACCB-F100E115BBEA}"/>
    <hyperlink ref="J118" r:id="rId73" xr:uid="{895F2ABA-B1D0-42A8-8A40-79BBB2085D5A}"/>
    <hyperlink ref="J119" r:id="rId74" xr:uid="{6551E826-E713-4C10-B055-AE9C68E94EFC}"/>
    <hyperlink ref="J120" r:id="rId75" xr:uid="{A0F68519-0B29-48A6-9B97-1BC7736C5AEB}"/>
    <hyperlink ref="J121" r:id="rId76" xr:uid="{44F0FF89-F243-4E86-9ECA-6B2810352864}"/>
    <hyperlink ref="J122" r:id="rId77" xr:uid="{88F8D4B4-D68A-492F-8290-280A69AE5C98}"/>
    <hyperlink ref="J123" r:id="rId78" xr:uid="{B3207FAE-EDE2-43DB-921D-259403929F4D}"/>
    <hyperlink ref="J124" r:id="rId79" xr:uid="{E4EB10DF-B166-419A-BF5B-B1EE3F0F7067}"/>
    <hyperlink ref="J125" r:id="rId80" xr:uid="{CF15F48A-7ACF-4ADB-9B50-AB8C1837F80E}"/>
    <hyperlink ref="J126" r:id="rId81" xr:uid="{1992F409-37D3-4108-ABB1-18AC22688A56}"/>
    <hyperlink ref="J127" r:id="rId82" xr:uid="{52AF0F73-45FF-4B69-903D-3045AE92AFBB}"/>
    <hyperlink ref="J128" r:id="rId83" xr:uid="{E3B86374-8608-4444-A725-1958E4DD21DD}"/>
    <hyperlink ref="J129" r:id="rId84" xr:uid="{D0B84306-1F0B-4F1C-9A53-2466A67556DA}"/>
    <hyperlink ref="J133" r:id="rId85" xr:uid="{F7552F08-8773-4720-880D-F984072505D8}"/>
    <hyperlink ref="J151" r:id="rId86" xr:uid="{CBD8B3AB-D54D-4708-82D6-3956141A1916}"/>
    <hyperlink ref="J152" r:id="rId87" xr:uid="{64D88C7C-0509-4BF5-874A-5B0CC53CC721}"/>
    <hyperlink ref="J163" r:id="rId88" xr:uid="{69F6F4EB-57DC-4811-82E4-856C9308FADA}"/>
    <hyperlink ref="J164" r:id="rId89" xr:uid="{2D482075-E822-4D31-8497-A4025BA7F140}"/>
    <hyperlink ref="J165" r:id="rId90" xr:uid="{A5A3C4FC-818C-4FB2-BD67-B372B9A8674E}"/>
    <hyperlink ref="J166" r:id="rId91" xr:uid="{D1344EB6-AE34-4FC3-AA19-28A1A1C290ED}"/>
    <hyperlink ref="J167" r:id="rId92" xr:uid="{16668BAB-8A1D-44A9-97F5-4518922AC04D}"/>
    <hyperlink ref="J168" r:id="rId93" xr:uid="{D1866065-12B8-4959-899A-14CB306AA1EF}"/>
    <hyperlink ref="J169" r:id="rId94" xr:uid="{2656B623-C811-41BF-BC4A-EAB03294D058}"/>
    <hyperlink ref="J170" r:id="rId95" xr:uid="{1973FED9-307A-4B47-BCE1-FFB1FCFCE821}"/>
    <hyperlink ref="J171" r:id="rId96" xr:uid="{7A2C5DCC-AA31-4411-ADB8-AA02F46ECCA7}"/>
    <hyperlink ref="J172" r:id="rId97" xr:uid="{E4C4CED6-0B70-4C8A-9774-57A2AAC2936E}"/>
    <hyperlink ref="J173" r:id="rId98" xr:uid="{AE1A5886-A9A4-46EE-8AA4-A256E9066402}"/>
    <hyperlink ref="J174" r:id="rId99" xr:uid="{A10C5929-9E01-4D46-B43C-D1E822972131}"/>
    <hyperlink ref="J175" r:id="rId100" xr:uid="{36CF20C8-56D9-4730-AC5A-1CA8A9E900E6}"/>
    <hyperlink ref="J176" r:id="rId101" xr:uid="{CFC5569D-673B-4611-979F-742A52106F53}"/>
    <hyperlink ref="J177" r:id="rId102" xr:uid="{C00A661D-FFE4-4E1E-BC39-4D987B76ACFA}"/>
    <hyperlink ref="J178" r:id="rId103" xr:uid="{95545A1B-6325-437B-A38B-B441E08D93C8}"/>
    <hyperlink ref="J179" r:id="rId104" xr:uid="{9998DBFA-F629-4038-A875-7F810EE12D4C}"/>
    <hyperlink ref="J180" r:id="rId105" xr:uid="{CED1BA70-F960-4FF1-B9D9-FEFFEED8624B}"/>
    <hyperlink ref="J181" r:id="rId106" xr:uid="{1F106B0C-97B8-4DE4-80EC-48FACECDC0DB}"/>
    <hyperlink ref="J182" r:id="rId107" xr:uid="{5979C5DC-3935-4D8F-8521-D702566F615B}"/>
    <hyperlink ref="J185" r:id="rId108" xr:uid="{A9034FE6-CB9E-4C53-AAB5-D1C6F9FC5389}"/>
    <hyperlink ref="K185" r:id="rId109" xr:uid="{91A16319-997F-44F6-A652-2FAA31420A41}"/>
  </hyperlinks>
  <pageMargins left="0.7" right="0.7" top="0.75" bottom="0.75" header="0.3" footer="0.3"/>
  <tableParts count="1">
    <tablePart r:id="rId1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K34"/>
  <sheetViews>
    <sheetView tabSelected="1" topLeftCell="D11" zoomScale="159" workbookViewId="0">
      <selection activeCell="G15" sqref="G15"/>
    </sheetView>
  </sheetViews>
  <sheetFormatPr defaultColWidth="12.6640625" defaultRowHeight="15" customHeight="1"/>
  <cols>
    <col min="1" max="1" width="18.77734375" customWidth="1"/>
    <col min="2" max="2" width="15.88671875" customWidth="1"/>
    <col min="3" max="3" width="18.109375" customWidth="1"/>
    <col min="4" max="4" width="15.5546875" customWidth="1"/>
    <col min="5" max="5" width="20.21875" customWidth="1"/>
    <col min="6" max="6" width="23.33203125" customWidth="1"/>
    <col min="7" max="7" width="22.21875" customWidth="1"/>
    <col min="8" max="8" width="18.88671875" customWidth="1"/>
    <col min="9" max="9" width="20.109375" customWidth="1"/>
  </cols>
  <sheetData>
    <row r="1" spans="1:4" ht="13.2">
      <c r="A1" s="26" t="s">
        <v>2569</v>
      </c>
      <c r="B1" s="16"/>
      <c r="C1" s="16"/>
      <c r="D1" s="16"/>
    </row>
    <row r="2" spans="1:4" ht="13.2">
      <c r="A2" s="28" t="s">
        <v>3007</v>
      </c>
      <c r="B2" s="16" t="s">
        <v>2558</v>
      </c>
      <c r="C2" s="16" t="s">
        <v>2570</v>
      </c>
      <c r="D2" s="16" t="s">
        <v>29</v>
      </c>
    </row>
    <row r="3" spans="1:4" ht="13.2">
      <c r="A3" s="16" t="s">
        <v>14</v>
      </c>
      <c r="B3" s="16">
        <v>4</v>
      </c>
      <c r="C3" s="16">
        <v>4</v>
      </c>
      <c r="D3" s="16" t="s">
        <v>40</v>
      </c>
    </row>
    <row r="4" spans="1:4" ht="13.2">
      <c r="A4" s="16" t="s">
        <v>17</v>
      </c>
      <c r="B4" s="16">
        <v>2</v>
      </c>
      <c r="C4" s="16">
        <v>2</v>
      </c>
      <c r="D4" s="16" t="s">
        <v>40</v>
      </c>
    </row>
    <row r="5" spans="1:4" ht="13.2">
      <c r="A5" s="16" t="s">
        <v>15</v>
      </c>
      <c r="B5" s="16">
        <v>3</v>
      </c>
      <c r="C5" s="16">
        <v>3</v>
      </c>
      <c r="D5" s="16" t="s">
        <v>40</v>
      </c>
    </row>
    <row r="6" spans="1:4" ht="13.2">
      <c r="A6" s="16" t="s">
        <v>16</v>
      </c>
      <c r="B6" s="16">
        <v>3</v>
      </c>
      <c r="C6" s="16">
        <v>3</v>
      </c>
      <c r="D6" s="16" t="s">
        <v>40</v>
      </c>
    </row>
    <row r="7" spans="1:4" ht="13.2">
      <c r="A7" s="16" t="s">
        <v>126</v>
      </c>
      <c r="B7" s="16">
        <v>0.5</v>
      </c>
      <c r="C7" s="16" t="s">
        <v>2571</v>
      </c>
      <c r="D7" s="16" t="s">
        <v>40</v>
      </c>
    </row>
    <row r="8" spans="1:4" ht="13.2">
      <c r="A8" s="16" t="s">
        <v>2563</v>
      </c>
      <c r="B8" s="16">
        <v>0.5</v>
      </c>
      <c r="C8" s="16" t="s">
        <v>2571</v>
      </c>
      <c r="D8" s="16" t="s">
        <v>40</v>
      </c>
    </row>
    <row r="9" spans="1:4" ht="13.2">
      <c r="A9" s="16" t="s">
        <v>24</v>
      </c>
      <c r="B9" s="16">
        <v>2</v>
      </c>
      <c r="C9" s="16">
        <v>2</v>
      </c>
      <c r="D9" s="16" t="s">
        <v>40</v>
      </c>
    </row>
    <row r="10" spans="1:4" ht="13.2">
      <c r="A10" s="16" t="s">
        <v>23</v>
      </c>
      <c r="B10" s="16">
        <v>2</v>
      </c>
      <c r="C10" s="16">
        <v>2</v>
      </c>
      <c r="D10" s="16" t="s">
        <v>40</v>
      </c>
    </row>
    <row r="11" spans="1:4" ht="13.2">
      <c r="A11" s="16" t="s">
        <v>20</v>
      </c>
      <c r="B11" s="16">
        <v>2</v>
      </c>
      <c r="C11" s="16">
        <v>2</v>
      </c>
      <c r="D11" s="16" t="s">
        <v>40</v>
      </c>
    </row>
    <row r="12" spans="1:4" ht="13.2">
      <c r="A12" s="16" t="s">
        <v>21</v>
      </c>
      <c r="B12" s="16">
        <v>2</v>
      </c>
      <c r="C12" s="16">
        <v>2</v>
      </c>
      <c r="D12" s="16" t="s">
        <v>40</v>
      </c>
    </row>
    <row r="13" spans="1:4" ht="13.2">
      <c r="A13" s="16" t="s">
        <v>2548</v>
      </c>
      <c r="B13" s="16" t="s">
        <v>40</v>
      </c>
      <c r="C13" s="16" t="s">
        <v>2571</v>
      </c>
      <c r="D13" s="16" t="s">
        <v>40</v>
      </c>
    </row>
    <row r="14" spans="1:4" ht="13.2">
      <c r="A14" s="16" t="s">
        <v>2567</v>
      </c>
      <c r="B14" s="16" t="s">
        <v>40</v>
      </c>
      <c r="C14" s="16">
        <v>1</v>
      </c>
      <c r="D14" s="16" t="s">
        <v>40</v>
      </c>
    </row>
    <row r="15" spans="1:4" ht="13.2">
      <c r="A15" s="16" t="s">
        <v>2568</v>
      </c>
      <c r="B15" s="16" t="s">
        <v>40</v>
      </c>
      <c r="C15" s="16">
        <v>1</v>
      </c>
      <c r="D15" s="16" t="s">
        <v>40</v>
      </c>
    </row>
    <row r="17" spans="1:11" ht="53.4" customHeight="1">
      <c r="A17" s="28" t="s">
        <v>2557</v>
      </c>
      <c r="B17" s="28" t="s">
        <v>2572</v>
      </c>
      <c r="C17" s="28" t="s">
        <v>2573</v>
      </c>
      <c r="D17" s="28" t="s">
        <v>2574</v>
      </c>
      <c r="E17" s="28" t="s">
        <v>2575</v>
      </c>
      <c r="F17" s="28" t="s">
        <v>2576</v>
      </c>
      <c r="G17" s="29" t="s">
        <v>3053</v>
      </c>
      <c r="H17" s="28" t="s">
        <v>2577</v>
      </c>
      <c r="I17" s="28" t="s">
        <v>2578</v>
      </c>
    </row>
    <row r="18" spans="1:11" ht="13.2">
      <c r="A18" s="16" t="s">
        <v>14</v>
      </c>
      <c r="B18" s="50">
        <v>39</v>
      </c>
      <c r="C18" s="50">
        <v>65</v>
      </c>
      <c r="D18" s="50">
        <v>24</v>
      </c>
      <c r="E18" s="50">
        <v>6</v>
      </c>
      <c r="F18" s="50">
        <v>35</v>
      </c>
      <c r="G18" s="50">
        <v>37</v>
      </c>
      <c r="H18" s="51">
        <v>509516</v>
      </c>
      <c r="I18" s="52">
        <v>246921</v>
      </c>
      <c r="J18" s="13"/>
      <c r="K18" s="13"/>
    </row>
    <row r="19" spans="1:11" ht="13.2">
      <c r="A19" s="16" t="s">
        <v>17</v>
      </c>
      <c r="B19" s="50">
        <v>8</v>
      </c>
      <c r="C19" s="50">
        <v>5</v>
      </c>
      <c r="D19" s="50">
        <v>6</v>
      </c>
      <c r="E19" s="50">
        <v>0</v>
      </c>
      <c r="F19" s="50">
        <v>6</v>
      </c>
      <c r="G19" s="50">
        <v>11</v>
      </c>
      <c r="H19" s="51">
        <v>206600</v>
      </c>
      <c r="I19" s="52">
        <v>10000</v>
      </c>
      <c r="J19" s="15"/>
      <c r="K19" s="13"/>
    </row>
    <row r="20" spans="1:11" ht="13.2">
      <c r="A20" s="16" t="s">
        <v>15</v>
      </c>
      <c r="B20" s="50">
        <v>32</v>
      </c>
      <c r="C20" s="50">
        <v>23</v>
      </c>
      <c r="D20" s="50">
        <v>28</v>
      </c>
      <c r="E20" s="50">
        <v>1</v>
      </c>
      <c r="F20" s="50">
        <v>20</v>
      </c>
      <c r="G20" s="50">
        <v>18</v>
      </c>
      <c r="H20" s="51">
        <v>321569</v>
      </c>
      <c r="I20" s="52">
        <v>91000</v>
      </c>
    </row>
    <row r="21" spans="1:11" ht="13.2">
      <c r="A21" s="16" t="s">
        <v>16</v>
      </c>
      <c r="B21" s="50">
        <v>30</v>
      </c>
      <c r="C21" s="50">
        <v>30</v>
      </c>
      <c r="D21" s="50">
        <v>23</v>
      </c>
      <c r="E21" s="50">
        <v>6</v>
      </c>
      <c r="F21" s="50">
        <v>31</v>
      </c>
      <c r="G21" s="50">
        <v>29</v>
      </c>
      <c r="H21" s="51">
        <v>142950</v>
      </c>
      <c r="I21" s="52">
        <v>196050</v>
      </c>
    </row>
    <row r="22" spans="1:11" ht="13.2">
      <c r="A22" s="16" t="s">
        <v>2579</v>
      </c>
      <c r="B22" s="50">
        <v>7</v>
      </c>
      <c r="C22" s="50">
        <v>2</v>
      </c>
      <c r="D22" s="50">
        <v>3</v>
      </c>
      <c r="E22" s="50">
        <v>2</v>
      </c>
      <c r="F22" s="50">
        <v>6</v>
      </c>
      <c r="G22" s="50">
        <v>9</v>
      </c>
      <c r="H22" s="51">
        <v>0</v>
      </c>
      <c r="I22" s="52">
        <v>12000</v>
      </c>
    </row>
    <row r="23" spans="1:11" ht="13.2">
      <c r="A23" s="16" t="s">
        <v>2563</v>
      </c>
      <c r="B23" s="50">
        <v>1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1">
        <v>600</v>
      </c>
      <c r="I23" s="52">
        <v>0</v>
      </c>
    </row>
    <row r="24" spans="1:11" ht="13.2">
      <c r="A24" s="16" t="s">
        <v>24</v>
      </c>
      <c r="B24" s="50">
        <v>12</v>
      </c>
      <c r="C24" s="50">
        <v>16</v>
      </c>
      <c r="D24" s="50">
        <v>2</v>
      </c>
      <c r="E24" s="50">
        <v>0</v>
      </c>
      <c r="F24" s="50">
        <v>0</v>
      </c>
      <c r="G24" s="50">
        <v>0</v>
      </c>
      <c r="H24" s="51">
        <f>-H3</f>
        <v>0</v>
      </c>
      <c r="I24" s="52">
        <v>0</v>
      </c>
    </row>
    <row r="25" spans="1:11" ht="13.2">
      <c r="A25" s="16" t="s">
        <v>23</v>
      </c>
      <c r="B25" s="50">
        <v>12</v>
      </c>
      <c r="C25" s="50">
        <v>27</v>
      </c>
      <c r="D25" s="50">
        <v>8</v>
      </c>
      <c r="E25" s="50">
        <v>13</v>
      </c>
      <c r="F25" s="50">
        <v>12</v>
      </c>
      <c r="G25" s="50">
        <v>15</v>
      </c>
      <c r="H25" s="51">
        <v>102200</v>
      </c>
      <c r="I25" s="52">
        <v>97500</v>
      </c>
    </row>
    <row r="26" spans="1:11" ht="13.2">
      <c r="A26" s="16" t="s">
        <v>20</v>
      </c>
      <c r="B26" s="50">
        <v>20</v>
      </c>
      <c r="C26" s="50">
        <v>11</v>
      </c>
      <c r="D26" s="50">
        <v>8</v>
      </c>
      <c r="E26" s="50">
        <v>1</v>
      </c>
      <c r="F26" s="50">
        <v>9</v>
      </c>
      <c r="G26" s="50">
        <v>7</v>
      </c>
      <c r="H26" s="51">
        <v>0</v>
      </c>
      <c r="I26" s="52">
        <v>4400</v>
      </c>
    </row>
    <row r="27" spans="1:11" ht="13.2">
      <c r="A27" s="16" t="s">
        <v>21</v>
      </c>
      <c r="B27" s="50">
        <v>23</v>
      </c>
      <c r="C27" s="50">
        <v>9</v>
      </c>
      <c r="D27" s="50">
        <v>12</v>
      </c>
      <c r="E27" s="50">
        <v>0</v>
      </c>
      <c r="F27" s="50">
        <v>9</v>
      </c>
      <c r="G27" s="50">
        <v>3</v>
      </c>
      <c r="H27" s="51" t="s">
        <v>2580</v>
      </c>
      <c r="I27" s="52">
        <v>142500</v>
      </c>
    </row>
    <row r="28" spans="1:11" ht="13.2">
      <c r="A28" s="16" t="s">
        <v>2548</v>
      </c>
      <c r="B28" s="50">
        <v>15</v>
      </c>
      <c r="C28" s="50">
        <v>8</v>
      </c>
      <c r="D28" s="50">
        <v>10</v>
      </c>
      <c r="E28" s="50">
        <v>3</v>
      </c>
      <c r="F28" s="50">
        <v>14</v>
      </c>
      <c r="G28" s="50">
        <v>12</v>
      </c>
      <c r="H28" s="51">
        <v>76600</v>
      </c>
      <c r="I28" s="52">
        <v>47134</v>
      </c>
    </row>
    <row r="29" spans="1:11" ht="13.2">
      <c r="A29" s="16" t="s">
        <v>2567</v>
      </c>
      <c r="B29" s="50">
        <v>8</v>
      </c>
      <c r="C29" s="50">
        <v>13</v>
      </c>
      <c r="D29" s="50">
        <v>4</v>
      </c>
      <c r="E29" s="50">
        <v>1</v>
      </c>
      <c r="F29" s="50">
        <v>9</v>
      </c>
      <c r="G29" s="50">
        <v>4</v>
      </c>
      <c r="H29" s="51">
        <v>0</v>
      </c>
      <c r="I29" s="52">
        <v>0</v>
      </c>
    </row>
    <row r="30" spans="1:11" ht="13.2">
      <c r="A30" s="16" t="s">
        <v>2568</v>
      </c>
      <c r="B30" s="50">
        <v>8</v>
      </c>
      <c r="C30" s="50">
        <v>8</v>
      </c>
      <c r="D30" s="50">
        <v>5</v>
      </c>
      <c r="E30" s="50">
        <v>2</v>
      </c>
      <c r="F30" s="50">
        <v>9</v>
      </c>
      <c r="G30" s="50">
        <v>3</v>
      </c>
      <c r="H30" s="51">
        <v>26000</v>
      </c>
      <c r="I30" s="52">
        <v>0</v>
      </c>
    </row>
    <row r="31" spans="1:11" ht="13.2"/>
    <row r="32" spans="1:11" ht="13.2"/>
    <row r="33" spans="2:11" ht="13.2">
      <c r="B33" s="13"/>
    </row>
    <row r="34" spans="2:11" ht="13.2">
      <c r="B34" s="13"/>
      <c r="C34" s="13"/>
      <c r="D34" s="13"/>
      <c r="E34" s="13"/>
      <c r="F34" s="13"/>
      <c r="G34" s="13"/>
      <c r="H34" s="13"/>
      <c r="I34" s="13"/>
      <c r="J34" s="13"/>
      <c r="K34" s="13"/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6143C-0510-4436-8439-763ABF9DF4A7}">
  <dimension ref="A1:N94"/>
  <sheetViews>
    <sheetView zoomScale="101" zoomScaleNormal="62" workbookViewId="0">
      <selection activeCell="G3" sqref="G3"/>
    </sheetView>
  </sheetViews>
  <sheetFormatPr defaultRowHeight="13.2"/>
  <cols>
    <col min="2" max="2" width="10.88671875" customWidth="1"/>
    <col min="3" max="3" width="38.88671875" customWidth="1"/>
    <col min="4" max="4" width="57.44140625" customWidth="1"/>
    <col min="5" max="5" width="24" customWidth="1"/>
    <col min="6" max="6" width="21.33203125" style="32" customWidth="1"/>
    <col min="7" max="7" width="23.77734375" customWidth="1"/>
    <col min="8" max="8" width="14.6640625" customWidth="1"/>
    <col min="9" max="9" width="14" customWidth="1"/>
    <col min="10" max="10" width="15.5546875" customWidth="1"/>
    <col min="11" max="11" width="19.5546875" customWidth="1"/>
    <col min="12" max="12" width="17.77734375" customWidth="1"/>
    <col min="13" max="13" width="10.21875" customWidth="1"/>
    <col min="14" max="14" width="17.21875" customWidth="1"/>
  </cols>
  <sheetData>
    <row r="1" spans="1:14" ht="26.4">
      <c r="A1" s="28" t="s">
        <v>1560</v>
      </c>
      <c r="B1" s="28" t="s">
        <v>1561</v>
      </c>
      <c r="C1" s="28" t="s">
        <v>3008</v>
      </c>
      <c r="D1" s="28" t="s">
        <v>3009</v>
      </c>
      <c r="E1" s="45" t="s">
        <v>3025</v>
      </c>
      <c r="F1" s="31" t="s">
        <v>3010</v>
      </c>
      <c r="G1" s="28" t="s">
        <v>1562</v>
      </c>
      <c r="H1" s="28" t="s">
        <v>1563</v>
      </c>
      <c r="I1" s="28" t="s">
        <v>1564</v>
      </c>
      <c r="J1" s="28" t="s">
        <v>1565</v>
      </c>
      <c r="K1" s="28" t="s">
        <v>1566</v>
      </c>
      <c r="L1" s="28" t="s">
        <v>1567</v>
      </c>
      <c r="M1" s="28" t="s">
        <v>1568</v>
      </c>
      <c r="N1" s="28" t="s">
        <v>1569</v>
      </c>
    </row>
    <row r="2" spans="1:14" ht="52.8">
      <c r="A2" s="28">
        <v>1</v>
      </c>
      <c r="B2" s="28" t="s">
        <v>14</v>
      </c>
      <c r="C2" s="28" t="s">
        <v>1570</v>
      </c>
      <c r="D2" s="28" t="s">
        <v>1571</v>
      </c>
      <c r="E2" s="28" t="s">
        <v>1572</v>
      </c>
      <c r="F2" s="30">
        <v>45420</v>
      </c>
      <c r="G2" s="28" t="s">
        <v>1573</v>
      </c>
      <c r="H2" s="28" t="s">
        <v>1574</v>
      </c>
      <c r="I2" s="28" t="s">
        <v>1575</v>
      </c>
      <c r="J2" s="28" t="s">
        <v>1576</v>
      </c>
      <c r="K2" s="28" t="s">
        <v>83</v>
      </c>
      <c r="L2" s="28" t="s">
        <v>83</v>
      </c>
      <c r="M2" s="28" t="s">
        <v>83</v>
      </c>
      <c r="N2" s="28" t="s">
        <v>83</v>
      </c>
    </row>
    <row r="3" spans="1:14" ht="52.8">
      <c r="A3" s="28">
        <v>2</v>
      </c>
      <c r="B3" s="28" t="s">
        <v>14</v>
      </c>
      <c r="C3" s="28" t="s">
        <v>1008</v>
      </c>
      <c r="D3" s="28" t="s">
        <v>1577</v>
      </c>
      <c r="E3" s="28" t="s">
        <v>1578</v>
      </c>
      <c r="F3" s="30">
        <v>45496</v>
      </c>
      <c r="G3" s="28" t="s">
        <v>1579</v>
      </c>
      <c r="H3" s="28" t="s">
        <v>1580</v>
      </c>
      <c r="I3" s="28" t="s">
        <v>1581</v>
      </c>
      <c r="J3" s="28" t="s">
        <v>1582</v>
      </c>
      <c r="K3" s="28" t="s">
        <v>83</v>
      </c>
      <c r="L3" s="28" t="s">
        <v>83</v>
      </c>
      <c r="M3" s="28" t="s">
        <v>1582</v>
      </c>
      <c r="N3" s="28" t="s">
        <v>83</v>
      </c>
    </row>
    <row r="4" spans="1:14" ht="26.4">
      <c r="A4" s="28">
        <v>3</v>
      </c>
      <c r="B4" s="28" t="s">
        <v>14</v>
      </c>
      <c r="C4" s="28" t="s">
        <v>1008</v>
      </c>
      <c r="D4" s="28" t="s">
        <v>1583</v>
      </c>
      <c r="E4" s="28" t="s">
        <v>1584</v>
      </c>
      <c r="F4" s="30">
        <v>45420</v>
      </c>
      <c r="G4" s="28" t="s">
        <v>1585</v>
      </c>
      <c r="H4" s="28" t="s">
        <v>1586</v>
      </c>
      <c r="I4" s="28" t="s">
        <v>1581</v>
      </c>
      <c r="J4" s="28" t="s">
        <v>1582</v>
      </c>
      <c r="K4" s="28" t="s">
        <v>83</v>
      </c>
      <c r="L4" s="28" t="s">
        <v>83</v>
      </c>
      <c r="M4" s="28" t="s">
        <v>1582</v>
      </c>
      <c r="N4" s="28" t="s">
        <v>83</v>
      </c>
    </row>
    <row r="5" spans="1:14" ht="52.8">
      <c r="A5" s="28">
        <v>4</v>
      </c>
      <c r="B5" s="28" t="s">
        <v>14</v>
      </c>
      <c r="C5" s="28" t="s">
        <v>1008</v>
      </c>
      <c r="D5" s="28" t="s">
        <v>1587</v>
      </c>
      <c r="E5" s="28" t="s">
        <v>1572</v>
      </c>
      <c r="F5" s="30">
        <v>45496</v>
      </c>
      <c r="G5" s="28" t="s">
        <v>1588</v>
      </c>
      <c r="H5" s="28" t="s">
        <v>1574</v>
      </c>
      <c r="I5" s="28" t="s">
        <v>1575</v>
      </c>
      <c r="J5" s="28" t="s">
        <v>1576</v>
      </c>
      <c r="K5" s="28" t="s">
        <v>83</v>
      </c>
      <c r="L5" s="28" t="s">
        <v>83</v>
      </c>
      <c r="M5" s="28" t="s">
        <v>83</v>
      </c>
      <c r="N5" s="28" t="s">
        <v>83</v>
      </c>
    </row>
    <row r="6" spans="1:14" ht="39.6">
      <c r="A6" s="28">
        <v>5</v>
      </c>
      <c r="B6" s="28" t="s">
        <v>14</v>
      </c>
      <c r="C6" s="28" t="s">
        <v>1008</v>
      </c>
      <c r="D6" s="28" t="s">
        <v>1589</v>
      </c>
      <c r="E6" s="28" t="s">
        <v>1590</v>
      </c>
      <c r="F6" s="30">
        <v>45558</v>
      </c>
      <c r="G6" s="28" t="s">
        <v>1591</v>
      </c>
      <c r="H6" s="28" t="s">
        <v>1580</v>
      </c>
      <c r="I6" s="28" t="s">
        <v>1581</v>
      </c>
      <c r="J6" s="28" t="s">
        <v>1582</v>
      </c>
      <c r="K6" s="28" t="s">
        <v>83</v>
      </c>
      <c r="L6" s="28" t="s">
        <v>83</v>
      </c>
      <c r="M6" s="28" t="s">
        <v>83</v>
      </c>
      <c r="N6" s="28" t="s">
        <v>83</v>
      </c>
    </row>
    <row r="7" spans="1:14" ht="39.6">
      <c r="A7" s="28">
        <v>6</v>
      </c>
      <c r="B7" s="28" t="s">
        <v>14</v>
      </c>
      <c r="C7" s="28" t="s">
        <v>1008</v>
      </c>
      <c r="D7" s="28" t="s">
        <v>1592</v>
      </c>
      <c r="E7" s="28" t="s">
        <v>1593</v>
      </c>
      <c r="F7" s="30">
        <v>45559</v>
      </c>
      <c r="G7" s="28" t="s">
        <v>1594</v>
      </c>
      <c r="H7" s="28" t="s">
        <v>1595</v>
      </c>
      <c r="I7" s="28" t="s">
        <v>1595</v>
      </c>
      <c r="J7" s="28" t="s">
        <v>1582</v>
      </c>
      <c r="K7" s="28" t="s">
        <v>83</v>
      </c>
      <c r="L7" s="28" t="s">
        <v>83</v>
      </c>
      <c r="M7" s="28" t="s">
        <v>83</v>
      </c>
      <c r="N7" s="28" t="s">
        <v>83</v>
      </c>
    </row>
    <row r="8" spans="1:14" ht="26.4">
      <c r="A8" s="28">
        <v>7</v>
      </c>
      <c r="B8" s="28" t="s">
        <v>14</v>
      </c>
      <c r="C8" s="28" t="s">
        <v>1596</v>
      </c>
      <c r="D8" s="28" t="s">
        <v>1597</v>
      </c>
      <c r="E8" s="28" t="s">
        <v>1572</v>
      </c>
      <c r="F8" s="30">
        <v>45553</v>
      </c>
      <c r="G8" s="28" t="s">
        <v>83</v>
      </c>
      <c r="H8" s="28" t="s">
        <v>1598</v>
      </c>
      <c r="I8" s="28" t="s">
        <v>1599</v>
      </c>
      <c r="J8" s="28" t="s">
        <v>1576</v>
      </c>
      <c r="K8" s="28" t="s">
        <v>83</v>
      </c>
      <c r="L8" s="28" t="s">
        <v>83</v>
      </c>
      <c r="M8" s="28" t="s">
        <v>83</v>
      </c>
      <c r="N8" s="28" t="s">
        <v>83</v>
      </c>
    </row>
    <row r="9" spans="1:14">
      <c r="A9" s="28">
        <v>8</v>
      </c>
      <c r="B9" s="28" t="s">
        <v>14</v>
      </c>
      <c r="C9" s="28" t="s">
        <v>1600</v>
      </c>
      <c r="D9" s="28" t="s">
        <v>1601</v>
      </c>
      <c r="E9" s="28" t="s">
        <v>1572</v>
      </c>
      <c r="F9" s="30">
        <v>45548</v>
      </c>
      <c r="G9" s="28" t="s">
        <v>83</v>
      </c>
      <c r="H9" s="28" t="s">
        <v>1602</v>
      </c>
      <c r="I9" s="28" t="s">
        <v>83</v>
      </c>
      <c r="J9" s="28" t="s">
        <v>1576</v>
      </c>
      <c r="K9" s="28" t="s">
        <v>83</v>
      </c>
      <c r="L9" s="28" t="s">
        <v>83</v>
      </c>
      <c r="M9" s="28" t="s">
        <v>83</v>
      </c>
      <c r="N9" s="28" t="s">
        <v>83</v>
      </c>
    </row>
    <row r="10" spans="1:14" ht="26.4">
      <c r="A10" s="28">
        <v>9</v>
      </c>
      <c r="B10" s="28" t="s">
        <v>14</v>
      </c>
      <c r="C10" s="28" t="s">
        <v>1008</v>
      </c>
      <c r="D10" s="28" t="s">
        <v>1603</v>
      </c>
      <c r="E10" s="28" t="s">
        <v>1572</v>
      </c>
      <c r="F10" s="30">
        <v>45574</v>
      </c>
      <c r="G10" s="28" t="s">
        <v>83</v>
      </c>
      <c r="H10" s="28" t="s">
        <v>1602</v>
      </c>
      <c r="I10" s="28" t="s">
        <v>1599</v>
      </c>
      <c r="J10" s="28" t="s">
        <v>1576</v>
      </c>
      <c r="K10" s="28" t="s">
        <v>83</v>
      </c>
      <c r="L10" s="28" t="s">
        <v>83</v>
      </c>
      <c r="M10" s="28" t="s">
        <v>83</v>
      </c>
      <c r="N10" s="28" t="s">
        <v>83</v>
      </c>
    </row>
    <row r="11" spans="1:14" ht="26.4">
      <c r="A11" s="28">
        <v>10</v>
      </c>
      <c r="B11" s="28" t="s">
        <v>14</v>
      </c>
      <c r="C11" s="28" t="s">
        <v>1012</v>
      </c>
      <c r="D11" s="28" t="s">
        <v>1604</v>
      </c>
      <c r="E11" s="28" t="s">
        <v>1572</v>
      </c>
      <c r="F11" s="30">
        <v>45574</v>
      </c>
      <c r="G11" s="28" t="s">
        <v>83</v>
      </c>
      <c r="H11" s="28" t="s">
        <v>1602</v>
      </c>
      <c r="I11" s="28" t="s">
        <v>1599</v>
      </c>
      <c r="J11" s="28" t="s">
        <v>1576</v>
      </c>
      <c r="K11" s="28" t="s">
        <v>83</v>
      </c>
      <c r="L11" s="28" t="s">
        <v>83</v>
      </c>
      <c r="M11" s="28" t="s">
        <v>83</v>
      </c>
      <c r="N11" s="28" t="s">
        <v>83</v>
      </c>
    </row>
    <row r="12" spans="1:14">
      <c r="A12" s="28">
        <v>11</v>
      </c>
      <c r="B12" s="28" t="s">
        <v>14</v>
      </c>
      <c r="C12" s="28" t="s">
        <v>1008</v>
      </c>
      <c r="D12" s="28" t="s">
        <v>1605</v>
      </c>
      <c r="E12" s="28" t="s">
        <v>1572</v>
      </c>
      <c r="F12" s="30">
        <v>45574</v>
      </c>
      <c r="G12" s="28" t="s">
        <v>83</v>
      </c>
      <c r="H12" s="28" t="s">
        <v>1606</v>
      </c>
      <c r="I12" s="28" t="s">
        <v>40</v>
      </c>
      <c r="J12" s="28" t="s">
        <v>1576</v>
      </c>
      <c r="K12" s="28" t="s">
        <v>83</v>
      </c>
      <c r="L12" s="28" t="s">
        <v>83</v>
      </c>
      <c r="M12" s="28" t="s">
        <v>83</v>
      </c>
      <c r="N12" s="28" t="s">
        <v>83</v>
      </c>
    </row>
    <row r="13" spans="1:14">
      <c r="A13" s="28">
        <v>12</v>
      </c>
      <c r="B13" s="28" t="s">
        <v>14</v>
      </c>
      <c r="C13" s="28" t="s">
        <v>1012</v>
      </c>
      <c r="D13" s="28" t="s">
        <v>1607</v>
      </c>
      <c r="E13" s="28" t="s">
        <v>1572</v>
      </c>
      <c r="F13" s="30">
        <v>45574</v>
      </c>
      <c r="G13" s="28" t="s">
        <v>83</v>
      </c>
      <c r="H13" s="28" t="s">
        <v>1606</v>
      </c>
      <c r="I13" s="28" t="s">
        <v>40</v>
      </c>
      <c r="J13" s="28" t="s">
        <v>1576</v>
      </c>
      <c r="K13" s="28" t="s">
        <v>83</v>
      </c>
      <c r="L13" s="28" t="s">
        <v>83</v>
      </c>
      <c r="M13" s="28" t="s">
        <v>83</v>
      </c>
      <c r="N13" s="28" t="s">
        <v>83</v>
      </c>
    </row>
    <row r="14" spans="1:14" ht="26.4">
      <c r="A14" s="28">
        <v>13</v>
      </c>
      <c r="B14" s="28" t="s">
        <v>14</v>
      </c>
      <c r="C14" s="28" t="s">
        <v>1608</v>
      </c>
      <c r="D14" s="28" t="s">
        <v>1609</v>
      </c>
      <c r="E14" s="28" t="s">
        <v>1572</v>
      </c>
      <c r="F14" s="30">
        <v>45562</v>
      </c>
      <c r="G14" s="28" t="s">
        <v>83</v>
      </c>
      <c r="H14" s="28" t="s">
        <v>1606</v>
      </c>
      <c r="I14" s="28" t="s">
        <v>83</v>
      </c>
      <c r="J14" s="28" t="s">
        <v>1576</v>
      </c>
      <c r="K14" s="28" t="s">
        <v>83</v>
      </c>
      <c r="L14" s="28" t="s">
        <v>83</v>
      </c>
      <c r="M14" s="28" t="s">
        <v>83</v>
      </c>
      <c r="N14" s="28" t="s">
        <v>83</v>
      </c>
    </row>
    <row r="15" spans="1:14" ht="39.6">
      <c r="A15" s="28">
        <v>14</v>
      </c>
      <c r="B15" s="28" t="s">
        <v>15</v>
      </c>
      <c r="C15" s="28" t="s">
        <v>1410</v>
      </c>
      <c r="D15" s="28" t="s">
        <v>1610</v>
      </c>
      <c r="E15" s="28" t="s">
        <v>1611</v>
      </c>
      <c r="F15" s="30">
        <v>45392</v>
      </c>
      <c r="G15" s="28" t="s">
        <v>1612</v>
      </c>
      <c r="H15" s="28" t="s">
        <v>1606</v>
      </c>
      <c r="I15" s="28" t="s">
        <v>83</v>
      </c>
      <c r="J15" s="28" t="s">
        <v>1576</v>
      </c>
      <c r="K15" s="28" t="s">
        <v>83</v>
      </c>
      <c r="L15" s="28" t="s">
        <v>83</v>
      </c>
      <c r="M15" s="28" t="s">
        <v>83</v>
      </c>
      <c r="N15" s="28" t="s">
        <v>83</v>
      </c>
    </row>
    <row r="16" spans="1:14" ht="39.6">
      <c r="A16" s="28">
        <v>15</v>
      </c>
      <c r="B16" s="28" t="s">
        <v>15</v>
      </c>
      <c r="C16" s="28" t="s">
        <v>1613</v>
      </c>
      <c r="D16" s="28" t="s">
        <v>1614</v>
      </c>
      <c r="E16" s="28" t="s">
        <v>1611</v>
      </c>
      <c r="F16" s="30">
        <v>45392</v>
      </c>
      <c r="G16" s="28" t="s">
        <v>1615</v>
      </c>
      <c r="H16" s="28" t="s">
        <v>1606</v>
      </c>
      <c r="I16" s="28" t="s">
        <v>83</v>
      </c>
      <c r="J16" s="28" t="s">
        <v>1616</v>
      </c>
      <c r="K16" s="28" t="s">
        <v>83</v>
      </c>
      <c r="L16" s="28" t="s">
        <v>83</v>
      </c>
      <c r="M16" s="28" t="s">
        <v>83</v>
      </c>
      <c r="N16" s="28" t="s">
        <v>83</v>
      </c>
    </row>
    <row r="17" spans="1:14" ht="39.6">
      <c r="A17" s="28">
        <v>16</v>
      </c>
      <c r="B17" s="28" t="s">
        <v>15</v>
      </c>
      <c r="C17" s="28" t="s">
        <v>1617</v>
      </c>
      <c r="D17" s="28" t="s">
        <v>1618</v>
      </c>
      <c r="E17" s="28" t="s">
        <v>1611</v>
      </c>
      <c r="F17" s="30">
        <v>45392</v>
      </c>
      <c r="G17" s="28" t="s">
        <v>1619</v>
      </c>
      <c r="H17" s="28" t="s">
        <v>1606</v>
      </c>
      <c r="I17" s="28" t="s">
        <v>83</v>
      </c>
      <c r="J17" s="28" t="s">
        <v>1576</v>
      </c>
      <c r="K17" s="28" t="s">
        <v>83</v>
      </c>
      <c r="L17" s="28" t="s">
        <v>83</v>
      </c>
      <c r="M17" s="28" t="s">
        <v>83</v>
      </c>
      <c r="N17" s="28" t="s">
        <v>83</v>
      </c>
    </row>
    <row r="18" spans="1:14">
      <c r="A18" s="28">
        <v>17</v>
      </c>
      <c r="B18" s="28" t="s">
        <v>20</v>
      </c>
      <c r="C18" s="28" t="s">
        <v>1620</v>
      </c>
      <c r="D18" s="28" t="s">
        <v>1621</v>
      </c>
      <c r="E18" s="28" t="s">
        <v>1611</v>
      </c>
      <c r="F18" s="30">
        <v>45559</v>
      </c>
      <c r="G18" s="28" t="s">
        <v>83</v>
      </c>
      <c r="H18" s="28" t="s">
        <v>1606</v>
      </c>
      <c r="I18" s="28" t="s">
        <v>1622</v>
      </c>
      <c r="J18" s="28" t="s">
        <v>1576</v>
      </c>
      <c r="K18" s="28" t="s">
        <v>83</v>
      </c>
      <c r="L18" s="28" t="s">
        <v>83</v>
      </c>
      <c r="M18" s="28" t="s">
        <v>83</v>
      </c>
      <c r="N18" s="28" t="s">
        <v>83</v>
      </c>
    </row>
    <row r="19" spans="1:14" ht="26.4">
      <c r="A19" s="28">
        <v>18</v>
      </c>
      <c r="B19" s="28" t="s">
        <v>16</v>
      </c>
      <c r="C19" s="28" t="s">
        <v>1623</v>
      </c>
      <c r="D19" s="28" t="s">
        <v>1624</v>
      </c>
      <c r="E19" s="28" t="s">
        <v>1572</v>
      </c>
      <c r="F19" s="30">
        <v>45563</v>
      </c>
      <c r="G19" s="28" t="s">
        <v>83</v>
      </c>
      <c r="H19" s="28" t="s">
        <v>1606</v>
      </c>
      <c r="I19" s="28" t="s">
        <v>40</v>
      </c>
      <c r="J19" s="28" t="s">
        <v>1576</v>
      </c>
      <c r="K19" s="28" t="s">
        <v>83</v>
      </c>
      <c r="L19" s="28" t="s">
        <v>83</v>
      </c>
      <c r="M19" s="28" t="s">
        <v>83</v>
      </c>
      <c r="N19" s="28" t="s">
        <v>83</v>
      </c>
    </row>
    <row r="20" spans="1:14" ht="26.4">
      <c r="A20" s="28">
        <v>19</v>
      </c>
      <c r="B20" s="28" t="s">
        <v>16</v>
      </c>
      <c r="C20" s="28" t="s">
        <v>1625</v>
      </c>
      <c r="D20" s="28" t="s">
        <v>1626</v>
      </c>
      <c r="E20" s="28" t="s">
        <v>1572</v>
      </c>
      <c r="F20" s="30">
        <v>45563</v>
      </c>
      <c r="G20" s="28" t="s">
        <v>83</v>
      </c>
      <c r="H20" s="28" t="s">
        <v>1606</v>
      </c>
      <c r="I20" s="28" t="s">
        <v>40</v>
      </c>
      <c r="J20" s="28" t="s">
        <v>1576</v>
      </c>
      <c r="K20" s="28" t="s">
        <v>83</v>
      </c>
      <c r="L20" s="28" t="s">
        <v>83</v>
      </c>
      <c r="M20" s="28" t="s">
        <v>83</v>
      </c>
      <c r="N20" s="28" t="s">
        <v>83</v>
      </c>
    </row>
    <row r="21" spans="1:14" ht="26.4">
      <c r="A21" s="28">
        <v>20</v>
      </c>
      <c r="B21" s="28" t="s">
        <v>16</v>
      </c>
      <c r="C21" s="28" t="s">
        <v>1627</v>
      </c>
      <c r="D21" s="28" t="s">
        <v>1628</v>
      </c>
      <c r="E21" s="28" t="s">
        <v>1572</v>
      </c>
      <c r="F21" s="30">
        <v>45549</v>
      </c>
      <c r="G21" s="28" t="s">
        <v>83</v>
      </c>
      <c r="H21" s="28" t="s">
        <v>1629</v>
      </c>
      <c r="I21" s="28" t="s">
        <v>83</v>
      </c>
      <c r="J21" s="28" t="s">
        <v>1576</v>
      </c>
      <c r="K21" s="28" t="s">
        <v>83</v>
      </c>
      <c r="L21" s="28" t="s">
        <v>83</v>
      </c>
      <c r="M21" s="28" t="s">
        <v>83</v>
      </c>
      <c r="N21" s="28" t="s">
        <v>83</v>
      </c>
    </row>
    <row r="22" spans="1:14" ht="39.6">
      <c r="A22" s="28">
        <v>21</v>
      </c>
      <c r="B22" s="28" t="s">
        <v>154</v>
      </c>
      <c r="C22" s="28" t="s">
        <v>1630</v>
      </c>
      <c r="D22" s="28" t="s">
        <v>1631</v>
      </c>
      <c r="E22" s="28">
        <v>80000</v>
      </c>
      <c r="F22" s="30">
        <v>45361</v>
      </c>
      <c r="G22" s="28" t="s">
        <v>1632</v>
      </c>
      <c r="H22" s="28" t="s">
        <v>1606</v>
      </c>
      <c r="I22" s="28" t="s">
        <v>83</v>
      </c>
      <c r="J22" s="28" t="s">
        <v>1576</v>
      </c>
      <c r="K22" s="28" t="s">
        <v>83</v>
      </c>
      <c r="L22" s="28" t="s">
        <v>83</v>
      </c>
      <c r="M22" s="28" t="s">
        <v>83</v>
      </c>
      <c r="N22" s="28" t="s">
        <v>83</v>
      </c>
    </row>
    <row r="23" spans="1:14">
      <c r="A23" s="28">
        <v>22</v>
      </c>
      <c r="B23" s="28" t="s">
        <v>14</v>
      </c>
      <c r="C23" s="28" t="s">
        <v>1633</v>
      </c>
      <c r="D23" s="28" t="s">
        <v>1634</v>
      </c>
      <c r="E23" s="28" t="s">
        <v>1572</v>
      </c>
      <c r="F23" s="30" t="s">
        <v>1027</v>
      </c>
      <c r="G23" s="28" t="s">
        <v>83</v>
      </c>
      <c r="H23" s="28" t="s">
        <v>1606</v>
      </c>
      <c r="I23" s="28" t="s">
        <v>83</v>
      </c>
      <c r="J23" s="28" t="s">
        <v>1576</v>
      </c>
      <c r="K23" s="28" t="s">
        <v>83</v>
      </c>
      <c r="L23" s="28" t="s">
        <v>83</v>
      </c>
      <c r="M23" s="28" t="s">
        <v>83</v>
      </c>
      <c r="N23" s="28" t="s">
        <v>83</v>
      </c>
    </row>
    <row r="24" spans="1:14" ht="39.6">
      <c r="A24" s="28">
        <v>23</v>
      </c>
      <c r="B24" s="28" t="s">
        <v>15</v>
      </c>
      <c r="C24" s="28" t="s">
        <v>1635</v>
      </c>
      <c r="D24" s="28" t="s">
        <v>1636</v>
      </c>
      <c r="E24" s="28" t="s">
        <v>1637</v>
      </c>
      <c r="F24" s="30"/>
      <c r="G24" s="28" t="s">
        <v>1638</v>
      </c>
      <c r="H24" s="28" t="s">
        <v>1606</v>
      </c>
      <c r="I24" s="28" t="s">
        <v>83</v>
      </c>
      <c r="J24" s="28" t="s">
        <v>1639</v>
      </c>
      <c r="K24" s="28" t="s">
        <v>83</v>
      </c>
      <c r="L24" s="28" t="s">
        <v>83</v>
      </c>
      <c r="M24" s="28" t="s">
        <v>83</v>
      </c>
      <c r="N24" s="28" t="s">
        <v>83</v>
      </c>
    </row>
    <row r="25" spans="1:14" ht="39.6">
      <c r="A25" s="28">
        <v>24</v>
      </c>
      <c r="B25" s="28" t="s">
        <v>14</v>
      </c>
      <c r="C25" s="28" t="s">
        <v>1640</v>
      </c>
      <c r="D25" s="28" t="s">
        <v>1641</v>
      </c>
      <c r="E25" s="28" t="s">
        <v>1572</v>
      </c>
      <c r="F25" s="30">
        <v>45562</v>
      </c>
      <c r="G25" s="28" t="s">
        <v>83</v>
      </c>
      <c r="H25" s="28" t="s">
        <v>1606</v>
      </c>
      <c r="I25" s="28" t="s">
        <v>83</v>
      </c>
      <c r="J25" s="28" t="s">
        <v>1616</v>
      </c>
      <c r="K25" s="28" t="s">
        <v>83</v>
      </c>
      <c r="L25" s="28" t="s">
        <v>83</v>
      </c>
      <c r="M25" s="28" t="s">
        <v>83</v>
      </c>
      <c r="N25" s="28" t="s">
        <v>83</v>
      </c>
    </row>
    <row r="26" spans="1:14" ht="26.4">
      <c r="A26" s="28">
        <v>25</v>
      </c>
      <c r="B26" s="28" t="s">
        <v>14</v>
      </c>
      <c r="C26" s="28" t="s">
        <v>1642</v>
      </c>
      <c r="D26" s="28" t="s">
        <v>1643</v>
      </c>
      <c r="E26" s="28" t="s">
        <v>1572</v>
      </c>
      <c r="F26" s="30">
        <v>45562</v>
      </c>
      <c r="G26" s="28" t="s">
        <v>83</v>
      </c>
      <c r="H26" s="28" t="s">
        <v>1606</v>
      </c>
      <c r="I26" s="28" t="s">
        <v>83</v>
      </c>
      <c r="J26" s="28" t="s">
        <v>1576</v>
      </c>
      <c r="K26" s="28" t="s">
        <v>83</v>
      </c>
      <c r="L26" s="28" t="s">
        <v>83</v>
      </c>
      <c r="M26" s="28" t="s">
        <v>83</v>
      </c>
      <c r="N26" s="28" t="s">
        <v>83</v>
      </c>
    </row>
    <row r="27" spans="1:14" ht="39.6">
      <c r="A27" s="28">
        <v>26</v>
      </c>
      <c r="B27" s="28" t="s">
        <v>14</v>
      </c>
      <c r="C27" s="28" t="s">
        <v>1644</v>
      </c>
      <c r="D27" s="28" t="s">
        <v>1645</v>
      </c>
      <c r="E27" s="28" t="s">
        <v>1572</v>
      </c>
      <c r="F27" s="30">
        <v>45562</v>
      </c>
      <c r="G27" s="28" t="s">
        <v>83</v>
      </c>
      <c r="H27" s="28" t="s">
        <v>1606</v>
      </c>
      <c r="I27" s="28" t="s">
        <v>83</v>
      </c>
      <c r="J27" s="28" t="s">
        <v>1616</v>
      </c>
      <c r="K27" s="28" t="s">
        <v>83</v>
      </c>
      <c r="L27" s="28" t="s">
        <v>83</v>
      </c>
      <c r="M27" s="28" t="s">
        <v>83</v>
      </c>
      <c r="N27" s="28" t="s">
        <v>83</v>
      </c>
    </row>
    <row r="28" spans="1:14" ht="39.6">
      <c r="A28" s="28">
        <v>27</v>
      </c>
      <c r="B28" s="28" t="s">
        <v>14</v>
      </c>
      <c r="C28" s="28" t="s">
        <v>1646</v>
      </c>
      <c r="D28" s="28" t="s">
        <v>1647</v>
      </c>
      <c r="E28" s="28" t="s">
        <v>1572</v>
      </c>
      <c r="F28" s="30"/>
      <c r="G28" s="28" t="s">
        <v>1648</v>
      </c>
      <c r="H28" s="28" t="s">
        <v>1606</v>
      </c>
      <c r="I28" s="28" t="s">
        <v>83</v>
      </c>
      <c r="J28" s="28" t="s">
        <v>1639</v>
      </c>
      <c r="K28" s="28">
        <v>100000</v>
      </c>
      <c r="L28" s="28">
        <v>100000</v>
      </c>
      <c r="M28" s="28" t="s">
        <v>1649</v>
      </c>
      <c r="N28" s="28" t="s">
        <v>83</v>
      </c>
    </row>
    <row r="29" spans="1:14" ht="39.6">
      <c r="A29" s="28">
        <v>28</v>
      </c>
      <c r="B29" s="28" t="s">
        <v>14</v>
      </c>
      <c r="C29" s="28" t="s">
        <v>811</v>
      </c>
      <c r="D29" s="28" t="s">
        <v>1650</v>
      </c>
      <c r="E29" s="28" t="s">
        <v>1572</v>
      </c>
      <c r="F29" s="30"/>
      <c r="G29" s="28" t="s">
        <v>1651</v>
      </c>
      <c r="H29" s="28" t="s">
        <v>1606</v>
      </c>
      <c r="I29" s="28" t="s">
        <v>83</v>
      </c>
      <c r="J29" s="28" t="s">
        <v>1639</v>
      </c>
      <c r="K29" s="28">
        <v>100000</v>
      </c>
      <c r="L29" s="28">
        <v>100000</v>
      </c>
      <c r="M29" s="28" t="s">
        <v>1649</v>
      </c>
      <c r="N29" s="28" t="s">
        <v>83</v>
      </c>
    </row>
    <row r="30" spans="1:14" ht="39.6">
      <c r="A30" s="28">
        <v>29</v>
      </c>
      <c r="B30" s="28" t="s">
        <v>23</v>
      </c>
      <c r="C30" s="28" t="s">
        <v>1652</v>
      </c>
      <c r="D30" s="28" t="s">
        <v>1653</v>
      </c>
      <c r="E30" s="28" t="s">
        <v>1572</v>
      </c>
      <c r="F30" s="30">
        <v>45562</v>
      </c>
      <c r="G30" s="28" t="s">
        <v>1654</v>
      </c>
      <c r="H30" s="28" t="s">
        <v>1606</v>
      </c>
      <c r="I30" s="28" t="s">
        <v>83</v>
      </c>
      <c r="J30" s="28" t="s">
        <v>1655</v>
      </c>
      <c r="K30" s="28" t="s">
        <v>83</v>
      </c>
      <c r="L30" s="28" t="s">
        <v>83</v>
      </c>
      <c r="M30" s="28" t="s">
        <v>83</v>
      </c>
      <c r="N30" s="28" t="s">
        <v>83</v>
      </c>
    </row>
    <row r="31" spans="1:14">
      <c r="A31" s="28">
        <v>30</v>
      </c>
      <c r="B31" s="28" t="s">
        <v>17</v>
      </c>
      <c r="C31" s="28" t="s">
        <v>1656</v>
      </c>
      <c r="D31" s="28" t="s">
        <v>1657</v>
      </c>
      <c r="E31" s="28">
        <v>2108000</v>
      </c>
      <c r="F31" s="30">
        <v>45566</v>
      </c>
      <c r="G31" s="28" t="s">
        <v>1658</v>
      </c>
      <c r="H31" s="28" t="s">
        <v>1659</v>
      </c>
      <c r="I31" s="28" t="s">
        <v>1622</v>
      </c>
      <c r="J31" s="28" t="s">
        <v>1582</v>
      </c>
      <c r="K31" s="28" t="s">
        <v>83</v>
      </c>
      <c r="L31" s="28" t="s">
        <v>83</v>
      </c>
      <c r="M31" s="28" t="s">
        <v>83</v>
      </c>
      <c r="N31" s="28" t="s">
        <v>83</v>
      </c>
    </row>
    <row r="32" spans="1:14" ht="26.4">
      <c r="A32" s="28">
        <v>31</v>
      </c>
      <c r="B32" s="28" t="s">
        <v>17</v>
      </c>
      <c r="C32" s="28" t="s">
        <v>120</v>
      </c>
      <c r="D32" s="28" t="s">
        <v>1660</v>
      </c>
      <c r="E32" s="28">
        <v>50000</v>
      </c>
      <c r="F32" s="31" t="s">
        <v>1661</v>
      </c>
      <c r="G32" s="28" t="s">
        <v>83</v>
      </c>
      <c r="H32" s="28" t="s">
        <v>1606</v>
      </c>
      <c r="I32" s="28" t="s">
        <v>1622</v>
      </c>
      <c r="J32" s="28" t="s">
        <v>1582</v>
      </c>
      <c r="K32" s="28" t="s">
        <v>83</v>
      </c>
      <c r="L32" s="28" t="s">
        <v>83</v>
      </c>
      <c r="M32" s="28" t="s">
        <v>83</v>
      </c>
      <c r="N32" s="28" t="s">
        <v>83</v>
      </c>
    </row>
    <row r="33" spans="1:14" ht="26.4">
      <c r="A33" s="28">
        <v>32</v>
      </c>
      <c r="B33" s="28" t="s">
        <v>154</v>
      </c>
      <c r="C33" s="28" t="s">
        <v>1662</v>
      </c>
      <c r="D33" s="28" t="s">
        <v>1663</v>
      </c>
      <c r="E33" s="28">
        <v>50000</v>
      </c>
      <c r="F33" s="30">
        <v>45549</v>
      </c>
      <c r="G33" s="28" t="s">
        <v>1664</v>
      </c>
      <c r="H33" s="28" t="s">
        <v>1606</v>
      </c>
      <c r="I33" s="28" t="s">
        <v>83</v>
      </c>
      <c r="J33" s="28" t="s">
        <v>1582</v>
      </c>
      <c r="K33" s="28" t="s">
        <v>83</v>
      </c>
      <c r="L33" s="28" t="s">
        <v>83</v>
      </c>
      <c r="M33" s="28" t="s">
        <v>83</v>
      </c>
      <c r="N33" s="28" t="s">
        <v>83</v>
      </c>
    </row>
    <row r="34" spans="1:14" ht="52.8">
      <c r="A34" s="28">
        <v>33</v>
      </c>
      <c r="B34" s="28" t="s">
        <v>23</v>
      </c>
      <c r="C34" s="28" t="s">
        <v>1665</v>
      </c>
      <c r="D34" s="28" t="s">
        <v>1666</v>
      </c>
      <c r="E34" s="28" t="s">
        <v>1667</v>
      </c>
      <c r="F34" s="31">
        <v>45594</v>
      </c>
      <c r="G34" s="28" t="s">
        <v>1668</v>
      </c>
      <c r="H34" s="28" t="s">
        <v>1659</v>
      </c>
      <c r="I34" s="28" t="s">
        <v>1622</v>
      </c>
      <c r="J34" s="28" t="s">
        <v>1669</v>
      </c>
      <c r="K34" s="28" t="s">
        <v>83</v>
      </c>
      <c r="L34" s="28" t="s">
        <v>83</v>
      </c>
      <c r="M34" s="28" t="s">
        <v>83</v>
      </c>
      <c r="N34" s="28" t="s">
        <v>83</v>
      </c>
    </row>
    <row r="35" spans="1:14" ht="26.4">
      <c r="A35" s="28">
        <v>34</v>
      </c>
      <c r="B35" s="28" t="s">
        <v>23</v>
      </c>
      <c r="C35" s="28" t="s">
        <v>1665</v>
      </c>
      <c r="D35" s="28" t="s">
        <v>1670</v>
      </c>
      <c r="E35" s="28" t="s">
        <v>1671</v>
      </c>
      <c r="F35" s="30">
        <v>45576</v>
      </c>
      <c r="G35" s="28" t="s">
        <v>1672</v>
      </c>
      <c r="H35" s="28" t="s">
        <v>1673</v>
      </c>
      <c r="I35" s="28" t="s">
        <v>1622</v>
      </c>
      <c r="J35" s="28" t="s">
        <v>1655</v>
      </c>
      <c r="K35" s="28" t="s">
        <v>83</v>
      </c>
      <c r="L35" s="28" t="s">
        <v>83</v>
      </c>
      <c r="M35" s="28" t="s">
        <v>83</v>
      </c>
      <c r="N35" s="28" t="s">
        <v>83</v>
      </c>
    </row>
    <row r="36" spans="1:14" ht="52.8">
      <c r="A36" s="28">
        <v>35</v>
      </c>
      <c r="B36" s="28" t="s">
        <v>20</v>
      </c>
      <c r="C36" s="28" t="s">
        <v>1674</v>
      </c>
      <c r="D36" s="28" t="s">
        <v>1675</v>
      </c>
      <c r="E36" s="28">
        <v>1500000</v>
      </c>
      <c r="F36" s="30">
        <v>45586</v>
      </c>
      <c r="G36" s="28" t="s">
        <v>1676</v>
      </c>
      <c r="H36" s="28" t="s">
        <v>1677</v>
      </c>
      <c r="I36" s="28" t="s">
        <v>1622</v>
      </c>
      <c r="J36" s="28" t="s">
        <v>1678</v>
      </c>
      <c r="K36" s="28" t="s">
        <v>83</v>
      </c>
      <c r="L36" s="28" t="s">
        <v>83</v>
      </c>
      <c r="M36" s="28" t="s">
        <v>83</v>
      </c>
      <c r="N36" s="28" t="s">
        <v>83</v>
      </c>
    </row>
    <row r="37" spans="1:14" ht="52.8">
      <c r="A37" s="28">
        <v>36</v>
      </c>
      <c r="B37" s="28" t="s">
        <v>20</v>
      </c>
      <c r="C37" s="28" t="s">
        <v>1674</v>
      </c>
      <c r="D37" s="28" t="s">
        <v>1679</v>
      </c>
      <c r="E37" s="28">
        <v>1500000</v>
      </c>
      <c r="F37" s="31">
        <v>45905</v>
      </c>
      <c r="G37" s="28" t="s">
        <v>1680</v>
      </c>
      <c r="H37" s="28" t="s">
        <v>1681</v>
      </c>
      <c r="I37" s="28" t="s">
        <v>1622</v>
      </c>
      <c r="J37" s="28" t="s">
        <v>1678</v>
      </c>
      <c r="K37" s="28" t="s">
        <v>83</v>
      </c>
      <c r="L37" s="28" t="s">
        <v>83</v>
      </c>
      <c r="M37" s="28" t="s">
        <v>83</v>
      </c>
      <c r="N37" s="28" t="s">
        <v>83</v>
      </c>
    </row>
    <row r="38" spans="1:14">
      <c r="A38" s="28">
        <v>37</v>
      </c>
      <c r="B38" s="28" t="s">
        <v>16</v>
      </c>
      <c r="C38" s="28" t="s">
        <v>1682</v>
      </c>
      <c r="D38" s="28" t="s">
        <v>1683</v>
      </c>
      <c r="E38" s="28" t="s">
        <v>1572</v>
      </c>
      <c r="F38" s="30" t="s">
        <v>1684</v>
      </c>
      <c r="G38" s="28" t="s">
        <v>83</v>
      </c>
      <c r="H38" s="28" t="s">
        <v>1606</v>
      </c>
      <c r="I38" s="28" t="s">
        <v>83</v>
      </c>
      <c r="J38" s="28" t="s">
        <v>1576</v>
      </c>
      <c r="K38" s="28" t="s">
        <v>83</v>
      </c>
      <c r="L38" s="28" t="s">
        <v>83</v>
      </c>
      <c r="M38" s="28" t="s">
        <v>83</v>
      </c>
      <c r="N38" s="28" t="s">
        <v>83</v>
      </c>
    </row>
    <row r="39" spans="1:14" ht="39.6">
      <c r="A39" s="28">
        <v>38</v>
      </c>
      <c r="B39" s="28" t="s">
        <v>16</v>
      </c>
      <c r="C39" s="28" t="s">
        <v>1685</v>
      </c>
      <c r="D39" s="28" t="s">
        <v>1686</v>
      </c>
      <c r="E39" s="28" t="s">
        <v>1572</v>
      </c>
      <c r="F39" s="30">
        <v>45549</v>
      </c>
      <c r="G39" s="28" t="s">
        <v>1687</v>
      </c>
      <c r="H39" s="28" t="s">
        <v>1606</v>
      </c>
      <c r="I39" s="28" t="s">
        <v>1622</v>
      </c>
      <c r="J39" s="28" t="s">
        <v>1576</v>
      </c>
      <c r="K39" s="28" t="s">
        <v>83</v>
      </c>
      <c r="L39" s="28" t="s">
        <v>83</v>
      </c>
      <c r="M39" s="28" t="s">
        <v>83</v>
      </c>
      <c r="N39" s="28" t="s">
        <v>83</v>
      </c>
    </row>
    <row r="40" spans="1:14" ht="66">
      <c r="A40" s="28">
        <v>39</v>
      </c>
      <c r="B40" s="28" t="s">
        <v>24</v>
      </c>
      <c r="C40" s="28" t="s">
        <v>1688</v>
      </c>
      <c r="D40" s="28" t="s">
        <v>1689</v>
      </c>
      <c r="E40" s="28" t="s">
        <v>1690</v>
      </c>
      <c r="F40" s="31">
        <v>45565</v>
      </c>
      <c r="G40" s="28" t="s">
        <v>1691</v>
      </c>
      <c r="H40" s="28" t="s">
        <v>1692</v>
      </c>
      <c r="I40" s="28" t="s">
        <v>1693</v>
      </c>
      <c r="J40" s="28" t="s">
        <v>1582</v>
      </c>
      <c r="K40" s="28" t="s">
        <v>1694</v>
      </c>
      <c r="L40" s="28">
        <v>5000</v>
      </c>
      <c r="M40" s="28" t="s">
        <v>83</v>
      </c>
      <c r="N40" s="28" t="s">
        <v>1695</v>
      </c>
    </row>
    <row r="41" spans="1:14" ht="26.4">
      <c r="A41" s="28">
        <v>41</v>
      </c>
      <c r="B41" s="28" t="s">
        <v>23</v>
      </c>
      <c r="C41" s="28" t="s">
        <v>515</v>
      </c>
      <c r="D41" s="28" t="s">
        <v>1696</v>
      </c>
      <c r="E41" s="28" t="s">
        <v>1697</v>
      </c>
      <c r="F41" s="30" t="s">
        <v>1698</v>
      </c>
      <c r="G41" s="28" t="s">
        <v>1699</v>
      </c>
      <c r="H41" s="28" t="s">
        <v>1700</v>
      </c>
      <c r="I41" s="28" t="s">
        <v>1622</v>
      </c>
      <c r="J41" s="28" t="s">
        <v>1701</v>
      </c>
      <c r="K41" s="28" t="s">
        <v>83</v>
      </c>
      <c r="L41" s="28" t="s">
        <v>83</v>
      </c>
      <c r="M41" s="28" t="s">
        <v>83</v>
      </c>
      <c r="N41" s="28" t="s">
        <v>83</v>
      </c>
    </row>
    <row r="42" spans="1:14">
      <c r="A42" s="28">
        <v>42</v>
      </c>
      <c r="B42" s="28" t="s">
        <v>16</v>
      </c>
      <c r="C42" s="28" t="s">
        <v>1702</v>
      </c>
      <c r="D42" s="28" t="s">
        <v>1703</v>
      </c>
      <c r="E42" s="28" t="s">
        <v>1704</v>
      </c>
      <c r="F42" s="30" t="s">
        <v>1705</v>
      </c>
      <c r="G42" s="28" t="s">
        <v>1706</v>
      </c>
      <c r="H42" s="28" t="s">
        <v>1700</v>
      </c>
      <c r="I42" s="28" t="s">
        <v>1622</v>
      </c>
      <c r="J42" s="28" t="s">
        <v>1582</v>
      </c>
      <c r="K42" s="28" t="s">
        <v>83</v>
      </c>
      <c r="L42" s="28" t="s">
        <v>83</v>
      </c>
      <c r="M42" s="28" t="s">
        <v>83</v>
      </c>
      <c r="N42" s="28" t="s">
        <v>83</v>
      </c>
    </row>
    <row r="43" spans="1:14" ht="52.8">
      <c r="A43" s="28">
        <v>43</v>
      </c>
      <c r="B43" s="28" t="s">
        <v>14</v>
      </c>
      <c r="C43" s="28" t="s">
        <v>116</v>
      </c>
      <c r="D43" s="28" t="s">
        <v>1707</v>
      </c>
      <c r="E43" s="28" t="s">
        <v>1708</v>
      </c>
      <c r="F43" s="30">
        <v>45637</v>
      </c>
      <c r="G43" s="28" t="s">
        <v>83</v>
      </c>
      <c r="H43" s="28" t="s">
        <v>1709</v>
      </c>
      <c r="I43" s="28" t="s">
        <v>1710</v>
      </c>
      <c r="J43" s="28" t="s">
        <v>1711</v>
      </c>
      <c r="K43" s="28" t="s">
        <v>83</v>
      </c>
      <c r="L43" s="28" t="s">
        <v>83</v>
      </c>
      <c r="M43" s="28" t="s">
        <v>83</v>
      </c>
      <c r="N43" s="28" t="s">
        <v>83</v>
      </c>
    </row>
    <row r="44" spans="1:14" ht="52.8">
      <c r="A44" s="28">
        <v>44</v>
      </c>
      <c r="B44" s="28" t="s">
        <v>14</v>
      </c>
      <c r="C44" s="28" t="s">
        <v>1008</v>
      </c>
      <c r="D44" s="28" t="s">
        <v>1712</v>
      </c>
      <c r="E44" s="28" t="s">
        <v>1713</v>
      </c>
      <c r="F44" s="30">
        <v>45361</v>
      </c>
      <c r="G44" s="28" t="s">
        <v>83</v>
      </c>
      <c r="H44" s="28" t="s">
        <v>1714</v>
      </c>
      <c r="I44" s="28" t="s">
        <v>1714</v>
      </c>
      <c r="J44" s="28" t="s">
        <v>1582</v>
      </c>
      <c r="K44" s="28" t="s">
        <v>83</v>
      </c>
      <c r="L44" s="28" t="s">
        <v>83</v>
      </c>
      <c r="M44" s="28" t="s">
        <v>83</v>
      </c>
      <c r="N44" s="28" t="s">
        <v>83</v>
      </c>
    </row>
    <row r="45" spans="1:14" ht="39.6">
      <c r="A45" s="28">
        <v>45</v>
      </c>
      <c r="B45" s="28" t="s">
        <v>14</v>
      </c>
      <c r="C45" s="28" t="s">
        <v>1008</v>
      </c>
      <c r="D45" s="28" t="s">
        <v>1715</v>
      </c>
      <c r="E45" s="28" t="s">
        <v>1716</v>
      </c>
      <c r="F45" s="30">
        <v>45637</v>
      </c>
      <c r="G45" s="28">
        <v>502024004611</v>
      </c>
      <c r="H45" s="28" t="s">
        <v>1717</v>
      </c>
      <c r="I45" s="28" t="s">
        <v>1580</v>
      </c>
      <c r="J45" s="28" t="s">
        <v>1576</v>
      </c>
      <c r="K45" s="28" t="s">
        <v>83</v>
      </c>
      <c r="L45" s="28" t="s">
        <v>83</v>
      </c>
      <c r="M45" s="28" t="s">
        <v>83</v>
      </c>
      <c r="N45" s="28" t="s">
        <v>83</v>
      </c>
    </row>
    <row r="46" spans="1:14" ht="39.6">
      <c r="A46" s="28">
        <v>46</v>
      </c>
      <c r="B46" s="28" t="s">
        <v>14</v>
      </c>
      <c r="C46" s="28" t="s">
        <v>1008</v>
      </c>
      <c r="D46" s="28" t="s">
        <v>1718</v>
      </c>
      <c r="E46" s="28" t="s">
        <v>1719</v>
      </c>
      <c r="F46" s="30">
        <v>45637</v>
      </c>
      <c r="G46" s="28">
        <v>502024004554</v>
      </c>
      <c r="H46" s="28" t="s">
        <v>1717</v>
      </c>
      <c r="I46" s="28" t="s">
        <v>1580</v>
      </c>
      <c r="J46" s="28" t="s">
        <v>1576</v>
      </c>
      <c r="K46" s="28" t="s">
        <v>83</v>
      </c>
      <c r="L46" s="28" t="s">
        <v>83</v>
      </c>
      <c r="M46" s="28" t="s">
        <v>83</v>
      </c>
      <c r="N46" s="28" t="s">
        <v>83</v>
      </c>
    </row>
    <row r="47" spans="1:14" ht="39.6">
      <c r="A47" s="28">
        <v>47</v>
      </c>
      <c r="B47" s="28" t="s">
        <v>14</v>
      </c>
      <c r="C47" s="28" t="s">
        <v>116</v>
      </c>
      <c r="D47" s="28" t="s">
        <v>1720</v>
      </c>
      <c r="E47" s="28" t="s">
        <v>1721</v>
      </c>
      <c r="F47" s="30" t="s">
        <v>1722</v>
      </c>
      <c r="G47" s="28" t="s">
        <v>1723</v>
      </c>
      <c r="H47" s="28" t="s">
        <v>1724</v>
      </c>
      <c r="I47" s="28" t="s">
        <v>1574</v>
      </c>
      <c r="J47" s="28" t="s">
        <v>1576</v>
      </c>
      <c r="K47" s="28" t="s">
        <v>83</v>
      </c>
      <c r="L47" s="28" t="s">
        <v>83</v>
      </c>
      <c r="M47" s="28" t="s">
        <v>83</v>
      </c>
      <c r="N47" s="28" t="s">
        <v>83</v>
      </c>
    </row>
    <row r="48" spans="1:14" ht="26.4">
      <c r="A48" s="28">
        <v>48</v>
      </c>
      <c r="B48" s="28" t="s">
        <v>14</v>
      </c>
      <c r="C48" s="28" t="s">
        <v>1725</v>
      </c>
      <c r="D48" s="28" t="s">
        <v>1726</v>
      </c>
      <c r="E48" s="28" t="s">
        <v>1611</v>
      </c>
      <c r="F48" s="30">
        <v>45667</v>
      </c>
      <c r="G48" s="28">
        <v>1730781607</v>
      </c>
      <c r="H48" s="28" t="s">
        <v>1727</v>
      </c>
      <c r="I48" s="28" t="s">
        <v>1728</v>
      </c>
      <c r="J48" s="28" t="s">
        <v>1729</v>
      </c>
      <c r="K48" s="28" t="s">
        <v>1611</v>
      </c>
      <c r="L48" s="28" t="s">
        <v>1611</v>
      </c>
      <c r="M48" s="28" t="s">
        <v>1730</v>
      </c>
      <c r="N48" s="28" t="s">
        <v>83</v>
      </c>
    </row>
    <row r="49" spans="1:14" ht="26.4">
      <c r="A49" s="28">
        <v>49</v>
      </c>
      <c r="B49" s="28" t="s">
        <v>126</v>
      </c>
      <c r="C49" s="28" t="s">
        <v>1731</v>
      </c>
      <c r="D49" s="28" t="s">
        <v>1732</v>
      </c>
      <c r="E49" s="28" t="s">
        <v>1733</v>
      </c>
      <c r="F49" s="30">
        <v>45326</v>
      </c>
      <c r="G49" s="28">
        <v>1715850918</v>
      </c>
      <c r="H49" s="28" t="s">
        <v>1727</v>
      </c>
      <c r="I49" s="28" t="s">
        <v>1728</v>
      </c>
      <c r="J49" s="28" t="s">
        <v>1734</v>
      </c>
      <c r="K49" s="28" t="s">
        <v>83</v>
      </c>
      <c r="L49" s="28" t="s">
        <v>83</v>
      </c>
      <c r="M49" s="28" t="s">
        <v>83</v>
      </c>
      <c r="N49" s="28" t="s">
        <v>83</v>
      </c>
    </row>
    <row r="50" spans="1:14" ht="26.4">
      <c r="A50" s="28">
        <v>50</v>
      </c>
      <c r="B50" s="28" t="s">
        <v>23</v>
      </c>
      <c r="C50" s="28" t="s">
        <v>307</v>
      </c>
      <c r="D50" s="28" t="s">
        <v>1735</v>
      </c>
      <c r="E50" s="28">
        <v>6862124</v>
      </c>
      <c r="F50" s="30" t="s">
        <v>1736</v>
      </c>
      <c r="G50" s="28" t="s">
        <v>1737</v>
      </c>
      <c r="H50" s="28" t="s">
        <v>1738</v>
      </c>
      <c r="I50" s="28" t="s">
        <v>1728</v>
      </c>
      <c r="J50" s="28" t="s">
        <v>1669</v>
      </c>
      <c r="K50" s="28" t="s">
        <v>83</v>
      </c>
      <c r="L50" s="28" t="s">
        <v>83</v>
      </c>
      <c r="M50" s="28" t="s">
        <v>83</v>
      </c>
      <c r="N50" s="28" t="s">
        <v>83</v>
      </c>
    </row>
    <row r="51" spans="1:14" ht="52.8">
      <c r="A51" s="28">
        <v>51</v>
      </c>
      <c r="B51" s="28" t="s">
        <v>20</v>
      </c>
      <c r="C51" s="28" t="s">
        <v>1674</v>
      </c>
      <c r="D51" s="28" t="s">
        <v>1739</v>
      </c>
      <c r="E51" s="28">
        <v>1000000</v>
      </c>
      <c r="F51" s="30">
        <v>45670</v>
      </c>
      <c r="G51" s="28" t="s">
        <v>1740</v>
      </c>
      <c r="H51" s="28" t="s">
        <v>1741</v>
      </c>
      <c r="I51" s="28" t="s">
        <v>1728</v>
      </c>
      <c r="J51" s="28" t="s">
        <v>1678</v>
      </c>
      <c r="K51" s="28" t="s">
        <v>83</v>
      </c>
      <c r="L51" s="28" t="s">
        <v>83</v>
      </c>
      <c r="M51" s="28" t="s">
        <v>83</v>
      </c>
      <c r="N51" s="28" t="s">
        <v>83</v>
      </c>
    </row>
    <row r="52" spans="1:14" ht="39.6">
      <c r="A52" s="28">
        <v>52</v>
      </c>
      <c r="B52" s="28" t="s">
        <v>20</v>
      </c>
      <c r="C52" s="28" t="s">
        <v>1674</v>
      </c>
      <c r="D52" s="28" t="s">
        <v>1742</v>
      </c>
      <c r="E52" s="28">
        <v>1400000</v>
      </c>
      <c r="F52" s="30" t="s">
        <v>1743</v>
      </c>
      <c r="G52" s="28" t="s">
        <v>1744</v>
      </c>
      <c r="H52" s="28" t="s">
        <v>1741</v>
      </c>
      <c r="I52" s="28" t="s">
        <v>1728</v>
      </c>
      <c r="J52" s="28" t="s">
        <v>1582</v>
      </c>
      <c r="K52" s="28" t="s">
        <v>83</v>
      </c>
      <c r="L52" s="28" t="s">
        <v>83</v>
      </c>
      <c r="M52" s="28" t="s">
        <v>83</v>
      </c>
      <c r="N52" s="28" t="s">
        <v>83</v>
      </c>
    </row>
    <row r="53" spans="1:14" ht="26.4">
      <c r="A53" s="28">
        <v>53</v>
      </c>
      <c r="B53" s="28" t="s">
        <v>14</v>
      </c>
      <c r="C53" s="28" t="s">
        <v>317</v>
      </c>
      <c r="D53" s="28" t="s">
        <v>1745</v>
      </c>
      <c r="E53" s="28" t="s">
        <v>1746</v>
      </c>
      <c r="F53" s="30">
        <v>45455</v>
      </c>
      <c r="G53" s="28" t="s">
        <v>83</v>
      </c>
      <c r="H53" s="28" t="s">
        <v>1747</v>
      </c>
      <c r="I53" s="28" t="s">
        <v>1748</v>
      </c>
      <c r="J53" s="28" t="s">
        <v>1582</v>
      </c>
      <c r="K53" s="28" t="s">
        <v>83</v>
      </c>
      <c r="L53" s="28" t="s">
        <v>83</v>
      </c>
      <c r="M53" s="28" t="s">
        <v>83</v>
      </c>
      <c r="N53" s="28" t="s">
        <v>83</v>
      </c>
    </row>
    <row r="54" spans="1:14" ht="52.8">
      <c r="A54" s="28">
        <v>54</v>
      </c>
      <c r="B54" s="28" t="s">
        <v>17</v>
      </c>
      <c r="C54" s="28" t="s">
        <v>1749</v>
      </c>
      <c r="D54" s="28" t="s">
        <v>1750</v>
      </c>
      <c r="E54" s="28" t="s">
        <v>1751</v>
      </c>
      <c r="F54" s="30" t="s">
        <v>1752</v>
      </c>
      <c r="G54" s="28" t="s">
        <v>83</v>
      </c>
      <c r="H54" s="28" t="s">
        <v>1753</v>
      </c>
      <c r="I54" s="28" t="s">
        <v>1728</v>
      </c>
      <c r="J54" s="28" t="s">
        <v>1582</v>
      </c>
      <c r="K54" s="28" t="s">
        <v>83</v>
      </c>
      <c r="L54" s="28" t="s">
        <v>83</v>
      </c>
      <c r="M54" s="28" t="s">
        <v>83</v>
      </c>
      <c r="N54" s="28" t="s">
        <v>83</v>
      </c>
    </row>
    <row r="55" spans="1:14" ht="26.4">
      <c r="A55" s="28">
        <v>55</v>
      </c>
      <c r="B55" s="28" t="s">
        <v>14</v>
      </c>
      <c r="C55" s="28" t="s">
        <v>1754</v>
      </c>
      <c r="D55" s="28" t="s">
        <v>1755</v>
      </c>
      <c r="E55" s="28" t="s">
        <v>1756</v>
      </c>
      <c r="F55" s="30" t="s">
        <v>1757</v>
      </c>
      <c r="G55" s="28" t="s">
        <v>1758</v>
      </c>
      <c r="H55" s="28" t="s">
        <v>1759</v>
      </c>
      <c r="I55" s="28" t="s">
        <v>1580</v>
      </c>
      <c r="J55" s="28" t="s">
        <v>1582</v>
      </c>
      <c r="K55" s="28" t="s">
        <v>83</v>
      </c>
      <c r="L55" s="28" t="s">
        <v>83</v>
      </c>
      <c r="M55" s="28" t="s">
        <v>83</v>
      </c>
      <c r="N55" s="28" t="s">
        <v>83</v>
      </c>
    </row>
    <row r="56" spans="1:14" ht="39.6">
      <c r="A56" s="28">
        <v>56</v>
      </c>
      <c r="B56" s="28" t="s">
        <v>14</v>
      </c>
      <c r="C56" s="28" t="s">
        <v>1008</v>
      </c>
      <c r="D56" s="28" t="s">
        <v>1760</v>
      </c>
      <c r="E56" s="28" t="s">
        <v>1761</v>
      </c>
      <c r="F56" s="30" t="s">
        <v>1762</v>
      </c>
      <c r="G56" s="28" t="s">
        <v>1763</v>
      </c>
      <c r="H56" s="28" t="s">
        <v>1738</v>
      </c>
      <c r="I56" s="28" t="s">
        <v>1728</v>
      </c>
      <c r="J56" s="28" t="s">
        <v>1582</v>
      </c>
      <c r="K56" s="28" t="s">
        <v>83</v>
      </c>
      <c r="L56" s="28" t="s">
        <v>83</v>
      </c>
      <c r="M56" s="28" t="s">
        <v>83</v>
      </c>
      <c r="N56" s="28" t="s">
        <v>83</v>
      </c>
    </row>
    <row r="57" spans="1:14" ht="26.4">
      <c r="A57" s="28">
        <v>57</v>
      </c>
      <c r="B57" s="28" t="s">
        <v>14</v>
      </c>
      <c r="C57" s="28" t="s">
        <v>1008</v>
      </c>
      <c r="D57" s="28" t="s">
        <v>1764</v>
      </c>
      <c r="E57" s="28" t="s">
        <v>1765</v>
      </c>
      <c r="F57" s="30">
        <v>45809</v>
      </c>
      <c r="G57" s="28" t="s">
        <v>1766</v>
      </c>
      <c r="H57" s="28" t="s">
        <v>1767</v>
      </c>
      <c r="I57" s="28" t="s">
        <v>1728</v>
      </c>
      <c r="J57" s="28" t="s">
        <v>1582</v>
      </c>
      <c r="K57" s="28" t="s">
        <v>83</v>
      </c>
      <c r="L57" s="28" t="s">
        <v>83</v>
      </c>
      <c r="M57" s="28" t="s">
        <v>83</v>
      </c>
      <c r="N57" s="28" t="s">
        <v>83</v>
      </c>
    </row>
    <row r="58" spans="1:14" ht="26.4">
      <c r="A58" s="28">
        <v>58</v>
      </c>
      <c r="B58" s="28" t="s">
        <v>14</v>
      </c>
      <c r="C58" s="28" t="s">
        <v>1768</v>
      </c>
      <c r="D58" s="28" t="s">
        <v>1769</v>
      </c>
      <c r="E58" s="28" t="s">
        <v>1770</v>
      </c>
      <c r="F58" s="30" t="s">
        <v>1771</v>
      </c>
      <c r="G58" s="28" t="s">
        <v>1772</v>
      </c>
      <c r="H58" s="28" t="s">
        <v>1741</v>
      </c>
      <c r="I58" s="28" t="s">
        <v>1580</v>
      </c>
      <c r="J58" s="28" t="s">
        <v>1582</v>
      </c>
      <c r="K58" s="28" t="s">
        <v>83</v>
      </c>
      <c r="L58" s="28" t="s">
        <v>83</v>
      </c>
      <c r="M58" s="28" t="s">
        <v>83</v>
      </c>
      <c r="N58" s="28" t="s">
        <v>83</v>
      </c>
    </row>
    <row r="59" spans="1:14">
      <c r="A59" s="28">
        <v>59</v>
      </c>
      <c r="B59" s="28" t="s">
        <v>14</v>
      </c>
      <c r="C59" s="28" t="s">
        <v>1773</v>
      </c>
      <c r="D59" s="28" t="s">
        <v>1774</v>
      </c>
      <c r="E59" s="28" t="s">
        <v>1611</v>
      </c>
      <c r="F59" s="30" t="s">
        <v>1775</v>
      </c>
      <c r="G59" s="28" t="s">
        <v>83</v>
      </c>
      <c r="H59" s="28" t="s">
        <v>1598</v>
      </c>
      <c r="I59" s="28" t="s">
        <v>1599</v>
      </c>
      <c r="J59" s="28" t="s">
        <v>1576</v>
      </c>
      <c r="K59" s="28" t="s">
        <v>83</v>
      </c>
      <c r="L59" s="28" t="s">
        <v>83</v>
      </c>
      <c r="M59" s="28" t="s">
        <v>83</v>
      </c>
      <c r="N59" s="28" t="s">
        <v>83</v>
      </c>
    </row>
    <row r="60" spans="1:14" ht="26.4">
      <c r="A60" s="28">
        <v>60</v>
      </c>
      <c r="B60" s="28" t="s">
        <v>14</v>
      </c>
      <c r="C60" s="28" t="s">
        <v>1776</v>
      </c>
      <c r="D60" s="28" t="s">
        <v>1777</v>
      </c>
      <c r="E60" s="28" t="s">
        <v>1611</v>
      </c>
      <c r="F60" s="30" t="s">
        <v>1775</v>
      </c>
      <c r="G60" s="28" t="s">
        <v>83</v>
      </c>
      <c r="H60" s="28" t="s">
        <v>1598</v>
      </c>
      <c r="I60" s="28" t="s">
        <v>1599</v>
      </c>
      <c r="J60" s="28" t="s">
        <v>1582</v>
      </c>
      <c r="K60" s="28" t="s">
        <v>83</v>
      </c>
      <c r="L60" s="28" t="s">
        <v>83</v>
      </c>
      <c r="M60" s="28" t="s">
        <v>83</v>
      </c>
      <c r="N60" s="28" t="s">
        <v>83</v>
      </c>
    </row>
    <row r="61" spans="1:14" ht="39.6">
      <c r="A61" s="28">
        <v>61</v>
      </c>
      <c r="B61" s="28" t="s">
        <v>16</v>
      </c>
      <c r="C61" s="28" t="s">
        <v>196</v>
      </c>
      <c r="D61" s="28" t="s">
        <v>1778</v>
      </c>
      <c r="E61" s="28" t="s">
        <v>1779</v>
      </c>
      <c r="F61" s="30" t="s">
        <v>1780</v>
      </c>
      <c r="G61" s="28" t="s">
        <v>1781</v>
      </c>
      <c r="H61" s="28" t="s">
        <v>1782</v>
      </c>
      <c r="I61" s="28" t="s">
        <v>1728</v>
      </c>
      <c r="J61" s="28" t="s">
        <v>1582</v>
      </c>
      <c r="K61" s="28" t="s">
        <v>83</v>
      </c>
      <c r="L61" s="28" t="s">
        <v>83</v>
      </c>
      <c r="M61" s="28" t="s">
        <v>83</v>
      </c>
      <c r="N61" s="28" t="s">
        <v>83</v>
      </c>
    </row>
    <row r="62" spans="1:14" ht="52.8">
      <c r="A62" s="28">
        <v>62</v>
      </c>
      <c r="B62" s="28" t="s">
        <v>19</v>
      </c>
      <c r="C62" s="28" t="s">
        <v>1783</v>
      </c>
      <c r="D62" s="28" t="s">
        <v>1784</v>
      </c>
      <c r="E62" s="28">
        <v>2500000</v>
      </c>
      <c r="F62" s="30">
        <v>45577</v>
      </c>
      <c r="G62" s="28" t="s">
        <v>1785</v>
      </c>
      <c r="H62" s="28" t="s">
        <v>1786</v>
      </c>
      <c r="I62" s="28" t="s">
        <v>1580</v>
      </c>
      <c r="J62" s="28" t="s">
        <v>1582</v>
      </c>
      <c r="K62" s="28" t="s">
        <v>83</v>
      </c>
      <c r="L62" s="28" t="s">
        <v>83</v>
      </c>
      <c r="M62" s="28" t="s">
        <v>83</v>
      </c>
      <c r="N62" s="28" t="s">
        <v>83</v>
      </c>
    </row>
    <row r="63" spans="1:14">
      <c r="A63" s="28">
        <v>63</v>
      </c>
      <c r="B63" s="28" t="s">
        <v>1787</v>
      </c>
      <c r="C63" s="28" t="s">
        <v>505</v>
      </c>
      <c r="D63" s="28" t="s">
        <v>1788</v>
      </c>
      <c r="E63" s="28">
        <v>2500000</v>
      </c>
      <c r="F63" s="30">
        <v>45689</v>
      </c>
      <c r="G63" s="28" t="s">
        <v>83</v>
      </c>
      <c r="H63" s="28" t="s">
        <v>1789</v>
      </c>
      <c r="I63" s="28" t="s">
        <v>1790</v>
      </c>
      <c r="J63" s="28" t="s">
        <v>83</v>
      </c>
      <c r="K63" s="28" t="s">
        <v>83</v>
      </c>
      <c r="L63" s="28" t="s">
        <v>83</v>
      </c>
      <c r="M63" s="28" t="s">
        <v>83</v>
      </c>
      <c r="N63" s="28" t="s">
        <v>83</v>
      </c>
    </row>
    <row r="64" spans="1:14" ht="26.4">
      <c r="A64" s="28">
        <v>64</v>
      </c>
      <c r="B64" s="28" t="s">
        <v>1787</v>
      </c>
      <c r="C64" s="28" t="s">
        <v>1791</v>
      </c>
      <c r="D64" s="28" t="s">
        <v>1792</v>
      </c>
      <c r="E64" s="28">
        <v>2500000</v>
      </c>
      <c r="F64" s="30">
        <v>45689</v>
      </c>
      <c r="G64" s="28" t="s">
        <v>83</v>
      </c>
      <c r="H64" s="28" t="s">
        <v>1793</v>
      </c>
      <c r="I64" s="28" t="s">
        <v>1794</v>
      </c>
      <c r="J64" s="28" t="s">
        <v>83</v>
      </c>
      <c r="K64" s="28" t="s">
        <v>83</v>
      </c>
      <c r="L64" s="28" t="s">
        <v>83</v>
      </c>
      <c r="M64" s="28" t="s">
        <v>83</v>
      </c>
      <c r="N64" s="28" t="s">
        <v>83</v>
      </c>
    </row>
    <row r="65" spans="1:14">
      <c r="A65" s="28">
        <v>65</v>
      </c>
      <c r="B65" s="28" t="s">
        <v>17</v>
      </c>
      <c r="C65" s="28" t="s">
        <v>120</v>
      </c>
      <c r="D65" s="28" t="s">
        <v>1795</v>
      </c>
      <c r="E65" s="28">
        <v>3080000</v>
      </c>
      <c r="F65" s="30">
        <v>45680</v>
      </c>
      <c r="G65" s="28" t="s">
        <v>1796</v>
      </c>
      <c r="H65" s="28" t="s">
        <v>1759</v>
      </c>
      <c r="I65" s="28" t="s">
        <v>1580</v>
      </c>
      <c r="J65" s="28" t="s">
        <v>1582</v>
      </c>
      <c r="K65" s="28" t="s">
        <v>83</v>
      </c>
      <c r="L65" s="28" t="s">
        <v>83</v>
      </c>
      <c r="M65" s="28" t="s">
        <v>83</v>
      </c>
      <c r="N65" s="28" t="s">
        <v>83</v>
      </c>
    </row>
    <row r="66" spans="1:14" ht="52.8">
      <c r="A66" s="28">
        <v>66</v>
      </c>
      <c r="B66" s="28" t="s">
        <v>17</v>
      </c>
      <c r="C66" s="28" t="s">
        <v>1797</v>
      </c>
      <c r="D66" s="28" t="s">
        <v>1798</v>
      </c>
      <c r="E66" s="28" t="s">
        <v>1799</v>
      </c>
      <c r="F66" s="30">
        <v>45687</v>
      </c>
      <c r="G66" s="28" t="s">
        <v>1800</v>
      </c>
      <c r="H66" s="28" t="s">
        <v>1759</v>
      </c>
      <c r="I66" s="28" t="s">
        <v>1580</v>
      </c>
      <c r="J66" s="28" t="s">
        <v>1582</v>
      </c>
      <c r="K66" s="28" t="s">
        <v>83</v>
      </c>
      <c r="L66" s="28" t="s">
        <v>83</v>
      </c>
      <c r="M66" s="28" t="s">
        <v>83</v>
      </c>
      <c r="N66" s="28" t="s">
        <v>83</v>
      </c>
    </row>
    <row r="67" spans="1:14" ht="39.6">
      <c r="A67" s="28">
        <v>67</v>
      </c>
      <c r="B67" s="28" t="s">
        <v>24</v>
      </c>
      <c r="C67" s="28" t="s">
        <v>1801</v>
      </c>
      <c r="D67" s="28" t="s">
        <v>1802</v>
      </c>
      <c r="E67" s="28">
        <v>500000</v>
      </c>
      <c r="F67" s="30">
        <v>45687</v>
      </c>
      <c r="G67" s="28" t="s">
        <v>1803</v>
      </c>
      <c r="H67" s="28" t="s">
        <v>1759</v>
      </c>
      <c r="I67" s="28" t="s">
        <v>1580</v>
      </c>
      <c r="J67" s="28" t="s">
        <v>1582</v>
      </c>
      <c r="K67" s="28" t="s">
        <v>83</v>
      </c>
      <c r="L67" s="28" t="s">
        <v>83</v>
      </c>
      <c r="M67" s="28" t="s">
        <v>83</v>
      </c>
      <c r="N67" s="28" t="s">
        <v>83</v>
      </c>
    </row>
    <row r="68" spans="1:14" ht="52.8">
      <c r="A68" s="28">
        <v>68</v>
      </c>
      <c r="B68" s="28" t="s">
        <v>16</v>
      </c>
      <c r="C68" s="28" t="s">
        <v>196</v>
      </c>
      <c r="D68" s="28" t="s">
        <v>1804</v>
      </c>
      <c r="E68" s="28" t="s">
        <v>1779</v>
      </c>
      <c r="F68" s="30">
        <v>45686</v>
      </c>
      <c r="G68" s="28" t="s">
        <v>83</v>
      </c>
      <c r="H68" s="28" t="s">
        <v>1805</v>
      </c>
      <c r="I68" s="28" t="s">
        <v>1728</v>
      </c>
      <c r="J68" s="28" t="s">
        <v>1806</v>
      </c>
      <c r="K68" s="28" t="s">
        <v>83</v>
      </c>
      <c r="L68" s="28" t="s">
        <v>83</v>
      </c>
      <c r="M68" s="28" t="s">
        <v>83</v>
      </c>
      <c r="N68" s="28" t="s">
        <v>83</v>
      </c>
    </row>
    <row r="69" spans="1:14" ht="26.4">
      <c r="A69" s="28">
        <v>69</v>
      </c>
      <c r="B69" s="28" t="s">
        <v>16</v>
      </c>
      <c r="C69" s="28" t="s">
        <v>358</v>
      </c>
      <c r="D69" s="28" t="s">
        <v>1807</v>
      </c>
      <c r="E69" s="28" t="s">
        <v>1808</v>
      </c>
      <c r="F69" s="30">
        <v>45702</v>
      </c>
      <c r="G69" s="28" t="s">
        <v>1809</v>
      </c>
      <c r="H69" s="28" t="s">
        <v>1782</v>
      </c>
      <c r="I69" s="28" t="s">
        <v>1728</v>
      </c>
      <c r="J69" s="28" t="s">
        <v>1582</v>
      </c>
      <c r="K69" s="28" t="s">
        <v>83</v>
      </c>
      <c r="L69" s="28" t="s">
        <v>83</v>
      </c>
      <c r="M69" s="28" t="s">
        <v>83</v>
      </c>
      <c r="N69" s="28" t="s">
        <v>83</v>
      </c>
    </row>
    <row r="70" spans="1:14" ht="52.8">
      <c r="A70" s="28">
        <v>70</v>
      </c>
      <c r="B70" s="28" t="s">
        <v>15</v>
      </c>
      <c r="C70" s="28" t="s">
        <v>1810</v>
      </c>
      <c r="D70" s="28" t="s">
        <v>1811</v>
      </c>
      <c r="E70" s="28" t="s">
        <v>1812</v>
      </c>
      <c r="F70" s="30">
        <v>45685</v>
      </c>
      <c r="G70" s="28" t="s">
        <v>1813</v>
      </c>
      <c r="H70" s="28" t="s">
        <v>1741</v>
      </c>
      <c r="I70" s="28" t="s">
        <v>1728</v>
      </c>
      <c r="J70" s="28" t="s">
        <v>1678</v>
      </c>
      <c r="K70" s="28" t="s">
        <v>83</v>
      </c>
      <c r="L70" s="28" t="s">
        <v>83</v>
      </c>
      <c r="M70" s="28" t="s">
        <v>83</v>
      </c>
      <c r="N70" s="28" t="s">
        <v>83</v>
      </c>
    </row>
    <row r="71" spans="1:14" ht="52.8">
      <c r="A71" s="28">
        <v>72</v>
      </c>
      <c r="B71" s="28" t="s">
        <v>15</v>
      </c>
      <c r="C71" s="28" t="s">
        <v>1814</v>
      </c>
      <c r="D71" s="28" t="s">
        <v>1815</v>
      </c>
      <c r="E71" s="28" t="s">
        <v>1816</v>
      </c>
      <c r="F71" s="30">
        <v>45687</v>
      </c>
      <c r="G71" s="28" t="s">
        <v>1817</v>
      </c>
      <c r="H71" s="28" t="s">
        <v>1741</v>
      </c>
      <c r="I71" s="28" t="s">
        <v>1728</v>
      </c>
      <c r="J71" s="28" t="s">
        <v>1678</v>
      </c>
      <c r="K71" s="28" t="s">
        <v>83</v>
      </c>
      <c r="L71" s="28" t="s">
        <v>83</v>
      </c>
      <c r="M71" s="28" t="s">
        <v>83</v>
      </c>
      <c r="N71" s="28" t="s">
        <v>83</v>
      </c>
    </row>
    <row r="72" spans="1:14" ht="52.8">
      <c r="A72" s="28">
        <v>73</v>
      </c>
      <c r="B72" s="28" t="s">
        <v>15</v>
      </c>
      <c r="C72" s="28" t="s">
        <v>1818</v>
      </c>
      <c r="D72" s="28" t="s">
        <v>1819</v>
      </c>
      <c r="E72" s="28" t="s">
        <v>1820</v>
      </c>
      <c r="F72" s="30">
        <v>45688</v>
      </c>
      <c r="G72" s="28" t="s">
        <v>1821</v>
      </c>
      <c r="H72" s="28" t="s">
        <v>1741</v>
      </c>
      <c r="I72" s="28" t="s">
        <v>1728</v>
      </c>
      <c r="J72" s="28" t="s">
        <v>1678</v>
      </c>
      <c r="K72" s="28" t="s">
        <v>83</v>
      </c>
      <c r="L72" s="28" t="s">
        <v>83</v>
      </c>
      <c r="M72" s="28" t="s">
        <v>83</v>
      </c>
      <c r="N72" s="28" t="s">
        <v>83</v>
      </c>
    </row>
    <row r="73" spans="1:14" ht="52.8">
      <c r="A73" s="28">
        <v>74</v>
      </c>
      <c r="B73" s="28" t="s">
        <v>15</v>
      </c>
      <c r="C73" s="28" t="s">
        <v>1822</v>
      </c>
      <c r="D73" s="28" t="s">
        <v>1823</v>
      </c>
      <c r="E73" s="28" t="s">
        <v>1824</v>
      </c>
      <c r="F73" s="30">
        <v>45702</v>
      </c>
      <c r="G73" s="28" t="s">
        <v>1825</v>
      </c>
      <c r="H73" s="28" t="s">
        <v>1782</v>
      </c>
      <c r="I73" s="28" t="s">
        <v>1728</v>
      </c>
      <c r="J73" s="28" t="s">
        <v>1678</v>
      </c>
      <c r="K73" s="28" t="s">
        <v>83</v>
      </c>
      <c r="L73" s="28" t="s">
        <v>83</v>
      </c>
      <c r="M73" s="28" t="s">
        <v>83</v>
      </c>
      <c r="N73" s="28" t="s">
        <v>83</v>
      </c>
    </row>
    <row r="74" spans="1:14" ht="52.8">
      <c r="A74" s="28">
        <v>75</v>
      </c>
      <c r="B74" s="28" t="s">
        <v>20</v>
      </c>
      <c r="C74" s="28" t="s">
        <v>1674</v>
      </c>
      <c r="D74" s="28" t="s">
        <v>1826</v>
      </c>
      <c r="E74" s="28">
        <v>1000000</v>
      </c>
      <c r="F74" s="30">
        <v>45687</v>
      </c>
      <c r="G74" s="28" t="s">
        <v>1827</v>
      </c>
      <c r="H74" s="28" t="s">
        <v>1828</v>
      </c>
      <c r="I74" s="28" t="s">
        <v>1728</v>
      </c>
      <c r="J74" s="28" t="s">
        <v>1678</v>
      </c>
      <c r="K74" s="28" t="s">
        <v>83</v>
      </c>
      <c r="L74" s="28" t="s">
        <v>83</v>
      </c>
      <c r="M74" s="28" t="s">
        <v>83</v>
      </c>
      <c r="N74" s="28" t="s">
        <v>83</v>
      </c>
    </row>
    <row r="75" spans="1:14" ht="26.4">
      <c r="A75" s="28">
        <v>76</v>
      </c>
      <c r="B75" s="28" t="s">
        <v>16</v>
      </c>
      <c r="C75" s="28" t="s">
        <v>1829</v>
      </c>
      <c r="D75" s="28" t="s">
        <v>1830</v>
      </c>
      <c r="E75" s="28" t="s">
        <v>1831</v>
      </c>
      <c r="F75" s="30">
        <v>45688</v>
      </c>
      <c r="G75" s="28" t="s">
        <v>1832</v>
      </c>
      <c r="H75" s="28" t="s">
        <v>1741</v>
      </c>
      <c r="I75" s="28" t="s">
        <v>1728</v>
      </c>
      <c r="J75" s="28" t="s">
        <v>1582</v>
      </c>
      <c r="K75" s="28" t="s">
        <v>83</v>
      </c>
      <c r="L75" s="28" t="s">
        <v>83</v>
      </c>
      <c r="M75" s="28" t="s">
        <v>83</v>
      </c>
      <c r="N75" s="28" t="s">
        <v>83</v>
      </c>
    </row>
    <row r="76" spans="1:14">
      <c r="A76" s="28">
        <v>77</v>
      </c>
      <c r="B76" s="28" t="s">
        <v>23</v>
      </c>
      <c r="C76" s="28" t="s">
        <v>1833</v>
      </c>
      <c r="D76" s="28" t="s">
        <v>1834</v>
      </c>
      <c r="E76" s="28">
        <v>1000000</v>
      </c>
      <c r="F76" s="30" t="s">
        <v>1835</v>
      </c>
      <c r="G76" s="28" t="s">
        <v>1836</v>
      </c>
      <c r="H76" s="28" t="s">
        <v>1580</v>
      </c>
      <c r="I76" s="28" t="s">
        <v>1622</v>
      </c>
      <c r="J76" s="28" t="s">
        <v>1837</v>
      </c>
      <c r="K76" s="28" t="s">
        <v>83</v>
      </c>
      <c r="L76" s="28" t="s">
        <v>83</v>
      </c>
      <c r="M76" s="28" t="s">
        <v>83</v>
      </c>
      <c r="N76" s="28" t="s">
        <v>83</v>
      </c>
    </row>
    <row r="77" spans="1:14" ht="26.4">
      <c r="A77" s="28">
        <v>78</v>
      </c>
      <c r="B77" s="28" t="s">
        <v>23</v>
      </c>
      <c r="C77" s="28" t="s">
        <v>1838</v>
      </c>
      <c r="D77" s="28" t="s">
        <v>1839</v>
      </c>
      <c r="E77" s="28">
        <v>2285000</v>
      </c>
      <c r="F77" s="30" t="s">
        <v>1840</v>
      </c>
      <c r="G77" s="28" t="s">
        <v>1841</v>
      </c>
      <c r="H77" s="28" t="s">
        <v>1580</v>
      </c>
      <c r="I77" s="28" t="s">
        <v>1622</v>
      </c>
      <c r="J77" s="28" t="s">
        <v>1837</v>
      </c>
      <c r="K77" s="28" t="s">
        <v>83</v>
      </c>
      <c r="L77" s="28" t="s">
        <v>83</v>
      </c>
      <c r="M77" s="28" t="s">
        <v>83</v>
      </c>
      <c r="N77" s="28" t="s">
        <v>83</v>
      </c>
    </row>
    <row r="78" spans="1:14" ht="52.8">
      <c r="A78" s="28">
        <v>79</v>
      </c>
      <c r="B78" s="28" t="s">
        <v>23</v>
      </c>
      <c r="C78" s="28" t="s">
        <v>1842</v>
      </c>
      <c r="D78" s="28" t="s">
        <v>1843</v>
      </c>
      <c r="E78" s="28">
        <v>3649000</v>
      </c>
      <c r="F78" s="30" t="s">
        <v>1840</v>
      </c>
      <c r="G78" s="28" t="s">
        <v>1844</v>
      </c>
      <c r="H78" s="28" t="s">
        <v>1580</v>
      </c>
      <c r="I78" s="28" t="s">
        <v>1622</v>
      </c>
      <c r="J78" s="28" t="s">
        <v>1837</v>
      </c>
      <c r="K78" s="28" t="s">
        <v>83</v>
      </c>
      <c r="L78" s="28" t="s">
        <v>83</v>
      </c>
      <c r="M78" s="28" t="s">
        <v>83</v>
      </c>
      <c r="N78" s="28" t="s">
        <v>83</v>
      </c>
    </row>
    <row r="79" spans="1:14" ht="52.8">
      <c r="A79" s="28">
        <v>80</v>
      </c>
      <c r="B79" s="28" t="s">
        <v>23</v>
      </c>
      <c r="C79" s="28" t="s">
        <v>1845</v>
      </c>
      <c r="D79" s="28" t="s">
        <v>1846</v>
      </c>
      <c r="E79" s="28">
        <v>1500000</v>
      </c>
      <c r="F79" s="30" t="s">
        <v>1835</v>
      </c>
      <c r="G79" s="28" t="s">
        <v>1847</v>
      </c>
      <c r="H79" s="28" t="s">
        <v>1580</v>
      </c>
      <c r="I79" s="28" t="s">
        <v>1622</v>
      </c>
      <c r="J79" s="28" t="s">
        <v>1837</v>
      </c>
      <c r="K79" s="28" t="s">
        <v>83</v>
      </c>
      <c r="L79" s="28" t="s">
        <v>83</v>
      </c>
      <c r="M79" s="28" t="s">
        <v>83</v>
      </c>
      <c r="N79" s="28" t="s">
        <v>83</v>
      </c>
    </row>
    <row r="80" spans="1:14" ht="26.4">
      <c r="A80" s="28">
        <v>81</v>
      </c>
      <c r="B80" s="28" t="s">
        <v>23</v>
      </c>
      <c r="C80" s="28" t="s">
        <v>1848</v>
      </c>
      <c r="D80" s="28" t="s">
        <v>1849</v>
      </c>
      <c r="E80" s="28" t="s">
        <v>1850</v>
      </c>
      <c r="F80" s="30" t="s">
        <v>1840</v>
      </c>
      <c r="G80" s="28" t="s">
        <v>1851</v>
      </c>
      <c r="H80" s="28" t="s">
        <v>1580</v>
      </c>
      <c r="I80" s="28" t="s">
        <v>1622</v>
      </c>
      <c r="J80" s="28" t="s">
        <v>1837</v>
      </c>
      <c r="K80" s="28" t="s">
        <v>83</v>
      </c>
      <c r="L80" s="28" t="s">
        <v>83</v>
      </c>
      <c r="M80" s="28" t="s">
        <v>83</v>
      </c>
      <c r="N80" s="28" t="s">
        <v>83</v>
      </c>
    </row>
    <row r="81" spans="1:14" ht="26.4">
      <c r="A81" s="28">
        <v>82</v>
      </c>
      <c r="B81" s="28" t="s">
        <v>25</v>
      </c>
      <c r="C81" s="28" t="s">
        <v>1852</v>
      </c>
      <c r="D81" s="28" t="s">
        <v>1853</v>
      </c>
      <c r="E81" s="28" t="s">
        <v>1854</v>
      </c>
      <c r="F81" s="30" t="s">
        <v>1840</v>
      </c>
      <c r="G81" s="28" t="s">
        <v>1855</v>
      </c>
      <c r="H81" s="28" t="s">
        <v>1580</v>
      </c>
      <c r="I81" s="28" t="s">
        <v>1622</v>
      </c>
      <c r="J81" s="28" t="s">
        <v>1582</v>
      </c>
      <c r="K81" s="28" t="s">
        <v>83</v>
      </c>
      <c r="L81" s="28" t="s">
        <v>83</v>
      </c>
      <c r="M81" s="28" t="s">
        <v>83</v>
      </c>
      <c r="N81" s="28" t="s">
        <v>83</v>
      </c>
    </row>
    <row r="82" spans="1:14" ht="26.4">
      <c r="A82" s="28">
        <v>83</v>
      </c>
      <c r="B82" s="28" t="s">
        <v>1787</v>
      </c>
      <c r="C82" s="28" t="s">
        <v>1856</v>
      </c>
      <c r="D82" s="28" t="s">
        <v>1857</v>
      </c>
      <c r="E82" s="28" t="s">
        <v>1858</v>
      </c>
      <c r="F82" s="30" t="s">
        <v>1859</v>
      </c>
      <c r="G82" s="28" t="s">
        <v>1860</v>
      </c>
      <c r="H82" s="28" t="s">
        <v>1580</v>
      </c>
      <c r="I82" s="28" t="s">
        <v>1622</v>
      </c>
      <c r="J82" s="28" t="s">
        <v>1582</v>
      </c>
      <c r="K82" s="28" t="s">
        <v>83</v>
      </c>
      <c r="L82" s="28" t="s">
        <v>83</v>
      </c>
      <c r="M82" s="28" t="s">
        <v>83</v>
      </c>
      <c r="N82" s="28" t="s">
        <v>83</v>
      </c>
    </row>
    <row r="83" spans="1:14" ht="26.4">
      <c r="A83" s="28">
        <v>84</v>
      </c>
      <c r="B83" s="28" t="s">
        <v>1787</v>
      </c>
      <c r="C83" s="28" t="s">
        <v>1861</v>
      </c>
      <c r="D83" s="28" t="s">
        <v>1862</v>
      </c>
      <c r="E83" s="28" t="s">
        <v>1858</v>
      </c>
      <c r="F83" s="30" t="s">
        <v>1859</v>
      </c>
      <c r="G83" s="28" t="s">
        <v>1863</v>
      </c>
      <c r="H83" s="28" t="s">
        <v>1580</v>
      </c>
      <c r="I83" s="28" t="s">
        <v>1622</v>
      </c>
      <c r="J83" s="28" t="s">
        <v>1582</v>
      </c>
      <c r="K83" s="28" t="s">
        <v>83</v>
      </c>
      <c r="L83" s="28" t="s">
        <v>83</v>
      </c>
      <c r="M83" s="28" t="s">
        <v>83</v>
      </c>
      <c r="N83" s="28" t="s">
        <v>83</v>
      </c>
    </row>
    <row r="84" spans="1:14" ht="39.6">
      <c r="A84" s="28">
        <v>85</v>
      </c>
      <c r="B84" s="28" t="s">
        <v>1787</v>
      </c>
      <c r="C84" s="28" t="s">
        <v>1864</v>
      </c>
      <c r="D84" s="28" t="s">
        <v>1865</v>
      </c>
      <c r="E84" s="28" t="s">
        <v>1858</v>
      </c>
      <c r="F84" s="30" t="s">
        <v>1859</v>
      </c>
      <c r="G84" s="28" t="s">
        <v>1866</v>
      </c>
      <c r="H84" s="28" t="s">
        <v>1580</v>
      </c>
      <c r="I84" s="28" t="s">
        <v>1622</v>
      </c>
      <c r="J84" s="28" t="s">
        <v>1582</v>
      </c>
      <c r="K84" s="28" t="s">
        <v>83</v>
      </c>
      <c r="L84" s="28" t="s">
        <v>83</v>
      </c>
      <c r="M84" s="28" t="s">
        <v>83</v>
      </c>
      <c r="N84" s="28" t="s">
        <v>83</v>
      </c>
    </row>
    <row r="85" spans="1:14" ht="39.6">
      <c r="A85" s="28">
        <v>86</v>
      </c>
      <c r="B85" s="28" t="s">
        <v>14</v>
      </c>
      <c r="C85" s="28" t="s">
        <v>1867</v>
      </c>
      <c r="D85" s="28" t="s">
        <v>1868</v>
      </c>
      <c r="E85" s="28" t="s">
        <v>1869</v>
      </c>
      <c r="F85" s="30" t="s">
        <v>1870</v>
      </c>
      <c r="G85" s="28" t="s">
        <v>1871</v>
      </c>
      <c r="H85" s="28" t="s">
        <v>1741</v>
      </c>
      <c r="I85" s="28" t="s">
        <v>1580</v>
      </c>
      <c r="J85" s="28" t="s">
        <v>1582</v>
      </c>
      <c r="K85" s="28" t="s">
        <v>83</v>
      </c>
      <c r="L85" s="28" t="s">
        <v>83</v>
      </c>
      <c r="M85" s="28" t="s">
        <v>83</v>
      </c>
      <c r="N85" s="28" t="s">
        <v>83</v>
      </c>
    </row>
    <row r="86" spans="1:14" ht="26.4">
      <c r="A86" s="28">
        <v>87</v>
      </c>
      <c r="B86" s="28" t="s">
        <v>14</v>
      </c>
      <c r="C86" s="28" t="s">
        <v>1872</v>
      </c>
      <c r="D86" s="28" t="s">
        <v>1873</v>
      </c>
      <c r="E86" s="28" t="s">
        <v>1874</v>
      </c>
      <c r="F86" s="30" t="s">
        <v>1875</v>
      </c>
      <c r="G86" s="28" t="s">
        <v>1876</v>
      </c>
      <c r="H86" s="28" t="s">
        <v>1741</v>
      </c>
      <c r="I86" s="28" t="s">
        <v>1580</v>
      </c>
      <c r="J86" s="28" t="s">
        <v>1582</v>
      </c>
      <c r="K86" s="28" t="s">
        <v>83</v>
      </c>
      <c r="L86" s="28" t="s">
        <v>83</v>
      </c>
      <c r="M86" s="28" t="s">
        <v>83</v>
      </c>
      <c r="N86" s="28" t="s">
        <v>83</v>
      </c>
    </row>
    <row r="87" spans="1:14">
      <c r="A87" s="28">
        <v>88</v>
      </c>
      <c r="B87" s="28" t="s">
        <v>17</v>
      </c>
      <c r="C87" s="28" t="s">
        <v>1877</v>
      </c>
      <c r="D87" s="28" t="s">
        <v>1878</v>
      </c>
      <c r="E87" s="28" t="s">
        <v>1879</v>
      </c>
      <c r="F87" s="30">
        <v>45660</v>
      </c>
      <c r="G87" s="28" t="s">
        <v>1880</v>
      </c>
      <c r="H87" s="28" t="s">
        <v>1782</v>
      </c>
      <c r="I87" s="28" t="s">
        <v>1782</v>
      </c>
      <c r="J87" s="28" t="s">
        <v>1582</v>
      </c>
      <c r="K87" s="28" t="s">
        <v>83</v>
      </c>
      <c r="L87" s="28" t="s">
        <v>83</v>
      </c>
      <c r="M87" s="28" t="s">
        <v>83</v>
      </c>
      <c r="N87" s="28" t="s">
        <v>83</v>
      </c>
    </row>
    <row r="88" spans="1:14" ht="39.6">
      <c r="A88" s="28">
        <v>89</v>
      </c>
      <c r="B88" s="28" t="s">
        <v>17</v>
      </c>
      <c r="C88" s="28" t="s">
        <v>1881</v>
      </c>
      <c r="D88" s="28" t="s">
        <v>1882</v>
      </c>
      <c r="E88" s="28">
        <v>3200000</v>
      </c>
      <c r="F88" s="30">
        <v>45660</v>
      </c>
      <c r="G88" s="28" t="s">
        <v>1880</v>
      </c>
      <c r="H88" s="28" t="s">
        <v>1782</v>
      </c>
      <c r="I88" s="28" t="s">
        <v>1782</v>
      </c>
      <c r="J88" s="28" t="s">
        <v>1582</v>
      </c>
      <c r="K88" s="28" t="s">
        <v>83</v>
      </c>
      <c r="L88" s="28" t="s">
        <v>83</v>
      </c>
      <c r="M88" s="28" t="s">
        <v>83</v>
      </c>
      <c r="N88" s="28" t="s">
        <v>83</v>
      </c>
    </row>
    <row r="89" spans="1:14" ht="26.4">
      <c r="A89" s="28">
        <v>90</v>
      </c>
      <c r="B89" s="28" t="s">
        <v>126</v>
      </c>
      <c r="C89" s="28" t="s">
        <v>1883</v>
      </c>
      <c r="D89" s="28" t="s">
        <v>1884</v>
      </c>
      <c r="E89" s="28">
        <v>3495000</v>
      </c>
      <c r="F89" s="30">
        <v>45660</v>
      </c>
      <c r="G89" s="28" t="s">
        <v>1880</v>
      </c>
      <c r="H89" s="28" t="s">
        <v>1782</v>
      </c>
      <c r="I89" s="28" t="s">
        <v>1782</v>
      </c>
      <c r="J89" s="28" t="s">
        <v>1582</v>
      </c>
      <c r="K89" s="28" t="s">
        <v>83</v>
      </c>
      <c r="L89" s="28" t="s">
        <v>83</v>
      </c>
      <c r="M89" s="28" t="s">
        <v>83</v>
      </c>
      <c r="N89" s="28" t="s">
        <v>83</v>
      </c>
    </row>
    <row r="90" spans="1:14" ht="26.4">
      <c r="A90" s="28">
        <v>91</v>
      </c>
      <c r="B90" s="28" t="s">
        <v>126</v>
      </c>
      <c r="C90" s="28" t="s">
        <v>1885</v>
      </c>
      <c r="D90" s="28" t="s">
        <v>1886</v>
      </c>
      <c r="E90" s="28">
        <v>2664000</v>
      </c>
      <c r="F90" s="30">
        <v>45660</v>
      </c>
      <c r="G90" s="28" t="s">
        <v>1880</v>
      </c>
      <c r="H90" s="28" t="s">
        <v>1782</v>
      </c>
      <c r="I90" s="28" t="s">
        <v>1782</v>
      </c>
      <c r="J90" s="28" t="s">
        <v>1582</v>
      </c>
      <c r="K90" s="28" t="s">
        <v>83</v>
      </c>
      <c r="L90" s="28" t="s">
        <v>83</v>
      </c>
      <c r="M90" s="28" t="s">
        <v>83</v>
      </c>
      <c r="N90" s="28" t="s">
        <v>83</v>
      </c>
    </row>
    <row r="91" spans="1:14" ht="26.4">
      <c r="A91" s="28">
        <v>92</v>
      </c>
      <c r="B91" s="28" t="s">
        <v>126</v>
      </c>
      <c r="C91" s="28" t="s">
        <v>1887</v>
      </c>
      <c r="D91" s="28" t="s">
        <v>1853</v>
      </c>
      <c r="E91" s="28">
        <v>2776000</v>
      </c>
      <c r="F91" s="30">
        <v>45660</v>
      </c>
      <c r="G91" s="28" t="s">
        <v>1880</v>
      </c>
      <c r="H91" s="28" t="s">
        <v>1782</v>
      </c>
      <c r="I91" s="28" t="s">
        <v>1782</v>
      </c>
      <c r="J91" s="28" t="s">
        <v>1582</v>
      </c>
      <c r="K91" s="28" t="s">
        <v>83</v>
      </c>
      <c r="L91" s="28" t="s">
        <v>83</v>
      </c>
      <c r="M91" s="28" t="s">
        <v>83</v>
      </c>
      <c r="N91" s="28" t="s">
        <v>83</v>
      </c>
    </row>
    <row r="92" spans="1:14" ht="26.4">
      <c r="A92" s="28">
        <v>93</v>
      </c>
      <c r="B92" s="28" t="s">
        <v>126</v>
      </c>
      <c r="C92" s="28" t="s">
        <v>1888</v>
      </c>
      <c r="D92" s="28" t="s">
        <v>1889</v>
      </c>
      <c r="E92" s="28">
        <v>299000</v>
      </c>
      <c r="F92" s="30">
        <v>45660</v>
      </c>
      <c r="G92" s="28" t="s">
        <v>1880</v>
      </c>
      <c r="H92" s="28" t="s">
        <v>1782</v>
      </c>
      <c r="I92" s="28" t="s">
        <v>1782</v>
      </c>
      <c r="J92" s="28" t="s">
        <v>1582</v>
      </c>
      <c r="K92" s="28" t="s">
        <v>83</v>
      </c>
      <c r="L92" s="28" t="s">
        <v>83</v>
      </c>
      <c r="M92" s="28" t="s">
        <v>83</v>
      </c>
      <c r="N92" s="28" t="s">
        <v>83</v>
      </c>
    </row>
    <row r="93" spans="1:14" ht="26.4">
      <c r="A93" s="28">
        <v>94</v>
      </c>
      <c r="B93" s="28" t="s">
        <v>19</v>
      </c>
      <c r="C93" s="28" t="s">
        <v>1890</v>
      </c>
      <c r="D93" s="28" t="s">
        <v>1891</v>
      </c>
      <c r="E93" s="28" t="s">
        <v>1892</v>
      </c>
      <c r="F93" s="30">
        <v>45933</v>
      </c>
      <c r="G93" s="28">
        <v>343</v>
      </c>
      <c r="H93" s="28" t="s">
        <v>1893</v>
      </c>
      <c r="I93" s="28" t="s">
        <v>1893</v>
      </c>
      <c r="J93" s="28" t="s">
        <v>1582</v>
      </c>
      <c r="K93" s="28" t="s">
        <v>83</v>
      </c>
      <c r="L93" s="28" t="s">
        <v>83</v>
      </c>
      <c r="M93" s="28" t="s">
        <v>83</v>
      </c>
      <c r="N93" s="28" t="s">
        <v>83</v>
      </c>
    </row>
    <row r="94" spans="1:14" ht="26.4">
      <c r="A94" s="28">
        <v>95</v>
      </c>
      <c r="B94" s="28" t="s">
        <v>1787</v>
      </c>
      <c r="C94" s="28" t="s">
        <v>1894</v>
      </c>
      <c r="D94" s="28" t="s">
        <v>1895</v>
      </c>
      <c r="E94" s="28">
        <v>2700000</v>
      </c>
      <c r="F94" s="30">
        <v>45780</v>
      </c>
      <c r="G94" s="28" t="s">
        <v>1880</v>
      </c>
      <c r="H94" s="28" t="s">
        <v>1794</v>
      </c>
      <c r="I94" s="28" t="s">
        <v>1794</v>
      </c>
      <c r="J94" s="28" t="s">
        <v>1582</v>
      </c>
      <c r="K94" s="28" t="s">
        <v>83</v>
      </c>
      <c r="L94" s="28" t="s">
        <v>83</v>
      </c>
      <c r="M94" s="28" t="s">
        <v>83</v>
      </c>
      <c r="N94" s="28" t="s">
        <v>83</v>
      </c>
    </row>
  </sheetData>
  <hyperlinks>
    <hyperlink ref="A1" r:id="rId1" xr:uid="{420069A9-61CA-4F92-866A-CB032C776594}"/>
    <hyperlink ref="N40" r:id="rId2" xr:uid="{F9CE0773-F1CD-43EC-B2D3-C2EA78F9DF9C}"/>
    <hyperlink ref="G73" r:id="rId3" xr:uid="{DBA53F7C-C5E1-4207-99F4-255D6FE632CE}"/>
    <hyperlink ref="G75" r:id="rId4" xr:uid="{D5EE8DD7-1EB7-4C1D-813C-A1D27506F6E2}"/>
  </hyperlinks>
  <pageMargins left="0.7" right="0.7" top="0.75" bottom="0.75" header="0.3" footer="0.3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06304-3B56-4B17-9BB7-51C66801E33F}">
  <dimension ref="A1:K77"/>
  <sheetViews>
    <sheetView zoomScale="82" workbookViewId="0">
      <selection activeCell="M7" sqref="M7"/>
    </sheetView>
  </sheetViews>
  <sheetFormatPr defaultRowHeight="13.2"/>
  <cols>
    <col min="2" max="2" width="20.44140625" customWidth="1"/>
    <col min="3" max="3" width="12.21875" customWidth="1"/>
    <col min="4" max="4" width="31.6640625" customWidth="1"/>
    <col min="5" max="5" width="30.44140625" customWidth="1"/>
    <col min="6" max="6" width="27.88671875" customWidth="1"/>
    <col min="7" max="7" width="29.21875" customWidth="1"/>
    <col min="8" max="8" width="33.109375" customWidth="1"/>
    <col min="9" max="9" width="17.88671875" customWidth="1"/>
    <col min="10" max="10" width="17.6640625" style="32" customWidth="1"/>
    <col min="11" max="11" width="17.6640625" customWidth="1"/>
  </cols>
  <sheetData>
    <row r="1" spans="1:11" ht="39.6">
      <c r="A1" s="28" t="s">
        <v>1899</v>
      </c>
      <c r="B1" s="28" t="s">
        <v>69</v>
      </c>
      <c r="C1" s="28" t="s">
        <v>71</v>
      </c>
      <c r="D1" s="28" t="s">
        <v>1900</v>
      </c>
      <c r="E1" s="28" t="s">
        <v>1901</v>
      </c>
      <c r="F1" s="28" t="s">
        <v>1902</v>
      </c>
      <c r="G1" s="28" t="s">
        <v>1903</v>
      </c>
      <c r="H1" s="28" t="s">
        <v>1904</v>
      </c>
      <c r="I1" s="28" t="s">
        <v>1905</v>
      </c>
      <c r="J1" s="30" t="s">
        <v>1906</v>
      </c>
      <c r="K1" s="28" t="s">
        <v>1907</v>
      </c>
    </row>
    <row r="2" spans="1:11" ht="66">
      <c r="A2" s="28">
        <v>1</v>
      </c>
      <c r="B2" s="28" t="s">
        <v>497</v>
      </c>
      <c r="C2" s="28" t="s">
        <v>14</v>
      </c>
      <c r="D2" s="28" t="s">
        <v>1908</v>
      </c>
      <c r="E2" s="28" t="s">
        <v>1599</v>
      </c>
      <c r="F2" s="28" t="s">
        <v>83</v>
      </c>
      <c r="G2" s="28" t="s">
        <v>83</v>
      </c>
      <c r="H2" s="28">
        <v>5000</v>
      </c>
      <c r="I2" s="28" t="s">
        <v>83</v>
      </c>
      <c r="J2" s="30">
        <v>45505</v>
      </c>
      <c r="K2" s="28" t="s">
        <v>1909</v>
      </c>
    </row>
    <row r="3" spans="1:11" ht="52.8">
      <c r="A3" s="28">
        <v>2</v>
      </c>
      <c r="B3" s="28" t="s">
        <v>1910</v>
      </c>
      <c r="C3" s="28" t="s">
        <v>16</v>
      </c>
      <c r="D3" s="28" t="s">
        <v>1911</v>
      </c>
      <c r="E3" s="28" t="s">
        <v>83</v>
      </c>
      <c r="F3" s="28" t="s">
        <v>1912</v>
      </c>
      <c r="G3" s="28" t="s">
        <v>1913</v>
      </c>
      <c r="H3" s="28">
        <v>23050</v>
      </c>
      <c r="I3" s="28" t="s">
        <v>83</v>
      </c>
      <c r="J3" s="30">
        <v>45536</v>
      </c>
      <c r="K3" s="28" t="s">
        <v>1914</v>
      </c>
    </row>
    <row r="4" spans="1:11" ht="26.4">
      <c r="A4" s="28">
        <v>3</v>
      </c>
      <c r="B4" s="28" t="s">
        <v>1910</v>
      </c>
      <c r="C4" s="28" t="s">
        <v>16</v>
      </c>
      <c r="D4" s="28" t="s">
        <v>1915</v>
      </c>
      <c r="E4" s="28" t="s">
        <v>1916</v>
      </c>
      <c r="F4" s="28">
        <v>12000</v>
      </c>
      <c r="G4" s="28" t="s">
        <v>1917</v>
      </c>
      <c r="H4" s="28">
        <v>6000</v>
      </c>
      <c r="I4" s="28" t="s">
        <v>83</v>
      </c>
      <c r="J4" s="30" t="s">
        <v>1897</v>
      </c>
      <c r="K4" s="28" t="s">
        <v>1918</v>
      </c>
    </row>
    <row r="5" spans="1:11" ht="26.4">
      <c r="A5" s="28">
        <v>4</v>
      </c>
      <c r="B5" s="28" t="s">
        <v>1910</v>
      </c>
      <c r="C5" s="28" t="s">
        <v>16</v>
      </c>
      <c r="D5" s="28" t="s">
        <v>1919</v>
      </c>
      <c r="E5" s="28" t="s">
        <v>1920</v>
      </c>
      <c r="F5" s="28">
        <v>32000</v>
      </c>
      <c r="G5" s="28" t="s">
        <v>1921</v>
      </c>
      <c r="H5" s="28">
        <v>16000</v>
      </c>
      <c r="I5" s="28" t="s">
        <v>83</v>
      </c>
      <c r="J5" s="30" t="s">
        <v>1922</v>
      </c>
      <c r="K5" s="28" t="s">
        <v>1918</v>
      </c>
    </row>
    <row r="6" spans="1:11" ht="26.4">
      <c r="A6" s="28">
        <v>5</v>
      </c>
      <c r="B6" s="28" t="s">
        <v>1910</v>
      </c>
      <c r="C6" s="28" t="s">
        <v>16</v>
      </c>
      <c r="D6" s="28" t="s">
        <v>1923</v>
      </c>
      <c r="E6" s="28" t="s">
        <v>1924</v>
      </c>
      <c r="F6" s="28" t="s">
        <v>83</v>
      </c>
      <c r="G6" s="28" t="s">
        <v>1925</v>
      </c>
      <c r="H6" s="28">
        <v>10000</v>
      </c>
      <c r="I6" s="28" t="s">
        <v>83</v>
      </c>
      <c r="J6" s="30" t="s">
        <v>1926</v>
      </c>
      <c r="K6" s="28" t="s">
        <v>1918</v>
      </c>
    </row>
    <row r="7" spans="1:11" ht="26.4">
      <c r="A7" s="28">
        <v>6</v>
      </c>
      <c r="B7" s="28" t="s">
        <v>1910</v>
      </c>
      <c r="C7" s="28" t="s">
        <v>16</v>
      </c>
      <c r="D7" s="28" t="s">
        <v>1927</v>
      </c>
      <c r="E7" s="28" t="s">
        <v>1928</v>
      </c>
      <c r="F7" s="28" t="s">
        <v>83</v>
      </c>
      <c r="G7" s="28" t="s">
        <v>1929</v>
      </c>
      <c r="H7" s="28">
        <v>10000</v>
      </c>
      <c r="I7" s="28" t="s">
        <v>83</v>
      </c>
      <c r="J7" s="30" t="s">
        <v>1930</v>
      </c>
      <c r="K7" s="28" t="s">
        <v>1931</v>
      </c>
    </row>
    <row r="8" spans="1:11" ht="26.4">
      <c r="A8" s="28">
        <v>7</v>
      </c>
      <c r="B8" s="28" t="s">
        <v>1932</v>
      </c>
      <c r="C8" s="28" t="s">
        <v>1933</v>
      </c>
      <c r="D8" s="28" t="s">
        <v>1934</v>
      </c>
      <c r="E8" s="28" t="s">
        <v>1935</v>
      </c>
      <c r="F8" s="28" t="s">
        <v>83</v>
      </c>
      <c r="G8" s="28" t="s">
        <v>83</v>
      </c>
      <c r="H8" s="28">
        <v>600</v>
      </c>
      <c r="I8" s="28" t="s">
        <v>83</v>
      </c>
      <c r="J8" s="30">
        <v>45536</v>
      </c>
      <c r="K8" s="28"/>
    </row>
    <row r="9" spans="1:11" ht="26.4">
      <c r="A9" s="28">
        <v>8</v>
      </c>
      <c r="B9" s="28" t="s">
        <v>207</v>
      </c>
      <c r="C9" s="28" t="s">
        <v>23</v>
      </c>
      <c r="D9" s="28" t="s">
        <v>1936</v>
      </c>
      <c r="E9" s="28" t="s">
        <v>1937</v>
      </c>
      <c r="F9" s="28" t="s">
        <v>83</v>
      </c>
      <c r="G9" s="28">
        <v>180</v>
      </c>
      <c r="H9" s="28">
        <v>9000</v>
      </c>
      <c r="I9" s="28" t="s">
        <v>83</v>
      </c>
      <c r="J9" s="30">
        <v>45566</v>
      </c>
      <c r="K9" s="28"/>
    </row>
    <row r="10" spans="1:11">
      <c r="A10" s="28">
        <v>9</v>
      </c>
      <c r="B10" s="28" t="s">
        <v>369</v>
      </c>
      <c r="C10" s="28" t="s">
        <v>23</v>
      </c>
      <c r="D10" s="28" t="s">
        <v>1938</v>
      </c>
      <c r="E10" s="28" t="s">
        <v>1939</v>
      </c>
      <c r="F10" s="28" t="s">
        <v>83</v>
      </c>
      <c r="G10" s="28" t="s">
        <v>83</v>
      </c>
      <c r="H10" s="28">
        <v>2000</v>
      </c>
      <c r="I10" s="28" t="s">
        <v>83</v>
      </c>
      <c r="J10" s="30">
        <v>45597</v>
      </c>
      <c r="K10" s="28"/>
    </row>
    <row r="11" spans="1:11" ht="66">
      <c r="A11" s="28">
        <v>10</v>
      </c>
      <c r="B11" s="28" t="s">
        <v>210</v>
      </c>
      <c r="C11" s="28" t="s">
        <v>16</v>
      </c>
      <c r="D11" s="28" t="s">
        <v>1919</v>
      </c>
      <c r="E11" s="28" t="s">
        <v>1940</v>
      </c>
      <c r="F11" s="28">
        <v>32000</v>
      </c>
      <c r="G11" s="28">
        <v>110</v>
      </c>
      <c r="H11" s="28">
        <v>16000</v>
      </c>
      <c r="I11" s="28" t="s">
        <v>83</v>
      </c>
      <c r="J11" s="30">
        <v>45597</v>
      </c>
      <c r="K11" s="28" t="s">
        <v>1941</v>
      </c>
    </row>
    <row r="12" spans="1:11" ht="66">
      <c r="A12" s="28">
        <v>11</v>
      </c>
      <c r="B12" s="28" t="s">
        <v>497</v>
      </c>
      <c r="C12" s="28" t="s">
        <v>14</v>
      </c>
      <c r="D12" s="28" t="s">
        <v>1908</v>
      </c>
      <c r="E12" s="28" t="s">
        <v>1599</v>
      </c>
      <c r="F12" s="28" t="s">
        <v>83</v>
      </c>
      <c r="G12" s="28" t="s">
        <v>83</v>
      </c>
      <c r="H12" s="28">
        <v>5516</v>
      </c>
      <c r="I12" s="28" t="s">
        <v>83</v>
      </c>
      <c r="J12" s="30">
        <v>45627</v>
      </c>
      <c r="K12" s="28" t="s">
        <v>1942</v>
      </c>
    </row>
    <row r="13" spans="1:11">
      <c r="A13" s="28">
        <v>12</v>
      </c>
      <c r="B13" s="28" t="s">
        <v>811</v>
      </c>
      <c r="C13" s="28" t="s">
        <v>14</v>
      </c>
      <c r="D13" s="28" t="s">
        <v>1908</v>
      </c>
      <c r="E13" s="28" t="s">
        <v>1599</v>
      </c>
      <c r="F13" s="28" t="s">
        <v>83</v>
      </c>
      <c r="G13" s="28" t="s">
        <v>83</v>
      </c>
      <c r="H13" s="28">
        <v>5000</v>
      </c>
      <c r="I13" s="28" t="s">
        <v>83</v>
      </c>
      <c r="J13" s="30">
        <v>45627</v>
      </c>
      <c r="K13" s="28"/>
    </row>
    <row r="14" spans="1:11" ht="66">
      <c r="A14" s="28">
        <v>13</v>
      </c>
      <c r="B14" s="28" t="s">
        <v>1943</v>
      </c>
      <c r="C14" s="28" t="s">
        <v>24</v>
      </c>
      <c r="D14" s="28" t="s">
        <v>1944</v>
      </c>
      <c r="E14" s="28" t="s">
        <v>1945</v>
      </c>
      <c r="F14" s="28" t="s">
        <v>83</v>
      </c>
      <c r="G14" s="28" t="s">
        <v>83</v>
      </c>
      <c r="H14" s="28">
        <v>35000</v>
      </c>
      <c r="I14" s="28" t="s">
        <v>83</v>
      </c>
      <c r="J14" s="30" t="s">
        <v>1946</v>
      </c>
      <c r="K14" s="28" t="s">
        <v>1947</v>
      </c>
    </row>
    <row r="15" spans="1:11" ht="66">
      <c r="A15" s="28">
        <v>14</v>
      </c>
      <c r="B15" s="28" t="s">
        <v>1943</v>
      </c>
      <c r="C15" s="28" t="s">
        <v>24</v>
      </c>
      <c r="D15" s="28" t="s">
        <v>1948</v>
      </c>
      <c r="E15" s="28" t="s">
        <v>1949</v>
      </c>
      <c r="F15" s="28" t="s">
        <v>83</v>
      </c>
      <c r="G15" s="28" t="s">
        <v>83</v>
      </c>
      <c r="H15" s="28">
        <v>16000</v>
      </c>
      <c r="I15" s="28" t="s">
        <v>83</v>
      </c>
      <c r="J15" s="30">
        <v>45679</v>
      </c>
      <c r="K15" s="28" t="s">
        <v>1950</v>
      </c>
    </row>
    <row r="16" spans="1:11" ht="26.4">
      <c r="A16" s="28">
        <v>15</v>
      </c>
      <c r="B16" s="28" t="s">
        <v>1943</v>
      </c>
      <c r="C16" s="28" t="s">
        <v>24</v>
      </c>
      <c r="D16" s="28" t="s">
        <v>1951</v>
      </c>
      <c r="E16" s="28" t="s">
        <v>83</v>
      </c>
      <c r="F16" s="28">
        <v>11485</v>
      </c>
      <c r="G16" s="28">
        <v>65</v>
      </c>
      <c r="H16" s="28">
        <v>11485</v>
      </c>
      <c r="I16" s="28" t="s">
        <v>83</v>
      </c>
      <c r="J16" s="30" t="s">
        <v>1952</v>
      </c>
      <c r="K16" s="28" t="s">
        <v>1953</v>
      </c>
    </row>
    <row r="17" spans="1:11" ht="39.6">
      <c r="A17" s="28">
        <v>16</v>
      </c>
      <c r="B17" s="28" t="s">
        <v>1943</v>
      </c>
      <c r="C17" s="28" t="s">
        <v>24</v>
      </c>
      <c r="D17" s="28" t="s">
        <v>1954</v>
      </c>
      <c r="E17" s="28" t="s">
        <v>83</v>
      </c>
      <c r="F17" s="28">
        <v>89831</v>
      </c>
      <c r="G17" s="28">
        <v>32</v>
      </c>
      <c r="H17" s="28">
        <v>20086</v>
      </c>
      <c r="I17" s="28">
        <v>69745</v>
      </c>
      <c r="J17" s="30" t="s">
        <v>1955</v>
      </c>
      <c r="K17" s="28" t="s">
        <v>1956</v>
      </c>
    </row>
    <row r="18" spans="1:11" ht="26.4">
      <c r="A18" s="28">
        <v>17</v>
      </c>
      <c r="B18" s="28" t="s">
        <v>1957</v>
      </c>
      <c r="C18" s="28" t="s">
        <v>1787</v>
      </c>
      <c r="D18" s="28" t="s">
        <v>1958</v>
      </c>
      <c r="E18" s="28" t="s">
        <v>83</v>
      </c>
      <c r="F18" s="28" t="s">
        <v>1959</v>
      </c>
      <c r="G18" s="28">
        <v>18</v>
      </c>
      <c r="H18" s="28">
        <v>6300</v>
      </c>
      <c r="I18" s="28" t="s">
        <v>83</v>
      </c>
      <c r="J18" s="30">
        <v>45689</v>
      </c>
      <c r="K18" s="28"/>
    </row>
    <row r="19" spans="1:11" ht="39.6">
      <c r="A19" s="28">
        <v>18</v>
      </c>
      <c r="B19" s="28" t="s">
        <v>1960</v>
      </c>
      <c r="C19" s="28" t="s">
        <v>14</v>
      </c>
      <c r="D19" s="28" t="s">
        <v>1961</v>
      </c>
      <c r="E19" s="28" t="s">
        <v>83</v>
      </c>
      <c r="F19" s="28" t="s">
        <v>1962</v>
      </c>
      <c r="G19" s="28">
        <v>73</v>
      </c>
      <c r="H19" s="28">
        <v>36500</v>
      </c>
      <c r="I19" s="28" t="s">
        <v>1963</v>
      </c>
      <c r="J19" s="30" t="s">
        <v>1964</v>
      </c>
      <c r="K19" s="28" t="s">
        <v>1965</v>
      </c>
    </row>
    <row r="20" spans="1:11" ht="26.4">
      <c r="A20" s="28">
        <v>19</v>
      </c>
      <c r="B20" s="28" t="s">
        <v>215</v>
      </c>
      <c r="C20" s="28" t="s">
        <v>16</v>
      </c>
      <c r="D20" s="28" t="s">
        <v>1966</v>
      </c>
      <c r="E20" s="28" t="s">
        <v>83</v>
      </c>
      <c r="F20" s="28" t="s">
        <v>1967</v>
      </c>
      <c r="G20" s="28">
        <v>21</v>
      </c>
      <c r="H20" s="28">
        <v>4900</v>
      </c>
      <c r="I20" s="28" t="s">
        <v>83</v>
      </c>
      <c r="J20" s="30">
        <v>45689</v>
      </c>
      <c r="K20" s="28" t="s">
        <v>1968</v>
      </c>
    </row>
    <row r="21" spans="1:11">
      <c r="A21" s="28">
        <v>20</v>
      </c>
      <c r="B21" s="28" t="s">
        <v>275</v>
      </c>
      <c r="C21" s="28" t="s">
        <v>16</v>
      </c>
      <c r="D21" s="28" t="s">
        <v>1969</v>
      </c>
      <c r="E21" s="28" t="s">
        <v>1970</v>
      </c>
      <c r="F21" s="28" t="s">
        <v>40</v>
      </c>
      <c r="G21" s="28" t="s">
        <v>40</v>
      </c>
      <c r="H21" s="28">
        <v>6000</v>
      </c>
      <c r="I21" s="28" t="s">
        <v>83</v>
      </c>
      <c r="J21" s="30">
        <v>45689</v>
      </c>
      <c r="K21" s="28" t="s">
        <v>1971</v>
      </c>
    </row>
    <row r="22" spans="1:11" ht="66">
      <c r="A22" s="28">
        <v>21</v>
      </c>
      <c r="B22" s="28" t="s">
        <v>203</v>
      </c>
      <c r="C22" s="28" t="s">
        <v>23</v>
      </c>
      <c r="D22" s="28" t="s">
        <v>1972</v>
      </c>
      <c r="E22" s="28" t="s">
        <v>1973</v>
      </c>
      <c r="F22" s="28" t="s">
        <v>83</v>
      </c>
      <c r="G22" s="28">
        <v>39</v>
      </c>
      <c r="H22" s="28">
        <v>11700</v>
      </c>
      <c r="I22" s="28" t="s">
        <v>83</v>
      </c>
      <c r="J22" s="30">
        <v>45658</v>
      </c>
      <c r="K22" s="28" t="s">
        <v>1974</v>
      </c>
    </row>
    <row r="23" spans="1:11">
      <c r="A23" s="28">
        <v>22</v>
      </c>
      <c r="B23" s="28" t="s">
        <v>1896</v>
      </c>
      <c r="C23" s="28" t="s">
        <v>1787</v>
      </c>
      <c r="D23" s="28" t="s">
        <v>1975</v>
      </c>
      <c r="E23" s="28" t="s">
        <v>83</v>
      </c>
      <c r="F23" s="28" t="s">
        <v>83</v>
      </c>
      <c r="G23" s="28" t="s">
        <v>83</v>
      </c>
      <c r="H23" s="28">
        <v>2000</v>
      </c>
      <c r="I23" s="28" t="s">
        <v>83</v>
      </c>
      <c r="J23" s="30"/>
      <c r="K23" s="28"/>
    </row>
    <row r="24" spans="1:11" ht="39.6">
      <c r="A24" s="28">
        <v>23</v>
      </c>
      <c r="B24" s="28" t="s">
        <v>358</v>
      </c>
      <c r="C24" s="28" t="s">
        <v>16</v>
      </c>
      <c r="D24" s="28" t="s">
        <v>1976</v>
      </c>
      <c r="E24" s="28" t="s">
        <v>1977</v>
      </c>
      <c r="F24" s="28">
        <v>12500</v>
      </c>
      <c r="G24" s="28" t="s">
        <v>1978</v>
      </c>
      <c r="H24" s="28">
        <v>12500</v>
      </c>
      <c r="I24" s="28" t="s">
        <v>83</v>
      </c>
      <c r="J24" s="30">
        <v>45717</v>
      </c>
      <c r="K24" s="28" t="s">
        <v>1979</v>
      </c>
    </row>
    <row r="25" spans="1:11">
      <c r="A25" s="28">
        <v>24</v>
      </c>
      <c r="B25" s="28"/>
      <c r="C25" s="28" t="s">
        <v>1787</v>
      </c>
      <c r="D25" s="28" t="s">
        <v>1980</v>
      </c>
      <c r="E25" s="28" t="s">
        <v>1981</v>
      </c>
      <c r="F25" s="28" t="s">
        <v>83</v>
      </c>
      <c r="G25" s="28" t="s">
        <v>83</v>
      </c>
      <c r="H25" s="28">
        <v>3000</v>
      </c>
      <c r="I25" s="28" t="s">
        <v>83</v>
      </c>
      <c r="J25" s="30">
        <v>45748</v>
      </c>
      <c r="K25" s="28"/>
    </row>
    <row r="26" spans="1:11" ht="66">
      <c r="A26" s="28">
        <v>25</v>
      </c>
      <c r="B26" s="28" t="s">
        <v>1982</v>
      </c>
      <c r="C26" s="28" t="s">
        <v>23</v>
      </c>
      <c r="D26" s="28" t="s">
        <v>1983</v>
      </c>
      <c r="E26" s="28" t="s">
        <v>1984</v>
      </c>
      <c r="F26" s="28" t="s">
        <v>83</v>
      </c>
      <c r="G26" s="28">
        <v>100</v>
      </c>
      <c r="H26" s="28">
        <v>3000</v>
      </c>
      <c r="I26" s="28" t="s">
        <v>83</v>
      </c>
      <c r="J26" s="30">
        <v>45689</v>
      </c>
      <c r="K26" s="28" t="s">
        <v>1985</v>
      </c>
    </row>
    <row r="27" spans="1:11" ht="66">
      <c r="A27" s="28">
        <v>26</v>
      </c>
      <c r="B27" s="28" t="s">
        <v>1986</v>
      </c>
      <c r="C27" s="28" t="s">
        <v>23</v>
      </c>
      <c r="D27" s="28" t="s">
        <v>1987</v>
      </c>
      <c r="E27" s="28" t="s">
        <v>1988</v>
      </c>
      <c r="F27" s="28" t="s">
        <v>83</v>
      </c>
      <c r="G27" s="28" t="s">
        <v>83</v>
      </c>
      <c r="H27" s="28">
        <v>7000</v>
      </c>
      <c r="I27" s="28" t="s">
        <v>83</v>
      </c>
      <c r="J27" s="30">
        <v>45748</v>
      </c>
      <c r="K27" s="28" t="s">
        <v>1989</v>
      </c>
    </row>
    <row r="28" spans="1:11" ht="69">
      <c r="A28" s="28">
        <v>27</v>
      </c>
      <c r="B28" s="28" t="s">
        <v>1990</v>
      </c>
      <c r="C28" s="28" t="s">
        <v>15</v>
      </c>
      <c r="D28" s="28" t="s">
        <v>1991</v>
      </c>
      <c r="E28" s="28" t="s">
        <v>1992</v>
      </c>
      <c r="F28" s="28">
        <v>495713</v>
      </c>
      <c r="G28" s="28">
        <v>67</v>
      </c>
      <c r="H28" s="28">
        <v>144069</v>
      </c>
      <c r="I28" s="28">
        <v>351644</v>
      </c>
      <c r="J28" s="30">
        <v>45627</v>
      </c>
      <c r="K28" s="28" t="s">
        <v>1993</v>
      </c>
    </row>
    <row r="29" spans="1:11" ht="79.2">
      <c r="A29" s="28">
        <v>28</v>
      </c>
      <c r="B29" s="28" t="s">
        <v>1012</v>
      </c>
      <c r="C29" s="28" t="s">
        <v>14</v>
      </c>
      <c r="D29" s="28" t="s">
        <v>1994</v>
      </c>
      <c r="E29" s="28" t="s">
        <v>83</v>
      </c>
      <c r="F29" s="28" t="s">
        <v>1995</v>
      </c>
      <c r="G29" s="28">
        <v>72</v>
      </c>
      <c r="H29" s="28">
        <v>36000</v>
      </c>
      <c r="I29" s="28" t="s">
        <v>83</v>
      </c>
      <c r="J29" s="30">
        <v>45689</v>
      </c>
      <c r="K29" s="28" t="s">
        <v>1996</v>
      </c>
    </row>
    <row r="30" spans="1:11" ht="26.4">
      <c r="A30" s="28">
        <v>29</v>
      </c>
      <c r="B30" s="28" t="s">
        <v>1997</v>
      </c>
      <c r="C30" s="28" t="s">
        <v>14</v>
      </c>
      <c r="D30" s="28" t="s">
        <v>1961</v>
      </c>
      <c r="E30" s="28" t="s">
        <v>83</v>
      </c>
      <c r="F30" s="28" t="s">
        <v>1998</v>
      </c>
      <c r="G30" s="28">
        <v>64</v>
      </c>
      <c r="H30" s="28">
        <v>32000</v>
      </c>
      <c r="I30" s="28" t="s">
        <v>1999</v>
      </c>
      <c r="J30" s="30">
        <v>45748</v>
      </c>
      <c r="K30" s="28"/>
    </row>
    <row r="31" spans="1:11" ht="66">
      <c r="A31" s="28">
        <v>30</v>
      </c>
      <c r="B31" s="28" t="s">
        <v>2000</v>
      </c>
      <c r="C31" s="28" t="s">
        <v>14</v>
      </c>
      <c r="D31" s="28" t="s">
        <v>2001</v>
      </c>
      <c r="E31" s="28" t="s">
        <v>2002</v>
      </c>
      <c r="F31" s="28" t="s">
        <v>83</v>
      </c>
      <c r="G31" s="28" t="s">
        <v>83</v>
      </c>
      <c r="H31" s="28">
        <v>10000</v>
      </c>
      <c r="I31" s="28" t="s">
        <v>83</v>
      </c>
      <c r="J31" s="30">
        <v>45748</v>
      </c>
      <c r="K31" s="28" t="s">
        <v>2003</v>
      </c>
    </row>
    <row r="32" spans="1:11" ht="79.2">
      <c r="A32" s="28">
        <v>31</v>
      </c>
      <c r="B32" s="28" t="s">
        <v>120</v>
      </c>
      <c r="C32" s="28" t="s">
        <v>17</v>
      </c>
      <c r="D32" s="28" t="s">
        <v>2001</v>
      </c>
      <c r="E32" s="28" t="s">
        <v>2004</v>
      </c>
      <c r="F32" s="28" t="s">
        <v>83</v>
      </c>
      <c r="G32" s="28" t="s">
        <v>83</v>
      </c>
      <c r="H32" s="28">
        <v>15000</v>
      </c>
      <c r="I32" s="28" t="s">
        <v>83</v>
      </c>
      <c r="J32" s="30">
        <v>45809</v>
      </c>
      <c r="K32" s="28" t="s">
        <v>2005</v>
      </c>
    </row>
    <row r="33" spans="1:11" ht="66">
      <c r="A33" s="28">
        <v>32</v>
      </c>
      <c r="B33" s="28" t="s">
        <v>120</v>
      </c>
      <c r="C33" s="28" t="s">
        <v>17</v>
      </c>
      <c r="D33" s="28" t="s">
        <v>2001</v>
      </c>
      <c r="E33" s="28" t="s">
        <v>2006</v>
      </c>
      <c r="F33" s="28" t="s">
        <v>83</v>
      </c>
      <c r="G33" s="28" t="s">
        <v>83</v>
      </c>
      <c r="H33" s="28">
        <v>15000</v>
      </c>
      <c r="I33" s="28" t="s">
        <v>83</v>
      </c>
      <c r="J33" s="30">
        <v>45809</v>
      </c>
      <c r="K33" s="28" t="s">
        <v>2007</v>
      </c>
    </row>
    <row r="34" spans="1:11">
      <c r="A34" s="28">
        <v>33</v>
      </c>
      <c r="B34" s="28" t="s">
        <v>338</v>
      </c>
      <c r="C34" s="28" t="s">
        <v>24</v>
      </c>
      <c r="D34" s="28" t="s">
        <v>1961</v>
      </c>
      <c r="E34" s="28" t="s">
        <v>2008</v>
      </c>
      <c r="F34" s="28">
        <v>6965</v>
      </c>
      <c r="G34" s="28">
        <v>35</v>
      </c>
      <c r="H34" s="28">
        <v>6965</v>
      </c>
      <c r="I34" s="28" t="s">
        <v>83</v>
      </c>
      <c r="J34" s="30">
        <v>45809</v>
      </c>
      <c r="K34" s="28"/>
    </row>
    <row r="35" spans="1:11" ht="66">
      <c r="A35" s="28">
        <v>34</v>
      </c>
      <c r="B35" s="28" t="s">
        <v>2009</v>
      </c>
      <c r="C35" s="28" t="s">
        <v>1787</v>
      </c>
      <c r="D35" s="28" t="s">
        <v>1980</v>
      </c>
      <c r="E35" s="28" t="s">
        <v>1928</v>
      </c>
      <c r="F35" s="28" t="s">
        <v>83</v>
      </c>
      <c r="G35" s="28" t="s">
        <v>1978</v>
      </c>
      <c r="H35" s="28">
        <v>3000</v>
      </c>
      <c r="I35" s="28" t="s">
        <v>83</v>
      </c>
      <c r="J35" s="30">
        <v>45778</v>
      </c>
      <c r="K35" s="28" t="s">
        <v>2010</v>
      </c>
    </row>
    <row r="36" spans="1:11" ht="79.2">
      <c r="A36" s="28">
        <v>35</v>
      </c>
      <c r="B36" s="28" t="s">
        <v>369</v>
      </c>
      <c r="C36" s="28" t="s">
        <v>23</v>
      </c>
      <c r="D36" s="28" t="s">
        <v>2011</v>
      </c>
      <c r="E36" s="28" t="s">
        <v>2012</v>
      </c>
      <c r="F36" s="28" t="s">
        <v>83</v>
      </c>
      <c r="G36" s="28" t="s">
        <v>83</v>
      </c>
      <c r="H36" s="28">
        <v>10500</v>
      </c>
      <c r="I36" s="28" t="s">
        <v>83</v>
      </c>
      <c r="J36" s="30">
        <v>45778</v>
      </c>
      <c r="K36" s="28" t="s">
        <v>2013</v>
      </c>
    </row>
    <row r="37" spans="1:11" ht="26.4">
      <c r="A37" s="28">
        <v>36</v>
      </c>
      <c r="B37" s="28" t="s">
        <v>1986</v>
      </c>
      <c r="C37" s="28" t="s">
        <v>23</v>
      </c>
      <c r="D37" s="28" t="s">
        <v>2014</v>
      </c>
      <c r="E37" s="28" t="s">
        <v>1988</v>
      </c>
      <c r="F37" s="28" t="s">
        <v>83</v>
      </c>
      <c r="G37" s="28" t="s">
        <v>83</v>
      </c>
      <c r="H37" s="28">
        <v>7000</v>
      </c>
      <c r="I37" s="28" t="s">
        <v>83</v>
      </c>
      <c r="J37" s="30">
        <v>45748</v>
      </c>
      <c r="K37" s="28" t="s">
        <v>2015</v>
      </c>
    </row>
    <row r="38" spans="1:11" ht="66">
      <c r="A38" s="28">
        <v>37</v>
      </c>
      <c r="B38" s="28" t="s">
        <v>307</v>
      </c>
      <c r="C38" s="28" t="s">
        <v>23</v>
      </c>
      <c r="D38" s="28" t="s">
        <v>2016</v>
      </c>
      <c r="E38" s="28" t="s">
        <v>2017</v>
      </c>
      <c r="F38" s="28" t="s">
        <v>83</v>
      </c>
      <c r="G38" s="28" t="s">
        <v>83</v>
      </c>
      <c r="H38" s="28">
        <v>12000</v>
      </c>
      <c r="I38" s="28" t="s">
        <v>83</v>
      </c>
      <c r="J38" s="30">
        <v>45778</v>
      </c>
      <c r="K38" s="28" t="s">
        <v>2018</v>
      </c>
    </row>
    <row r="39" spans="1:11" ht="66">
      <c r="A39" s="28">
        <v>38</v>
      </c>
      <c r="B39" s="28" t="s">
        <v>2019</v>
      </c>
      <c r="C39" s="28" t="s">
        <v>2020</v>
      </c>
      <c r="D39" s="28" t="s">
        <v>2021</v>
      </c>
      <c r="E39" s="28" t="s">
        <v>83</v>
      </c>
      <c r="F39" s="28">
        <v>1000</v>
      </c>
      <c r="G39" s="28">
        <v>26</v>
      </c>
      <c r="H39" s="28">
        <v>26000</v>
      </c>
      <c r="I39" s="28">
        <v>0</v>
      </c>
      <c r="J39" s="30">
        <v>45717</v>
      </c>
      <c r="K39" s="28" t="s">
        <v>2022</v>
      </c>
    </row>
    <row r="40" spans="1:11">
      <c r="A40" s="28">
        <v>39</v>
      </c>
      <c r="B40" s="28" t="s">
        <v>2023</v>
      </c>
      <c r="C40" s="28" t="s">
        <v>14</v>
      </c>
      <c r="D40" s="28" t="s">
        <v>2024</v>
      </c>
      <c r="E40" s="28" t="s">
        <v>83</v>
      </c>
      <c r="F40" s="28" t="s">
        <v>83</v>
      </c>
      <c r="G40" s="28" t="s">
        <v>83</v>
      </c>
      <c r="H40" s="28">
        <v>352400</v>
      </c>
      <c r="I40" s="28" t="s">
        <v>83</v>
      </c>
      <c r="J40" s="30">
        <v>45778</v>
      </c>
      <c r="K40" s="28"/>
    </row>
    <row r="41" spans="1:11" ht="26.4">
      <c r="A41" s="28">
        <v>40</v>
      </c>
      <c r="B41" s="28" t="s">
        <v>659</v>
      </c>
      <c r="C41" s="28" t="s">
        <v>16</v>
      </c>
      <c r="D41" s="28" t="s">
        <v>2025</v>
      </c>
      <c r="E41" s="28" t="s">
        <v>2026</v>
      </c>
      <c r="F41" s="28" t="s">
        <v>83</v>
      </c>
      <c r="G41" s="28" t="s">
        <v>2027</v>
      </c>
      <c r="H41" s="28">
        <v>5000</v>
      </c>
      <c r="I41" s="28" t="s">
        <v>83</v>
      </c>
      <c r="J41" s="30" t="s">
        <v>2028</v>
      </c>
      <c r="K41" s="28" t="s">
        <v>2029</v>
      </c>
    </row>
    <row r="42" spans="1:11" ht="79.2">
      <c r="A42" s="28">
        <v>41</v>
      </c>
      <c r="B42" s="28" t="s">
        <v>2030</v>
      </c>
      <c r="C42" s="28" t="s">
        <v>16</v>
      </c>
      <c r="D42" s="28" t="s">
        <v>2025</v>
      </c>
      <c r="E42" s="28" t="s">
        <v>2026</v>
      </c>
      <c r="F42" s="28" t="s">
        <v>83</v>
      </c>
      <c r="G42" s="28" t="s">
        <v>2027</v>
      </c>
      <c r="H42" s="28">
        <v>5000</v>
      </c>
      <c r="I42" s="28" t="s">
        <v>83</v>
      </c>
      <c r="J42" s="30" t="s">
        <v>2028</v>
      </c>
      <c r="K42" s="28" t="s">
        <v>2031</v>
      </c>
    </row>
    <row r="43" spans="1:11" ht="26.4">
      <c r="A43" s="28">
        <v>42</v>
      </c>
      <c r="B43" s="28" t="s">
        <v>2032</v>
      </c>
      <c r="C43" s="28" t="s">
        <v>16</v>
      </c>
      <c r="D43" s="28" t="s">
        <v>2033</v>
      </c>
      <c r="E43" s="28" t="s">
        <v>2034</v>
      </c>
      <c r="F43" s="28" t="s">
        <v>83</v>
      </c>
      <c r="G43" s="28">
        <v>5</v>
      </c>
      <c r="H43" s="28">
        <v>5000</v>
      </c>
      <c r="I43" s="28" t="s">
        <v>83</v>
      </c>
      <c r="J43" s="30">
        <v>45809</v>
      </c>
      <c r="K43" s="28" t="s">
        <v>2035</v>
      </c>
    </row>
    <row r="44" spans="1:11" ht="26.4">
      <c r="A44" s="28">
        <v>43</v>
      </c>
      <c r="B44" s="28" t="s">
        <v>743</v>
      </c>
      <c r="C44" s="28" t="s">
        <v>17</v>
      </c>
      <c r="D44" s="28" t="s">
        <v>2001</v>
      </c>
      <c r="E44" s="28" t="s">
        <v>2036</v>
      </c>
      <c r="F44" s="28" t="s">
        <v>83</v>
      </c>
      <c r="G44" s="28" t="s">
        <v>83</v>
      </c>
      <c r="H44" s="28">
        <v>129600</v>
      </c>
      <c r="I44" s="28" t="s">
        <v>83</v>
      </c>
      <c r="J44" s="30" t="s">
        <v>2037</v>
      </c>
      <c r="K44" s="28" t="s">
        <v>2038</v>
      </c>
    </row>
    <row r="45" spans="1:11" ht="26.4">
      <c r="A45" s="28">
        <v>44</v>
      </c>
      <c r="B45" s="28" t="s">
        <v>167</v>
      </c>
      <c r="C45" s="28" t="s">
        <v>17</v>
      </c>
      <c r="D45" s="28" t="s">
        <v>2001</v>
      </c>
      <c r="E45" s="28" t="s">
        <v>2039</v>
      </c>
      <c r="F45" s="28" t="s">
        <v>83</v>
      </c>
      <c r="G45" s="28" t="s">
        <v>83</v>
      </c>
      <c r="H45" s="28">
        <v>29000</v>
      </c>
      <c r="I45" s="28" t="s">
        <v>83</v>
      </c>
      <c r="J45" s="30">
        <v>45809</v>
      </c>
      <c r="K45" s="28" t="s">
        <v>2040</v>
      </c>
    </row>
    <row r="46" spans="1:11" ht="26.4">
      <c r="A46" s="28">
        <v>45</v>
      </c>
      <c r="B46" s="28" t="s">
        <v>563</v>
      </c>
      <c r="C46" s="28" t="s">
        <v>17</v>
      </c>
      <c r="D46" s="28" t="s">
        <v>2001</v>
      </c>
      <c r="E46" s="28" t="s">
        <v>2041</v>
      </c>
      <c r="F46" s="28" t="s">
        <v>83</v>
      </c>
      <c r="G46" s="28" t="s">
        <v>83</v>
      </c>
      <c r="H46" s="28">
        <v>18000</v>
      </c>
      <c r="I46" s="28" t="s">
        <v>83</v>
      </c>
      <c r="J46" s="30">
        <v>45809</v>
      </c>
      <c r="K46" s="28" t="s">
        <v>2042</v>
      </c>
    </row>
    <row r="47" spans="1:11" ht="26.4">
      <c r="A47" s="28">
        <v>46</v>
      </c>
      <c r="B47" s="28" t="s">
        <v>2043</v>
      </c>
      <c r="C47" s="28" t="s">
        <v>16</v>
      </c>
      <c r="D47" s="28" t="s">
        <v>1908</v>
      </c>
      <c r="E47" s="28" t="s">
        <v>2044</v>
      </c>
      <c r="F47" s="28" t="s">
        <v>83</v>
      </c>
      <c r="G47" s="28" t="s">
        <v>83</v>
      </c>
      <c r="H47" s="28">
        <v>7500</v>
      </c>
      <c r="I47" s="28" t="s">
        <v>83</v>
      </c>
      <c r="J47" s="30">
        <v>45717</v>
      </c>
      <c r="K47" s="28" t="s">
        <v>2045</v>
      </c>
    </row>
    <row r="48" spans="1:11">
      <c r="A48" s="28">
        <v>47</v>
      </c>
      <c r="B48" s="28" t="s">
        <v>184</v>
      </c>
      <c r="C48" s="28" t="s">
        <v>15</v>
      </c>
      <c r="D48" s="28" t="s">
        <v>2046</v>
      </c>
      <c r="E48" s="28" t="s">
        <v>2047</v>
      </c>
      <c r="F48" s="28" t="s">
        <v>83</v>
      </c>
      <c r="G48" s="28" t="s">
        <v>83</v>
      </c>
      <c r="H48" s="28">
        <v>51000</v>
      </c>
      <c r="I48" s="28" t="s">
        <v>83</v>
      </c>
      <c r="J48" s="30">
        <v>45809</v>
      </c>
      <c r="K48" s="28" t="s">
        <v>2048</v>
      </c>
    </row>
    <row r="49" spans="1:11" ht="66">
      <c r="A49" s="28">
        <v>48</v>
      </c>
      <c r="B49" s="28" t="s">
        <v>293</v>
      </c>
      <c r="C49" s="28" t="s">
        <v>15</v>
      </c>
      <c r="D49" s="28" t="s">
        <v>2049</v>
      </c>
      <c r="E49" s="28" t="s">
        <v>2050</v>
      </c>
      <c r="F49" s="28" t="s">
        <v>83</v>
      </c>
      <c r="G49" s="28" t="s">
        <v>83</v>
      </c>
      <c r="H49" s="28">
        <v>26000</v>
      </c>
      <c r="I49" s="28" t="s">
        <v>83</v>
      </c>
      <c r="J49" s="30">
        <v>45809</v>
      </c>
      <c r="K49" s="28" t="s">
        <v>2051</v>
      </c>
    </row>
    <row r="50" spans="1:11" ht="66">
      <c r="A50" s="28">
        <v>49</v>
      </c>
      <c r="B50" s="28" t="s">
        <v>699</v>
      </c>
      <c r="C50" s="28" t="s">
        <v>15</v>
      </c>
      <c r="D50" s="28" t="s">
        <v>2052</v>
      </c>
      <c r="E50" s="28" t="s">
        <v>2053</v>
      </c>
      <c r="F50" s="28" t="s">
        <v>83</v>
      </c>
      <c r="G50" s="28" t="s">
        <v>83</v>
      </c>
      <c r="H50" s="28">
        <v>51000</v>
      </c>
      <c r="I50" s="28" t="s">
        <v>83</v>
      </c>
      <c r="J50" s="30">
        <v>45809</v>
      </c>
      <c r="K50" s="28" t="s">
        <v>2054</v>
      </c>
    </row>
    <row r="51" spans="1:11">
      <c r="A51" s="28">
        <v>50</v>
      </c>
      <c r="B51" s="28" t="s">
        <v>594</v>
      </c>
      <c r="C51" s="28" t="s">
        <v>15</v>
      </c>
      <c r="D51" s="28" t="s">
        <v>2055</v>
      </c>
      <c r="E51" s="28" t="s">
        <v>2056</v>
      </c>
      <c r="F51" s="28" t="s">
        <v>83</v>
      </c>
      <c r="G51" s="28" t="s">
        <v>83</v>
      </c>
      <c r="H51" s="28">
        <v>13000</v>
      </c>
      <c r="I51" s="28" t="s">
        <v>83</v>
      </c>
      <c r="J51" s="30">
        <v>45809</v>
      </c>
      <c r="K51" s="28" t="s">
        <v>2048</v>
      </c>
    </row>
    <row r="52" spans="1:11" ht="39.6">
      <c r="A52" s="28">
        <v>51</v>
      </c>
      <c r="B52" s="28" t="s">
        <v>255</v>
      </c>
      <c r="C52" s="28" t="s">
        <v>15</v>
      </c>
      <c r="D52" s="28" t="s">
        <v>2055</v>
      </c>
      <c r="E52" s="28" t="s">
        <v>2057</v>
      </c>
      <c r="F52" s="28" t="s">
        <v>83</v>
      </c>
      <c r="G52" s="28" t="s">
        <v>83</v>
      </c>
      <c r="H52" s="28">
        <v>12500</v>
      </c>
      <c r="I52" s="28" t="s">
        <v>83</v>
      </c>
      <c r="J52" s="30">
        <v>45809</v>
      </c>
      <c r="K52" s="28" t="s">
        <v>2058</v>
      </c>
    </row>
    <row r="53" spans="1:11">
      <c r="A53" s="28">
        <v>52</v>
      </c>
      <c r="B53" s="28" t="s">
        <v>2059</v>
      </c>
      <c r="C53" s="28" t="s">
        <v>15</v>
      </c>
      <c r="D53" s="28" t="s">
        <v>2060</v>
      </c>
      <c r="E53" s="28" t="s">
        <v>2061</v>
      </c>
      <c r="F53" s="28" t="s">
        <v>83</v>
      </c>
      <c r="G53" s="28" t="s">
        <v>83</v>
      </c>
      <c r="H53" s="28">
        <v>12000</v>
      </c>
      <c r="I53" s="28" t="s">
        <v>83</v>
      </c>
      <c r="J53" s="30">
        <v>45809</v>
      </c>
      <c r="K53" s="28" t="s">
        <v>2062</v>
      </c>
    </row>
    <row r="54" spans="1:11">
      <c r="A54" s="28">
        <v>53</v>
      </c>
      <c r="B54" s="28" t="s">
        <v>2063</v>
      </c>
      <c r="C54" s="28" t="s">
        <v>15</v>
      </c>
      <c r="D54" s="28" t="s">
        <v>2060</v>
      </c>
      <c r="E54" s="28" t="s">
        <v>2061</v>
      </c>
      <c r="F54" s="28" t="s">
        <v>83</v>
      </c>
      <c r="G54" s="28" t="s">
        <v>83</v>
      </c>
      <c r="H54" s="28">
        <v>12000</v>
      </c>
      <c r="I54" s="28" t="s">
        <v>83</v>
      </c>
      <c r="J54" s="30">
        <v>45809</v>
      </c>
      <c r="K54" s="28" t="s">
        <v>2062</v>
      </c>
    </row>
    <row r="55" spans="1:11" ht="79.2">
      <c r="A55" s="28">
        <v>54</v>
      </c>
      <c r="B55" s="28" t="s">
        <v>2064</v>
      </c>
      <c r="C55" s="28" t="s">
        <v>892</v>
      </c>
      <c r="D55" s="28" t="s">
        <v>2065</v>
      </c>
      <c r="E55" s="28" t="s">
        <v>2066</v>
      </c>
      <c r="F55" s="28" t="s">
        <v>83</v>
      </c>
      <c r="G55" s="28" t="s">
        <v>83</v>
      </c>
      <c r="H55" s="28">
        <v>16000</v>
      </c>
      <c r="I55" s="28" t="s">
        <v>83</v>
      </c>
      <c r="J55" s="30">
        <v>45809</v>
      </c>
      <c r="K55" s="28" t="s">
        <v>2067</v>
      </c>
    </row>
    <row r="56" spans="1:11" ht="66">
      <c r="A56" s="28">
        <v>55</v>
      </c>
      <c r="B56" s="28" t="s">
        <v>2068</v>
      </c>
      <c r="C56" s="28" t="s">
        <v>892</v>
      </c>
      <c r="D56" s="28" t="s">
        <v>2069</v>
      </c>
      <c r="E56" s="28" t="s">
        <v>2070</v>
      </c>
      <c r="F56" s="28" t="s">
        <v>83</v>
      </c>
      <c r="G56" s="28" t="s">
        <v>83</v>
      </c>
      <c r="H56" s="28">
        <v>30000</v>
      </c>
      <c r="I56" s="28" t="s">
        <v>83</v>
      </c>
      <c r="J56" s="30">
        <v>45809</v>
      </c>
      <c r="K56" s="28" t="s">
        <v>2071</v>
      </c>
    </row>
    <row r="57" spans="1:11" ht="66">
      <c r="A57" s="28">
        <v>56</v>
      </c>
      <c r="B57" s="28" t="s">
        <v>2064</v>
      </c>
      <c r="C57" s="28" t="s">
        <v>892</v>
      </c>
      <c r="D57" s="28" t="s">
        <v>2072</v>
      </c>
      <c r="E57" s="28" t="s">
        <v>2073</v>
      </c>
      <c r="F57" s="28" t="s">
        <v>83</v>
      </c>
      <c r="G57" s="28" t="s">
        <v>83</v>
      </c>
      <c r="H57" s="28">
        <v>50000</v>
      </c>
      <c r="I57" s="28" t="s">
        <v>83</v>
      </c>
      <c r="J57" s="30">
        <v>45809</v>
      </c>
      <c r="K57" s="28" t="s">
        <v>2074</v>
      </c>
    </row>
    <row r="58" spans="1:11" ht="66">
      <c r="A58" s="28">
        <v>57</v>
      </c>
      <c r="B58" s="28" t="s">
        <v>2075</v>
      </c>
      <c r="C58" s="28" t="s">
        <v>892</v>
      </c>
      <c r="D58" s="28" t="s">
        <v>2072</v>
      </c>
      <c r="E58" s="28" t="s">
        <v>2076</v>
      </c>
      <c r="F58" s="28" t="s">
        <v>83</v>
      </c>
      <c r="G58" s="28" t="s">
        <v>83</v>
      </c>
      <c r="H58" s="28">
        <v>15000</v>
      </c>
      <c r="I58" s="28" t="s">
        <v>83</v>
      </c>
      <c r="J58" s="30">
        <v>45809</v>
      </c>
      <c r="K58" s="28" t="s">
        <v>2077</v>
      </c>
    </row>
    <row r="59" spans="1:11" ht="66">
      <c r="A59" s="28">
        <v>58</v>
      </c>
      <c r="B59" s="28" t="s">
        <v>2078</v>
      </c>
      <c r="C59" s="28" t="s">
        <v>892</v>
      </c>
      <c r="D59" s="28" t="s">
        <v>2072</v>
      </c>
      <c r="E59" s="28" t="s">
        <v>2076</v>
      </c>
      <c r="F59" s="28" t="s">
        <v>83</v>
      </c>
      <c r="G59" s="28" t="s">
        <v>83</v>
      </c>
      <c r="H59" s="28">
        <v>15000</v>
      </c>
      <c r="I59" s="28" t="s">
        <v>83</v>
      </c>
      <c r="J59" s="30">
        <v>45809</v>
      </c>
      <c r="K59" s="28" t="s">
        <v>2079</v>
      </c>
    </row>
    <row r="60" spans="1:11" ht="66">
      <c r="A60" s="28">
        <v>59</v>
      </c>
      <c r="B60" s="28" t="s">
        <v>1910</v>
      </c>
      <c r="C60" s="28" t="s">
        <v>16</v>
      </c>
      <c r="D60" s="28" t="s">
        <v>2072</v>
      </c>
      <c r="E60" s="28" t="s">
        <v>2080</v>
      </c>
      <c r="F60" s="28" t="s">
        <v>83</v>
      </c>
      <c r="G60" s="28" t="s">
        <v>83</v>
      </c>
      <c r="H60" s="28">
        <v>16000</v>
      </c>
      <c r="I60" s="28" t="s">
        <v>83</v>
      </c>
      <c r="J60" s="30">
        <v>45809</v>
      </c>
      <c r="K60" s="28" t="s">
        <v>2081</v>
      </c>
    </row>
    <row r="61" spans="1:11" ht="79.2">
      <c r="A61" s="28">
        <v>60</v>
      </c>
      <c r="B61" s="28" t="s">
        <v>642</v>
      </c>
      <c r="C61" s="28" t="s">
        <v>23</v>
      </c>
      <c r="D61" s="28" t="s">
        <v>2014</v>
      </c>
      <c r="E61" s="28" t="s">
        <v>1988</v>
      </c>
      <c r="F61" s="28" t="s">
        <v>83</v>
      </c>
      <c r="G61" s="28" t="s">
        <v>83</v>
      </c>
      <c r="H61" s="28">
        <v>12000</v>
      </c>
      <c r="I61" s="28" t="s">
        <v>83</v>
      </c>
      <c r="J61" s="30">
        <v>45809</v>
      </c>
      <c r="K61" s="28" t="s">
        <v>2082</v>
      </c>
    </row>
    <row r="62" spans="1:11" ht="26.4">
      <c r="A62" s="28">
        <v>61</v>
      </c>
      <c r="B62" s="28" t="s">
        <v>2083</v>
      </c>
      <c r="C62" s="28" t="s">
        <v>23</v>
      </c>
      <c r="D62" s="28" t="s">
        <v>2084</v>
      </c>
      <c r="E62" s="28" t="s">
        <v>2085</v>
      </c>
      <c r="F62" s="28" t="s">
        <v>83</v>
      </c>
      <c r="G62" s="28" t="s">
        <v>83</v>
      </c>
      <c r="H62" s="28">
        <v>33000</v>
      </c>
      <c r="I62" s="28" t="s">
        <v>83</v>
      </c>
      <c r="J62" s="30">
        <v>45809</v>
      </c>
      <c r="K62" s="28" t="s">
        <v>2086</v>
      </c>
    </row>
    <row r="63" spans="1:11" ht="66">
      <c r="A63" s="28">
        <v>62</v>
      </c>
      <c r="B63" s="28" t="s">
        <v>242</v>
      </c>
      <c r="C63" s="28" t="s">
        <v>14</v>
      </c>
      <c r="D63" s="28" t="s">
        <v>2001</v>
      </c>
      <c r="E63" s="28" t="s">
        <v>2087</v>
      </c>
      <c r="F63" s="28" t="s">
        <v>83</v>
      </c>
      <c r="G63" s="28" t="s">
        <v>83</v>
      </c>
      <c r="H63" s="28">
        <v>6300</v>
      </c>
      <c r="I63" s="28" t="s">
        <v>83</v>
      </c>
      <c r="J63" s="30">
        <v>45778</v>
      </c>
      <c r="K63" s="28" t="s">
        <v>2088</v>
      </c>
    </row>
    <row r="64" spans="1:11">
      <c r="A64" s="28">
        <v>63</v>
      </c>
      <c r="B64" s="28" t="s">
        <v>2089</v>
      </c>
      <c r="C64" s="28" t="s">
        <v>14</v>
      </c>
      <c r="D64" s="28" t="s">
        <v>2090</v>
      </c>
      <c r="E64" s="28" t="s">
        <v>83</v>
      </c>
      <c r="F64" s="28">
        <v>750</v>
      </c>
      <c r="G64" s="28">
        <v>2</v>
      </c>
      <c r="H64" s="28">
        <v>1500</v>
      </c>
      <c r="I64" s="28" t="s">
        <v>83</v>
      </c>
      <c r="J64" s="30">
        <v>45809</v>
      </c>
      <c r="K64" s="28" t="s">
        <v>2091</v>
      </c>
    </row>
    <row r="65" spans="1:11" ht="66">
      <c r="A65" s="28">
        <v>64</v>
      </c>
      <c r="B65" s="28" t="s">
        <v>317</v>
      </c>
      <c r="C65" s="28" t="s">
        <v>14</v>
      </c>
      <c r="D65" s="28" t="s">
        <v>2001</v>
      </c>
      <c r="E65" s="28" t="s">
        <v>2092</v>
      </c>
      <c r="F65" s="28" t="s">
        <v>83</v>
      </c>
      <c r="G65" s="28" t="s">
        <v>83</v>
      </c>
      <c r="H65" s="28">
        <v>13000</v>
      </c>
      <c r="I65" s="28" t="s">
        <v>83</v>
      </c>
      <c r="J65" s="30">
        <v>45717</v>
      </c>
      <c r="K65" s="28" t="s">
        <v>2093</v>
      </c>
    </row>
    <row r="66" spans="1:11" ht="66">
      <c r="A66" s="28">
        <v>65</v>
      </c>
      <c r="B66" s="28" t="s">
        <v>317</v>
      </c>
      <c r="C66" s="28" t="s">
        <v>14</v>
      </c>
      <c r="D66" s="28" t="s">
        <v>2001</v>
      </c>
      <c r="E66" s="28" t="s">
        <v>2094</v>
      </c>
      <c r="F66" s="28" t="s">
        <v>83</v>
      </c>
      <c r="G66" s="28" t="s">
        <v>83</v>
      </c>
      <c r="H66" s="28">
        <v>15000</v>
      </c>
      <c r="I66" s="28" t="s">
        <v>83</v>
      </c>
      <c r="J66" s="30">
        <v>45778</v>
      </c>
      <c r="K66" s="28" t="s">
        <v>2095</v>
      </c>
    </row>
    <row r="67" spans="1:11" ht="26.4">
      <c r="A67" s="28">
        <v>66</v>
      </c>
      <c r="B67" s="28" t="s">
        <v>849</v>
      </c>
      <c r="C67" s="28" t="s">
        <v>14</v>
      </c>
      <c r="D67" s="28" t="s">
        <v>2001</v>
      </c>
      <c r="E67" s="28" t="s">
        <v>2096</v>
      </c>
      <c r="F67" s="28" t="s">
        <v>83</v>
      </c>
      <c r="G67" s="28" t="s">
        <v>83</v>
      </c>
      <c r="H67" s="28">
        <v>6500</v>
      </c>
      <c r="I67" s="28" t="s">
        <v>83</v>
      </c>
      <c r="J67" s="30">
        <v>45809</v>
      </c>
      <c r="K67" s="28" t="s">
        <v>2097</v>
      </c>
    </row>
    <row r="68" spans="1:11" ht="26.4">
      <c r="A68" s="28">
        <v>67</v>
      </c>
      <c r="B68" s="28" t="s">
        <v>801</v>
      </c>
      <c r="C68" s="28" t="s">
        <v>14</v>
      </c>
      <c r="D68" s="28" t="s">
        <v>2001</v>
      </c>
      <c r="E68" s="28" t="s">
        <v>2098</v>
      </c>
      <c r="F68" s="28" t="s">
        <v>83</v>
      </c>
      <c r="G68" s="28" t="s">
        <v>83</v>
      </c>
      <c r="H68" s="28">
        <v>3000</v>
      </c>
      <c r="I68" s="28" t="s">
        <v>83</v>
      </c>
      <c r="J68" s="30">
        <v>45778</v>
      </c>
      <c r="K68" s="28"/>
    </row>
    <row r="69" spans="1:11" ht="39.6">
      <c r="A69" s="28">
        <v>68</v>
      </c>
      <c r="B69" s="28" t="s">
        <v>320</v>
      </c>
      <c r="C69" s="28" t="s">
        <v>14</v>
      </c>
      <c r="D69" s="28" t="s">
        <v>2001</v>
      </c>
      <c r="E69" s="28" t="s">
        <v>2099</v>
      </c>
      <c r="F69" s="28" t="s">
        <v>2100</v>
      </c>
      <c r="G69" s="28">
        <v>4</v>
      </c>
      <c r="H69" s="28">
        <v>1800</v>
      </c>
      <c r="I69" s="28" t="s">
        <v>83</v>
      </c>
      <c r="J69" s="30">
        <v>45809</v>
      </c>
      <c r="K69" s="28" t="s">
        <v>2101</v>
      </c>
    </row>
    <row r="70" spans="1:11" ht="39.6">
      <c r="A70" s="28">
        <v>69</v>
      </c>
      <c r="B70" s="28" t="s">
        <v>1412</v>
      </c>
      <c r="C70" s="28" t="s">
        <v>14</v>
      </c>
      <c r="D70" s="28" t="s">
        <v>2102</v>
      </c>
      <c r="E70" s="28" t="s">
        <v>2103</v>
      </c>
      <c r="F70" s="28">
        <v>8000</v>
      </c>
      <c r="G70" s="28" t="s">
        <v>83</v>
      </c>
      <c r="H70" s="28">
        <v>1500</v>
      </c>
      <c r="I70" s="28" t="s">
        <v>83</v>
      </c>
      <c r="J70" s="30">
        <v>45778</v>
      </c>
      <c r="K70" s="28" t="s">
        <v>2104</v>
      </c>
    </row>
    <row r="71" spans="1:11" ht="79.2">
      <c r="A71" s="28">
        <v>73</v>
      </c>
      <c r="B71" s="28" t="s">
        <v>2105</v>
      </c>
      <c r="C71" s="28" t="s">
        <v>14</v>
      </c>
      <c r="D71" s="28" t="s">
        <v>2106</v>
      </c>
      <c r="E71" s="28" t="s">
        <v>2107</v>
      </c>
      <c r="F71" s="28" t="s">
        <v>83</v>
      </c>
      <c r="G71" s="28" t="s">
        <v>83</v>
      </c>
      <c r="H71" s="28">
        <v>10000</v>
      </c>
      <c r="I71" s="28" t="s">
        <v>83</v>
      </c>
      <c r="J71" s="30">
        <v>45514</v>
      </c>
      <c r="K71" s="28" t="s">
        <v>2108</v>
      </c>
    </row>
    <row r="72" spans="1:11">
      <c r="A72" s="28">
        <v>75</v>
      </c>
      <c r="B72" s="28" t="s">
        <v>811</v>
      </c>
      <c r="C72" s="28" t="s">
        <v>14</v>
      </c>
      <c r="D72" s="28" t="s">
        <v>1908</v>
      </c>
      <c r="E72" s="28" t="s">
        <v>2109</v>
      </c>
      <c r="F72" s="28" t="s">
        <v>83</v>
      </c>
      <c r="G72" s="28" t="s">
        <v>83</v>
      </c>
      <c r="H72" s="28">
        <v>3000</v>
      </c>
      <c r="I72" s="28" t="s">
        <v>83</v>
      </c>
      <c r="J72" s="30">
        <v>45820</v>
      </c>
      <c r="K72" s="28" t="s">
        <v>2110</v>
      </c>
    </row>
    <row r="73" spans="1:11" ht="26.4">
      <c r="A73" s="28">
        <v>77</v>
      </c>
      <c r="B73" s="28" t="s">
        <v>811</v>
      </c>
      <c r="C73" s="28" t="s">
        <v>14</v>
      </c>
      <c r="D73" s="28" t="s">
        <v>2102</v>
      </c>
      <c r="E73" s="28" t="s">
        <v>2111</v>
      </c>
      <c r="F73" s="28" t="s">
        <v>83</v>
      </c>
      <c r="G73" s="28" t="s">
        <v>83</v>
      </c>
      <c r="H73" s="28">
        <v>13500</v>
      </c>
      <c r="I73" s="28" t="s">
        <v>83</v>
      </c>
      <c r="J73" s="30">
        <v>45413</v>
      </c>
      <c r="K73" s="28" t="s">
        <v>2112</v>
      </c>
    </row>
    <row r="74" spans="1:11" ht="79.2">
      <c r="A74" s="28">
        <v>79</v>
      </c>
      <c r="B74" s="28" t="s">
        <v>876</v>
      </c>
      <c r="C74" s="28" t="s">
        <v>14</v>
      </c>
      <c r="D74" s="28" t="s">
        <v>2102</v>
      </c>
      <c r="E74" s="28" t="s">
        <v>2111</v>
      </c>
      <c r="F74" s="28" t="s">
        <v>83</v>
      </c>
      <c r="G74" s="28" t="s">
        <v>83</v>
      </c>
      <c r="H74" s="28">
        <v>20200</v>
      </c>
      <c r="I74" s="28" t="s">
        <v>83</v>
      </c>
      <c r="J74" s="30">
        <v>45778</v>
      </c>
      <c r="K74" s="28" t="s">
        <v>2113</v>
      </c>
    </row>
    <row r="75" spans="1:11" ht="39.6">
      <c r="A75" s="28">
        <v>81</v>
      </c>
      <c r="B75" s="28" t="s">
        <v>2114</v>
      </c>
      <c r="C75" s="28" t="s">
        <v>14</v>
      </c>
      <c r="D75" s="28" t="s">
        <v>2102</v>
      </c>
      <c r="E75" s="28" t="s">
        <v>2111</v>
      </c>
      <c r="F75" s="28" t="s">
        <v>83</v>
      </c>
      <c r="G75" s="28" t="s">
        <v>83</v>
      </c>
      <c r="H75" s="28">
        <v>15000</v>
      </c>
      <c r="I75" s="28" t="s">
        <v>83</v>
      </c>
      <c r="J75" s="30">
        <v>45413</v>
      </c>
      <c r="K75" s="28" t="s">
        <v>2115</v>
      </c>
    </row>
    <row r="76" spans="1:11" ht="52.8">
      <c r="A76" s="28">
        <v>82</v>
      </c>
      <c r="B76" s="28" t="s">
        <v>395</v>
      </c>
      <c r="C76" s="28" t="s">
        <v>14</v>
      </c>
      <c r="D76" s="28" t="s">
        <v>2116</v>
      </c>
      <c r="E76" s="28" t="s">
        <v>2117</v>
      </c>
      <c r="F76" s="28" t="s">
        <v>83</v>
      </c>
      <c r="G76" s="28" t="s">
        <v>83</v>
      </c>
      <c r="H76" s="28">
        <v>6000</v>
      </c>
      <c r="I76" s="28" t="s">
        <v>83</v>
      </c>
      <c r="J76" s="30" t="s">
        <v>2118</v>
      </c>
      <c r="K76" s="28" t="s">
        <v>2119</v>
      </c>
    </row>
    <row r="77" spans="1:11">
      <c r="A77" s="28"/>
      <c r="B77" s="28"/>
      <c r="C77" s="28"/>
      <c r="D77" s="28"/>
      <c r="E77" s="28"/>
      <c r="F77" s="28"/>
      <c r="G77" s="28"/>
      <c r="H77" s="28">
        <f>SUM(H2:H76)</f>
        <v>1633471</v>
      </c>
      <c r="I77" s="28"/>
      <c r="J77" s="30"/>
      <c r="K77" s="28"/>
    </row>
  </sheetData>
  <hyperlinks>
    <hyperlink ref="A1" r:id="rId1" xr:uid="{0FF5674B-6DBB-418F-87D6-20F6C0965387}"/>
    <hyperlink ref="K2" r:id="rId2" xr:uid="{60143B10-0B98-4219-9503-E269A7A36507}"/>
    <hyperlink ref="K3" r:id="rId3" xr:uid="{94E1027A-585B-4024-8DCF-A15B23791BAE}"/>
    <hyperlink ref="K4" r:id="rId4" xr:uid="{FEC7346B-BC56-49BA-B965-786286303EC7}"/>
    <hyperlink ref="K5" r:id="rId5" xr:uid="{C6185322-79B0-4BEF-9B98-58A298EF21B4}"/>
    <hyperlink ref="K6" r:id="rId6" xr:uid="{5ED8C559-724E-488F-B8B3-422F93AE1834}"/>
    <hyperlink ref="K7" r:id="rId7" xr:uid="{80FE9BF6-DDD1-4D1E-8D53-86DEE0A4E650}"/>
    <hyperlink ref="K11" r:id="rId8" xr:uid="{8B4A268D-5CFF-4C27-BC0F-9BEABDAADD2B}"/>
    <hyperlink ref="K12" r:id="rId9" xr:uid="{BB943930-5AEE-4E42-8A70-6DD398826379}"/>
    <hyperlink ref="K14" r:id="rId10" xr:uid="{96844E7B-2532-43B9-91D5-97C744FA2B54}"/>
    <hyperlink ref="K15" r:id="rId11" xr:uid="{69D9B349-C915-435D-92B4-29C7675CBC79}"/>
    <hyperlink ref="K19" r:id="rId12" xr:uid="{DDF092DA-5796-4236-9B64-2C1C40CB45CA}"/>
    <hyperlink ref="K20" r:id="rId13" xr:uid="{9FB60E02-E9B2-424E-8E4D-82C9B8755C13}"/>
    <hyperlink ref="K21" r:id="rId14" xr:uid="{DBEAD761-54FA-4787-94CE-4E4F9BD19118}"/>
    <hyperlink ref="K22" r:id="rId15" xr:uid="{F14166CF-6A4F-48E1-80D5-E0410BF15661}"/>
    <hyperlink ref="K24" r:id="rId16" xr:uid="{9964207F-9E2D-41F0-8E16-EE899FB6D5AE}"/>
    <hyperlink ref="K26" r:id="rId17" xr:uid="{BC5125C2-296C-4FD1-9915-8CDAF2851CA0}"/>
    <hyperlink ref="K27" r:id="rId18" xr:uid="{4951B089-8E37-42D1-BBDF-3FD416E2F617}"/>
    <hyperlink ref="K28" r:id="rId19" xr:uid="{9DA40701-827E-4D34-B486-ECF2EC3F80FD}"/>
    <hyperlink ref="K29" r:id="rId20" xr:uid="{64D6C5A3-BD2C-4933-B5D6-2D34A3CF5A84}"/>
    <hyperlink ref="K31" r:id="rId21" xr:uid="{C03222EA-BC15-4116-AADF-501C2A6C2676}"/>
    <hyperlink ref="K32" r:id="rId22" xr:uid="{74CCBADA-F465-4E9D-BA01-F377CEC35FE9}"/>
    <hyperlink ref="K33" r:id="rId23" xr:uid="{E5A1050A-2738-415F-88C3-FC143700D061}"/>
    <hyperlink ref="K35" r:id="rId24" xr:uid="{FE449526-F21A-4283-A5CA-B3612832E073}"/>
    <hyperlink ref="K36" r:id="rId25" xr:uid="{95D66DDE-6647-48B0-9B0F-312495BCE156}"/>
    <hyperlink ref="K37" r:id="rId26" xr:uid="{376A08A4-6CA4-4A06-9514-2454719A182B}"/>
    <hyperlink ref="K38" r:id="rId27" xr:uid="{10A76AB8-735F-4D00-9545-B5D50EC6BFEF}"/>
    <hyperlink ref="K39" r:id="rId28" xr:uid="{F56F98B2-88C1-4B3C-A0A4-CD07797D28B0}"/>
    <hyperlink ref="K41" r:id="rId29" xr:uid="{54D7A0FD-6D6A-4302-AADD-B215F5C1FB5E}"/>
    <hyperlink ref="K42" r:id="rId30" xr:uid="{25A5ED11-C459-40C3-B656-CD62706B3433}"/>
    <hyperlink ref="E43" r:id="rId31" xr:uid="{A86A209E-349B-47F9-AEF6-E0773A4217B7}"/>
    <hyperlink ref="K43" r:id="rId32" xr:uid="{6B68F22A-C130-4C31-B29E-0C48889BEAE6}"/>
    <hyperlink ref="K44" r:id="rId33" xr:uid="{54B4F51F-9DE2-47F2-B57F-855D166B57F9}"/>
    <hyperlink ref="K45" r:id="rId34" xr:uid="{368FA2DE-D594-4EF6-9F2C-5A91C0C12110}"/>
    <hyperlink ref="K47" r:id="rId35" xr:uid="{364B100C-9980-4B00-B083-104EA922F09C}"/>
    <hyperlink ref="K48" r:id="rId36" xr:uid="{E45245AC-0C9A-4FCE-8B4B-2DCAC1B21CA2}"/>
    <hyperlink ref="K49" r:id="rId37" xr:uid="{9DF81917-2D9D-4EA4-8147-674B357DC92D}"/>
    <hyperlink ref="K50" r:id="rId38" xr:uid="{5656719A-1364-4DA6-B3DA-4E79421A98B5}"/>
    <hyperlink ref="K51" r:id="rId39" xr:uid="{E2DBF91D-6670-4A3E-ADEC-B2DED5E63061}"/>
    <hyperlink ref="K52" r:id="rId40" xr:uid="{DAF181AA-01CF-457E-9C22-F8C14161D818}"/>
    <hyperlink ref="K53" r:id="rId41" xr:uid="{06BD9744-FFC8-45D6-997D-4E987D7CAAA8}"/>
    <hyperlink ref="K54" r:id="rId42" xr:uid="{E40B714B-9D75-4708-BE26-8ACCF08C3A26}"/>
    <hyperlink ref="K55" r:id="rId43" xr:uid="{03677C0D-127D-4B0D-A240-F46D9FF8CE2A}"/>
    <hyperlink ref="K56" r:id="rId44" xr:uid="{BA70AC36-2ABF-42C2-9EFD-B49AB8110DE3}"/>
    <hyperlink ref="K57" r:id="rId45" xr:uid="{2CE2F9AF-939E-4B9A-AD06-3B47C0D3BB17}"/>
    <hyperlink ref="K58" r:id="rId46" xr:uid="{6AF21414-66F6-4FE8-8257-8CADF790F4D6}"/>
    <hyperlink ref="K59" r:id="rId47" xr:uid="{E9DECD31-2B4A-4644-ACFC-30816C9159D2}"/>
    <hyperlink ref="K60" r:id="rId48" xr:uid="{0E33F88A-78E7-4628-BBDD-FBEEB2E53E4E}"/>
    <hyperlink ref="K61" r:id="rId49" xr:uid="{A95389D8-FAC2-4DD1-9828-07EF25BB6980}"/>
    <hyperlink ref="K62" r:id="rId50" xr:uid="{EBBA2D66-F411-4C8A-B158-1623F44131BA}"/>
    <hyperlink ref="K63" r:id="rId51" xr:uid="{17867115-BF6E-41B4-B265-779A74357393}"/>
    <hyperlink ref="K64" r:id="rId52" xr:uid="{84FEED6A-848F-46FE-BFDD-D48F844E2B5C}"/>
    <hyperlink ref="K65" r:id="rId53" xr:uid="{961299E2-D665-42A3-B140-4CE953444340}"/>
    <hyperlink ref="K66" r:id="rId54" xr:uid="{DC0A185B-D66B-40F0-ACEE-F749507FA672}"/>
    <hyperlink ref="K67" r:id="rId55" xr:uid="{06CE6800-EA9F-42BF-9872-F3B943CCD0CC}"/>
    <hyperlink ref="K69" r:id="rId56" xr:uid="{41882A7C-6E6F-40FE-87CF-FA7A957E85FA}"/>
    <hyperlink ref="K70" r:id="rId57" xr:uid="{F514F577-87BA-4ABC-8CCA-36982BABF5BD}"/>
    <hyperlink ref="K71" r:id="rId58" xr:uid="{612ED8D0-3ADA-4FD8-8B8F-EB1C22B9655B}"/>
    <hyperlink ref="K72" r:id="rId59" xr:uid="{4377BEB5-F2E8-4C83-A724-DCA054C485C4}"/>
    <hyperlink ref="K73" r:id="rId60" xr:uid="{7D92088B-2D0D-45DA-BC78-EA5DA02FA7E9}"/>
    <hyperlink ref="K74" r:id="rId61" xr:uid="{9A20D531-9A1D-42DD-A0EB-30E34537EBBF}"/>
    <hyperlink ref="K75" r:id="rId62" xr:uid="{39139430-BD4F-4626-9C5E-549D071596CE}"/>
    <hyperlink ref="K76" r:id="rId63" xr:uid="{F082E104-736C-4FE1-B85F-4AFFCD0B82FE}"/>
  </hyperlinks>
  <pageMargins left="0.7" right="0.7" top="0.75" bottom="0.75" header="0.3" footer="0.3"/>
  <tableParts count="1">
    <tablePart r:id="rId6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B0B4-F5D3-4F2E-A487-769BC6E38F93}">
  <dimension ref="A1:N47"/>
  <sheetViews>
    <sheetView zoomScale="85" workbookViewId="0">
      <selection activeCell="J8" sqref="J8"/>
    </sheetView>
  </sheetViews>
  <sheetFormatPr defaultRowHeight="13.2"/>
  <cols>
    <col min="2" max="2" width="34.33203125" customWidth="1"/>
    <col min="3" max="3" width="13" customWidth="1"/>
    <col min="4" max="4" width="24.44140625" customWidth="1"/>
    <col min="5" max="5" width="36.88671875" customWidth="1"/>
    <col min="6" max="6" width="30.21875" customWidth="1"/>
    <col min="7" max="7" width="40.21875" customWidth="1"/>
    <col min="8" max="8" width="20.44140625" customWidth="1"/>
    <col min="9" max="9" width="43.33203125" customWidth="1"/>
    <col min="10" max="10" width="29.44140625" customWidth="1"/>
    <col min="11" max="11" width="32.21875" customWidth="1"/>
    <col min="12" max="12" width="24.6640625" customWidth="1"/>
  </cols>
  <sheetData>
    <row r="1" spans="1:14" ht="26.4">
      <c r="A1" s="28" t="s">
        <v>1899</v>
      </c>
      <c r="B1" s="28" t="s">
        <v>69</v>
      </c>
      <c r="C1" s="28" t="s">
        <v>71</v>
      </c>
      <c r="D1" s="28" t="s">
        <v>2120</v>
      </c>
      <c r="E1" s="28" t="s">
        <v>2121</v>
      </c>
      <c r="F1" s="28" t="s">
        <v>1903</v>
      </c>
      <c r="G1" s="28" t="s">
        <v>2122</v>
      </c>
      <c r="H1" s="28" t="s">
        <v>2123</v>
      </c>
      <c r="I1" s="28" t="s">
        <v>2124</v>
      </c>
      <c r="J1" s="28" t="s">
        <v>2125</v>
      </c>
      <c r="K1" s="28" t="s">
        <v>1907</v>
      </c>
      <c r="L1" s="28"/>
      <c r="M1" s="28"/>
      <c r="N1" s="28"/>
    </row>
    <row r="2" spans="1:14" ht="52.8">
      <c r="A2" s="28">
        <v>1</v>
      </c>
      <c r="B2" s="28" t="s">
        <v>1258</v>
      </c>
      <c r="C2" s="28" t="s">
        <v>16</v>
      </c>
      <c r="D2" s="28" t="s">
        <v>2126</v>
      </c>
      <c r="E2" s="28" t="s">
        <v>2127</v>
      </c>
      <c r="F2" s="28">
        <v>153</v>
      </c>
      <c r="G2" s="28">
        <v>23050</v>
      </c>
      <c r="H2" s="28" t="s">
        <v>86</v>
      </c>
      <c r="I2" s="28" t="s">
        <v>1911</v>
      </c>
      <c r="J2" s="30">
        <v>45536</v>
      </c>
      <c r="K2" s="28" t="s">
        <v>2128</v>
      </c>
      <c r="L2" s="28"/>
      <c r="M2" s="28"/>
      <c r="N2" s="28"/>
    </row>
    <row r="3" spans="1:14" ht="39.6">
      <c r="A3" s="28">
        <v>2</v>
      </c>
      <c r="B3" s="28" t="s">
        <v>2129</v>
      </c>
      <c r="C3" s="28" t="s">
        <v>23</v>
      </c>
      <c r="D3" s="28" t="s">
        <v>2130</v>
      </c>
      <c r="E3" s="28" t="s">
        <v>40</v>
      </c>
      <c r="F3" s="28">
        <v>200</v>
      </c>
      <c r="G3" s="28">
        <v>11000</v>
      </c>
      <c r="H3" s="28" t="s">
        <v>86</v>
      </c>
      <c r="I3" s="28" t="s">
        <v>2131</v>
      </c>
      <c r="J3" s="30" t="s">
        <v>2132</v>
      </c>
      <c r="K3" s="28" t="s">
        <v>2133</v>
      </c>
      <c r="L3" s="28"/>
      <c r="M3" s="28"/>
      <c r="N3" s="28"/>
    </row>
    <row r="4" spans="1:14">
      <c r="A4" s="28">
        <v>3</v>
      </c>
      <c r="B4" s="28" t="s">
        <v>2134</v>
      </c>
      <c r="C4" s="28" t="s">
        <v>1787</v>
      </c>
      <c r="D4" s="28" t="s">
        <v>2135</v>
      </c>
      <c r="E4" s="28">
        <v>200</v>
      </c>
      <c r="F4" s="28">
        <v>10</v>
      </c>
      <c r="G4" s="28">
        <v>2000</v>
      </c>
      <c r="H4" s="28" t="s">
        <v>86</v>
      </c>
      <c r="I4" s="28" t="s">
        <v>83</v>
      </c>
      <c r="J4" s="30">
        <v>45627</v>
      </c>
      <c r="K4" s="28" t="s">
        <v>83</v>
      </c>
      <c r="L4" s="28"/>
      <c r="M4" s="28"/>
      <c r="N4" s="28"/>
    </row>
    <row r="5" spans="1:14" ht="26.4">
      <c r="A5" s="28">
        <v>4</v>
      </c>
      <c r="B5" s="28" t="s">
        <v>2136</v>
      </c>
      <c r="C5" s="28" t="s">
        <v>24</v>
      </c>
      <c r="D5" s="28" t="s">
        <v>2137</v>
      </c>
      <c r="E5" s="28">
        <v>200</v>
      </c>
      <c r="F5" s="28">
        <v>1</v>
      </c>
      <c r="G5" s="28">
        <v>0</v>
      </c>
      <c r="H5" s="28" t="s">
        <v>86</v>
      </c>
      <c r="I5" s="28" t="s">
        <v>2138</v>
      </c>
      <c r="J5" s="30" t="s">
        <v>83</v>
      </c>
      <c r="K5" s="28" t="s">
        <v>83</v>
      </c>
      <c r="L5" s="28"/>
      <c r="M5" s="28"/>
      <c r="N5" s="28"/>
    </row>
    <row r="6" spans="1:14">
      <c r="A6" s="28">
        <v>5</v>
      </c>
      <c r="B6" s="28" t="s">
        <v>2134</v>
      </c>
      <c r="C6" s="28" t="s">
        <v>1787</v>
      </c>
      <c r="D6" s="28" t="s">
        <v>2135</v>
      </c>
      <c r="E6" s="28">
        <v>200</v>
      </c>
      <c r="F6" s="28">
        <v>10</v>
      </c>
      <c r="G6" s="28">
        <v>2000</v>
      </c>
      <c r="H6" s="28" t="s">
        <v>86</v>
      </c>
      <c r="I6" s="28" t="s">
        <v>83</v>
      </c>
      <c r="J6" s="30">
        <v>45658</v>
      </c>
      <c r="K6" s="28" t="s">
        <v>83</v>
      </c>
      <c r="L6" s="28"/>
      <c r="M6" s="28"/>
      <c r="N6" s="28"/>
    </row>
    <row r="7" spans="1:14">
      <c r="A7" s="28">
        <v>6</v>
      </c>
      <c r="B7" s="28" t="s">
        <v>2139</v>
      </c>
      <c r="C7" s="28" t="s">
        <v>23</v>
      </c>
      <c r="D7" s="28" t="s">
        <v>2140</v>
      </c>
      <c r="E7" s="28" t="s">
        <v>40</v>
      </c>
      <c r="F7" s="28">
        <v>100</v>
      </c>
      <c r="G7" s="28">
        <v>40000</v>
      </c>
      <c r="H7" s="28" t="s">
        <v>86</v>
      </c>
      <c r="I7" s="28" t="s">
        <v>2131</v>
      </c>
      <c r="J7" s="30">
        <v>45682</v>
      </c>
      <c r="K7" s="28" t="s">
        <v>83</v>
      </c>
      <c r="L7" s="28"/>
      <c r="M7" s="28"/>
      <c r="N7" s="28"/>
    </row>
    <row r="8" spans="1:14" ht="66">
      <c r="A8" s="28">
        <v>7</v>
      </c>
      <c r="B8" s="28" t="s">
        <v>2141</v>
      </c>
      <c r="C8" s="28" t="s">
        <v>14</v>
      </c>
      <c r="D8" s="28" t="s">
        <v>2142</v>
      </c>
      <c r="E8" s="28">
        <v>500</v>
      </c>
      <c r="F8" s="28">
        <v>61</v>
      </c>
      <c r="G8" s="28">
        <v>30500</v>
      </c>
      <c r="H8" s="28" t="s">
        <v>86</v>
      </c>
      <c r="I8" s="28" t="s">
        <v>2143</v>
      </c>
      <c r="J8" s="30">
        <v>45689</v>
      </c>
      <c r="K8" s="28" t="s">
        <v>83</v>
      </c>
      <c r="L8" s="28"/>
      <c r="M8" s="28"/>
      <c r="N8" s="28"/>
    </row>
    <row r="9" spans="1:14">
      <c r="A9" s="28">
        <v>8</v>
      </c>
      <c r="B9" s="28" t="s">
        <v>2134</v>
      </c>
      <c r="C9" s="28" t="s">
        <v>1787</v>
      </c>
      <c r="D9" s="28" t="s">
        <v>2135</v>
      </c>
      <c r="E9" s="28">
        <v>200</v>
      </c>
      <c r="F9" s="28" t="s">
        <v>83</v>
      </c>
      <c r="G9" s="28">
        <v>30000</v>
      </c>
      <c r="H9" s="28" t="s">
        <v>86</v>
      </c>
      <c r="I9" s="28" t="s">
        <v>83</v>
      </c>
      <c r="J9" s="30">
        <v>45717</v>
      </c>
      <c r="K9" s="28" t="s">
        <v>83</v>
      </c>
      <c r="L9" s="28"/>
      <c r="M9" s="28"/>
      <c r="N9" s="28"/>
    </row>
    <row r="10" spans="1:14">
      <c r="A10" s="28">
        <v>9</v>
      </c>
      <c r="B10" s="28" t="s">
        <v>2144</v>
      </c>
      <c r="C10" s="28" t="s">
        <v>2145</v>
      </c>
      <c r="D10" s="28" t="s">
        <v>2146</v>
      </c>
      <c r="E10" s="28">
        <v>200</v>
      </c>
      <c r="F10" s="28">
        <v>62</v>
      </c>
      <c r="G10" s="28">
        <v>12000</v>
      </c>
      <c r="H10" s="28" t="s">
        <v>83</v>
      </c>
      <c r="I10" s="28" t="s">
        <v>2147</v>
      </c>
      <c r="J10" s="30">
        <v>45717</v>
      </c>
      <c r="K10" s="28" t="s">
        <v>83</v>
      </c>
      <c r="L10" s="28"/>
      <c r="M10" s="28"/>
      <c r="N10" s="28"/>
    </row>
    <row r="11" spans="1:14" ht="52.8">
      <c r="A11" s="28">
        <v>10</v>
      </c>
      <c r="B11" s="28" t="s">
        <v>764</v>
      </c>
      <c r="C11" s="28" t="s">
        <v>23</v>
      </c>
      <c r="D11" s="28" t="s">
        <v>2148</v>
      </c>
      <c r="E11" s="28" t="s">
        <v>40</v>
      </c>
      <c r="F11" s="28">
        <v>200</v>
      </c>
      <c r="G11" s="28">
        <v>12000</v>
      </c>
      <c r="H11" s="28" t="s">
        <v>86</v>
      </c>
      <c r="I11" s="28" t="s">
        <v>2149</v>
      </c>
      <c r="J11" s="30" t="s">
        <v>2150</v>
      </c>
      <c r="K11" s="33" t="s">
        <v>3011</v>
      </c>
      <c r="L11" s="28" t="s">
        <v>2151</v>
      </c>
      <c r="M11" s="28"/>
      <c r="N11" s="28"/>
    </row>
    <row r="12" spans="1:14" ht="39.6">
      <c r="A12" s="28">
        <v>11</v>
      </c>
      <c r="B12" s="28" t="s">
        <v>2141</v>
      </c>
      <c r="C12" s="28" t="s">
        <v>14</v>
      </c>
      <c r="D12" s="28" t="s">
        <v>2152</v>
      </c>
      <c r="E12" s="28" t="s">
        <v>83</v>
      </c>
      <c r="F12" s="28" t="s">
        <v>83</v>
      </c>
      <c r="G12" s="28">
        <v>28000</v>
      </c>
      <c r="H12" s="28" t="s">
        <v>86</v>
      </c>
      <c r="I12" s="28" t="s">
        <v>2153</v>
      </c>
      <c r="J12" s="30" t="s">
        <v>2154</v>
      </c>
      <c r="K12" s="28" t="s">
        <v>83</v>
      </c>
      <c r="L12" s="28"/>
      <c r="M12" s="28"/>
      <c r="N12" s="28"/>
    </row>
    <row r="13" spans="1:14">
      <c r="A13" s="28">
        <v>12</v>
      </c>
      <c r="B13" s="28" t="s">
        <v>1258</v>
      </c>
      <c r="C13" s="28" t="s">
        <v>16</v>
      </c>
      <c r="D13" s="28" t="s">
        <v>2155</v>
      </c>
      <c r="E13" s="28" t="s">
        <v>83</v>
      </c>
      <c r="F13" s="28">
        <v>40</v>
      </c>
      <c r="G13" s="28">
        <v>10000</v>
      </c>
      <c r="H13" s="28" t="s">
        <v>86</v>
      </c>
      <c r="I13" s="28" t="s">
        <v>2156</v>
      </c>
      <c r="J13" s="30" t="s">
        <v>83</v>
      </c>
      <c r="K13" s="28" t="s">
        <v>2157</v>
      </c>
      <c r="L13" s="28"/>
      <c r="M13" s="28"/>
      <c r="N13" s="28"/>
    </row>
    <row r="14" spans="1:14">
      <c r="A14" s="28">
        <v>13</v>
      </c>
      <c r="B14" s="28" t="s">
        <v>1258</v>
      </c>
      <c r="C14" s="28" t="s">
        <v>16</v>
      </c>
      <c r="D14" s="28" t="s">
        <v>2155</v>
      </c>
      <c r="E14" s="28" t="s">
        <v>83</v>
      </c>
      <c r="F14" s="28">
        <v>35</v>
      </c>
      <c r="G14" s="28">
        <v>6000</v>
      </c>
      <c r="H14" s="28" t="s">
        <v>86</v>
      </c>
      <c r="I14" s="28" t="s">
        <v>2158</v>
      </c>
      <c r="J14" s="30" t="s">
        <v>83</v>
      </c>
      <c r="K14" s="28" t="s">
        <v>2159</v>
      </c>
      <c r="L14" s="28"/>
      <c r="M14" s="28"/>
      <c r="N14" s="28"/>
    </row>
    <row r="15" spans="1:14" ht="39.6">
      <c r="A15" s="28">
        <v>14</v>
      </c>
      <c r="B15" s="28" t="s">
        <v>1258</v>
      </c>
      <c r="C15" s="28" t="s">
        <v>16</v>
      </c>
      <c r="D15" s="28" t="s">
        <v>2155</v>
      </c>
      <c r="E15" s="28" t="s">
        <v>83</v>
      </c>
      <c r="F15" s="28">
        <v>35</v>
      </c>
      <c r="G15" s="28">
        <v>6000</v>
      </c>
      <c r="H15" s="28" t="s">
        <v>86</v>
      </c>
      <c r="I15" s="28" t="s">
        <v>2160</v>
      </c>
      <c r="J15" s="30" t="s">
        <v>83</v>
      </c>
      <c r="K15" s="28" t="s">
        <v>2161</v>
      </c>
      <c r="L15" s="28"/>
      <c r="M15" s="28"/>
      <c r="N15" s="28"/>
    </row>
    <row r="16" spans="1:14" ht="52.8">
      <c r="A16" s="28">
        <v>15</v>
      </c>
      <c r="B16" s="28" t="s">
        <v>764</v>
      </c>
      <c r="C16" s="28" t="s">
        <v>23</v>
      </c>
      <c r="D16" s="28" t="s">
        <v>2148</v>
      </c>
      <c r="E16" s="28" t="s">
        <v>40</v>
      </c>
      <c r="F16" s="28">
        <v>600</v>
      </c>
      <c r="G16" s="28">
        <v>40000</v>
      </c>
      <c r="H16" s="28" t="s">
        <v>2162</v>
      </c>
      <c r="I16" s="28" t="s">
        <v>2149</v>
      </c>
      <c r="J16" s="30" t="s">
        <v>2163</v>
      </c>
      <c r="K16" s="28" t="s">
        <v>2164</v>
      </c>
      <c r="L16" s="28" t="s">
        <v>2165</v>
      </c>
      <c r="M16" s="28" t="s">
        <v>2166</v>
      </c>
      <c r="N16" s="28" t="s">
        <v>97</v>
      </c>
    </row>
    <row r="17" spans="1:14" ht="39.6">
      <c r="A17" s="28">
        <v>16</v>
      </c>
      <c r="B17" s="28" t="s">
        <v>203</v>
      </c>
      <c r="C17" s="28" t="s">
        <v>23</v>
      </c>
      <c r="D17" s="28" t="s">
        <v>2167</v>
      </c>
      <c r="E17" s="28" t="s">
        <v>83</v>
      </c>
      <c r="F17" s="28">
        <v>15</v>
      </c>
      <c r="G17" s="28">
        <v>8000</v>
      </c>
      <c r="H17" s="28">
        <v>0</v>
      </c>
      <c r="I17" s="28" t="s">
        <v>2168</v>
      </c>
      <c r="J17" s="30">
        <v>45778</v>
      </c>
      <c r="K17" s="28" t="s">
        <v>2169</v>
      </c>
      <c r="L17" s="28"/>
      <c r="M17" s="28"/>
      <c r="N17" s="28"/>
    </row>
    <row r="18" spans="1:14" ht="26.4">
      <c r="A18" s="28">
        <v>17</v>
      </c>
      <c r="B18" s="28" t="s">
        <v>1280</v>
      </c>
      <c r="C18" s="28" t="s">
        <v>16</v>
      </c>
      <c r="D18" s="28" t="s">
        <v>2155</v>
      </c>
      <c r="E18" s="28" t="s">
        <v>83</v>
      </c>
      <c r="F18" s="28" t="s">
        <v>2170</v>
      </c>
      <c r="G18" s="28">
        <v>15000</v>
      </c>
      <c r="H18" s="28" t="s">
        <v>86</v>
      </c>
      <c r="I18" s="28" t="s">
        <v>2171</v>
      </c>
      <c r="J18" s="30">
        <v>45717</v>
      </c>
      <c r="K18" s="28" t="s">
        <v>2172</v>
      </c>
      <c r="L18" s="28"/>
      <c r="M18" s="28"/>
      <c r="N18" s="28"/>
    </row>
    <row r="19" spans="1:14">
      <c r="A19" s="28">
        <v>18</v>
      </c>
      <c r="B19" s="28" t="s">
        <v>1280</v>
      </c>
      <c r="C19" s="28" t="s">
        <v>16</v>
      </c>
      <c r="D19" s="28" t="s">
        <v>2155</v>
      </c>
      <c r="E19" s="28" t="s">
        <v>83</v>
      </c>
      <c r="F19" s="28" t="s">
        <v>2170</v>
      </c>
      <c r="G19" s="28">
        <v>10000</v>
      </c>
      <c r="H19" s="28" t="s">
        <v>86</v>
      </c>
      <c r="I19" s="28" t="s">
        <v>2173</v>
      </c>
      <c r="J19" s="30">
        <v>45748</v>
      </c>
      <c r="K19" s="28" t="s">
        <v>2174</v>
      </c>
      <c r="L19" s="28"/>
      <c r="M19" s="28"/>
      <c r="N19" s="28"/>
    </row>
    <row r="20" spans="1:14" ht="26.4">
      <c r="A20" s="28">
        <v>19</v>
      </c>
      <c r="B20" s="28" t="s">
        <v>659</v>
      </c>
      <c r="C20" s="28" t="s">
        <v>16</v>
      </c>
      <c r="D20" s="28" t="s">
        <v>2155</v>
      </c>
      <c r="E20" s="28" t="s">
        <v>83</v>
      </c>
      <c r="F20" s="28" t="s">
        <v>2027</v>
      </c>
      <c r="G20" s="28">
        <v>15000</v>
      </c>
      <c r="H20" s="28" t="s">
        <v>234</v>
      </c>
      <c r="I20" s="28" t="s">
        <v>2175</v>
      </c>
      <c r="J20" s="30" t="s">
        <v>2176</v>
      </c>
      <c r="K20" s="28" t="s">
        <v>2177</v>
      </c>
      <c r="L20" s="28"/>
      <c r="M20" s="28"/>
      <c r="N20" s="28"/>
    </row>
    <row r="21" spans="1:14" ht="39.6">
      <c r="A21" s="28">
        <v>20</v>
      </c>
      <c r="B21" s="28" t="s">
        <v>2030</v>
      </c>
      <c r="C21" s="28" t="s">
        <v>16</v>
      </c>
      <c r="D21" s="28" t="s">
        <v>2155</v>
      </c>
      <c r="E21" s="28" t="s">
        <v>83</v>
      </c>
      <c r="F21" s="28" t="s">
        <v>2027</v>
      </c>
      <c r="G21" s="28">
        <v>15000</v>
      </c>
      <c r="H21" s="28" t="s">
        <v>234</v>
      </c>
      <c r="I21" s="28" t="s">
        <v>2175</v>
      </c>
      <c r="J21" s="30" t="s">
        <v>2176</v>
      </c>
      <c r="K21" s="28" t="s">
        <v>2178</v>
      </c>
      <c r="L21" s="28"/>
      <c r="M21" s="28"/>
      <c r="N21" s="28"/>
    </row>
    <row r="22" spans="1:14">
      <c r="A22" s="28">
        <v>21</v>
      </c>
      <c r="B22" s="28" t="s">
        <v>2179</v>
      </c>
      <c r="C22" s="28" t="s">
        <v>16</v>
      </c>
      <c r="D22" s="28" t="s">
        <v>2155</v>
      </c>
      <c r="E22" s="28">
        <v>500</v>
      </c>
      <c r="F22" s="28">
        <v>44</v>
      </c>
      <c r="G22" s="28">
        <v>22000</v>
      </c>
      <c r="H22" s="28" t="s">
        <v>234</v>
      </c>
      <c r="I22" s="28" t="s">
        <v>1961</v>
      </c>
      <c r="J22" s="30">
        <v>45689</v>
      </c>
      <c r="K22" s="28" t="s">
        <v>2180</v>
      </c>
      <c r="L22" s="28"/>
      <c r="M22" s="28"/>
      <c r="N22" s="28"/>
    </row>
    <row r="23" spans="1:14" ht="26.4">
      <c r="A23" s="28">
        <v>22</v>
      </c>
      <c r="B23" s="28" t="s">
        <v>665</v>
      </c>
      <c r="C23" s="28" t="s">
        <v>16</v>
      </c>
      <c r="D23" s="28" t="s">
        <v>2155</v>
      </c>
      <c r="E23" s="28">
        <v>1000</v>
      </c>
      <c r="F23" s="28">
        <v>11</v>
      </c>
      <c r="G23" s="28">
        <v>11000</v>
      </c>
      <c r="H23" s="28" t="s">
        <v>234</v>
      </c>
      <c r="I23" s="28" t="s">
        <v>2175</v>
      </c>
      <c r="J23" s="30" t="s">
        <v>1898</v>
      </c>
      <c r="K23" s="28" t="s">
        <v>2181</v>
      </c>
      <c r="L23" s="28"/>
      <c r="M23" s="28"/>
      <c r="N23" s="28"/>
    </row>
    <row r="24" spans="1:14" ht="39.6">
      <c r="A24" s="28">
        <v>23</v>
      </c>
      <c r="B24" s="28" t="s">
        <v>743</v>
      </c>
      <c r="C24" s="28" t="s">
        <v>17</v>
      </c>
      <c r="D24" s="28" t="s">
        <v>2182</v>
      </c>
      <c r="E24" s="28" t="s">
        <v>83</v>
      </c>
      <c r="F24" s="28" t="s">
        <v>83</v>
      </c>
      <c r="G24" s="28">
        <v>10000</v>
      </c>
      <c r="H24" s="28" t="s">
        <v>234</v>
      </c>
      <c r="I24" s="28" t="s">
        <v>2183</v>
      </c>
      <c r="J24" s="30">
        <v>45809</v>
      </c>
      <c r="K24" s="28" t="s">
        <v>2184</v>
      </c>
      <c r="L24" s="28"/>
      <c r="M24" s="28"/>
      <c r="N24" s="28"/>
    </row>
    <row r="25" spans="1:14" ht="26.4">
      <c r="A25" s="28">
        <v>24</v>
      </c>
      <c r="B25" s="28" t="s">
        <v>2185</v>
      </c>
      <c r="C25" s="28" t="s">
        <v>15</v>
      </c>
      <c r="D25" s="28" t="s">
        <v>2186</v>
      </c>
      <c r="E25" s="28">
        <v>1000</v>
      </c>
      <c r="F25" s="28">
        <v>28</v>
      </c>
      <c r="G25" s="28">
        <v>28000</v>
      </c>
      <c r="H25" s="28" t="s">
        <v>234</v>
      </c>
      <c r="I25" s="28" t="s">
        <v>2187</v>
      </c>
      <c r="J25" s="30" t="s">
        <v>2188</v>
      </c>
      <c r="K25" s="28" t="s">
        <v>2189</v>
      </c>
      <c r="L25" s="28"/>
      <c r="M25" s="28"/>
      <c r="N25" s="28"/>
    </row>
    <row r="26" spans="1:14" ht="26.4">
      <c r="A26" s="28">
        <v>25</v>
      </c>
      <c r="B26" s="28" t="s">
        <v>2185</v>
      </c>
      <c r="C26" s="28" t="s">
        <v>15</v>
      </c>
      <c r="D26" s="28" t="s">
        <v>2186</v>
      </c>
      <c r="E26" s="28" t="s">
        <v>83</v>
      </c>
      <c r="F26" s="28" t="s">
        <v>83</v>
      </c>
      <c r="G26" s="28">
        <v>63000</v>
      </c>
      <c r="H26" s="28" t="s">
        <v>234</v>
      </c>
      <c r="I26" s="28" t="s">
        <v>2190</v>
      </c>
      <c r="J26" s="30">
        <v>45809</v>
      </c>
      <c r="K26" s="28" t="s">
        <v>2191</v>
      </c>
      <c r="L26" s="28"/>
      <c r="M26" s="28"/>
      <c r="N26" s="28"/>
    </row>
    <row r="27" spans="1:14" ht="26.4">
      <c r="A27" s="28">
        <v>26</v>
      </c>
      <c r="B27" s="28" t="s">
        <v>190</v>
      </c>
      <c r="C27" s="28" t="s">
        <v>20</v>
      </c>
      <c r="D27" s="28" t="s">
        <v>2192</v>
      </c>
      <c r="E27" s="28">
        <v>200</v>
      </c>
      <c r="F27" s="28">
        <v>22</v>
      </c>
      <c r="G27" s="28">
        <v>4400</v>
      </c>
      <c r="H27" s="28" t="s">
        <v>234</v>
      </c>
      <c r="I27" s="28" t="s">
        <v>2193</v>
      </c>
      <c r="J27" s="30" t="s">
        <v>2194</v>
      </c>
      <c r="K27" s="28" t="s">
        <v>2195</v>
      </c>
      <c r="L27" s="28"/>
      <c r="M27" s="28"/>
      <c r="N27" s="28"/>
    </row>
    <row r="28" spans="1:14" ht="52.8">
      <c r="A28" s="28">
        <v>27</v>
      </c>
      <c r="B28" s="28" t="s">
        <v>1186</v>
      </c>
      <c r="C28" s="28" t="s">
        <v>892</v>
      </c>
      <c r="D28" s="28" t="s">
        <v>2096</v>
      </c>
      <c r="E28" s="28" t="s">
        <v>83</v>
      </c>
      <c r="F28" s="28" t="s">
        <v>83</v>
      </c>
      <c r="G28" s="28">
        <v>3000</v>
      </c>
      <c r="H28" s="28" t="s">
        <v>234</v>
      </c>
      <c r="I28" s="28" t="s">
        <v>2196</v>
      </c>
      <c r="J28" s="30" t="s">
        <v>1513</v>
      </c>
      <c r="K28" s="28" t="s">
        <v>2197</v>
      </c>
      <c r="L28" s="28"/>
      <c r="M28" s="28"/>
      <c r="N28" s="28"/>
    </row>
    <row r="29" spans="1:14" ht="39.6">
      <c r="A29" s="28">
        <v>28</v>
      </c>
      <c r="B29" s="28" t="s">
        <v>2198</v>
      </c>
      <c r="C29" s="28" t="s">
        <v>892</v>
      </c>
      <c r="D29" s="28" t="s">
        <v>2096</v>
      </c>
      <c r="E29" s="28" t="s">
        <v>83</v>
      </c>
      <c r="F29" s="28" t="s">
        <v>83</v>
      </c>
      <c r="G29" s="28">
        <v>15000</v>
      </c>
      <c r="H29" s="28" t="s">
        <v>234</v>
      </c>
      <c r="I29" s="28" t="s">
        <v>2196</v>
      </c>
      <c r="J29" s="30" t="s">
        <v>1513</v>
      </c>
      <c r="K29" s="28" t="s">
        <v>2199</v>
      </c>
      <c r="L29" s="28"/>
      <c r="M29" s="28"/>
      <c r="N29" s="28"/>
    </row>
    <row r="30" spans="1:14" ht="39.6">
      <c r="A30" s="28">
        <v>29</v>
      </c>
      <c r="B30" s="28" t="s">
        <v>2200</v>
      </c>
      <c r="C30" s="28" t="s">
        <v>892</v>
      </c>
      <c r="D30" s="28" t="s">
        <v>2201</v>
      </c>
      <c r="E30" s="28" t="s">
        <v>83</v>
      </c>
      <c r="F30" s="28" t="s">
        <v>83</v>
      </c>
      <c r="G30" s="28">
        <v>124500</v>
      </c>
      <c r="H30" s="28" t="s">
        <v>234</v>
      </c>
      <c r="I30" s="28" t="s">
        <v>2202</v>
      </c>
      <c r="J30" s="30" t="s">
        <v>1513</v>
      </c>
      <c r="K30" s="28" t="s">
        <v>2203</v>
      </c>
      <c r="L30" s="28"/>
      <c r="M30" s="28"/>
      <c r="N30" s="28"/>
    </row>
    <row r="31" spans="1:14">
      <c r="A31" s="28">
        <v>30</v>
      </c>
      <c r="B31" s="28" t="s">
        <v>445</v>
      </c>
      <c r="C31" s="28" t="s">
        <v>16</v>
      </c>
      <c r="D31" s="28" t="s">
        <v>2155</v>
      </c>
      <c r="E31" s="28" t="s">
        <v>2204</v>
      </c>
      <c r="F31" s="28">
        <v>33</v>
      </c>
      <c r="G31" s="28">
        <v>33000</v>
      </c>
      <c r="H31" s="28" t="s">
        <v>234</v>
      </c>
      <c r="I31" s="28" t="s">
        <v>2205</v>
      </c>
      <c r="J31" s="30" t="s">
        <v>1898</v>
      </c>
      <c r="K31" s="28" t="s">
        <v>2206</v>
      </c>
      <c r="L31" s="28"/>
      <c r="M31" s="28"/>
      <c r="N31" s="28"/>
    </row>
    <row r="32" spans="1:14" ht="39.6">
      <c r="A32" s="28">
        <v>31</v>
      </c>
      <c r="B32" s="28" t="s">
        <v>445</v>
      </c>
      <c r="C32" s="28" t="s">
        <v>16</v>
      </c>
      <c r="D32" s="28" t="s">
        <v>2155</v>
      </c>
      <c r="E32" s="28" t="s">
        <v>2204</v>
      </c>
      <c r="F32" s="28">
        <v>30</v>
      </c>
      <c r="G32" s="28">
        <v>30000</v>
      </c>
      <c r="H32" s="28" t="s">
        <v>234</v>
      </c>
      <c r="I32" s="28" t="s">
        <v>2205</v>
      </c>
      <c r="J32" s="30" t="s">
        <v>1898</v>
      </c>
      <c r="K32" s="28" t="s">
        <v>2207</v>
      </c>
      <c r="L32" s="28"/>
      <c r="M32" s="28"/>
      <c r="N32" s="28"/>
    </row>
    <row r="33" spans="1:14" ht="39.6">
      <c r="A33" s="28">
        <v>32</v>
      </c>
      <c r="B33" s="28" t="s">
        <v>786</v>
      </c>
      <c r="C33" s="28" t="s">
        <v>23</v>
      </c>
      <c r="D33" s="28" t="s">
        <v>2130</v>
      </c>
      <c r="E33" s="28" t="s">
        <v>83</v>
      </c>
      <c r="F33" s="28" t="s">
        <v>83</v>
      </c>
      <c r="G33" s="28">
        <v>26500</v>
      </c>
      <c r="H33" s="28" t="s">
        <v>86</v>
      </c>
      <c r="I33" s="28" t="s">
        <v>2208</v>
      </c>
      <c r="J33" s="30">
        <v>45778</v>
      </c>
      <c r="K33" s="28" t="s">
        <v>2209</v>
      </c>
      <c r="L33" s="28"/>
      <c r="M33" s="28"/>
      <c r="N33" s="28"/>
    </row>
    <row r="34" spans="1:14" ht="39.6">
      <c r="A34" s="28">
        <v>33</v>
      </c>
      <c r="B34" s="28" t="s">
        <v>542</v>
      </c>
      <c r="C34" s="28" t="s">
        <v>14</v>
      </c>
      <c r="D34" s="28" t="s">
        <v>2210</v>
      </c>
      <c r="E34" s="28" t="s">
        <v>83</v>
      </c>
      <c r="F34" s="28" t="s">
        <v>83</v>
      </c>
      <c r="G34" s="28">
        <v>2000</v>
      </c>
      <c r="H34" s="28" t="s">
        <v>234</v>
      </c>
      <c r="I34" s="28" t="s">
        <v>2211</v>
      </c>
      <c r="J34" s="30" t="s">
        <v>2212</v>
      </c>
      <c r="K34" s="28" t="s">
        <v>2213</v>
      </c>
      <c r="L34" s="28"/>
      <c r="M34" s="28"/>
      <c r="N34" s="28"/>
    </row>
    <row r="35" spans="1:14" ht="52.8">
      <c r="A35" s="28">
        <v>34</v>
      </c>
      <c r="B35" s="28" t="s">
        <v>2214</v>
      </c>
      <c r="C35" s="28" t="s">
        <v>14</v>
      </c>
      <c r="D35" s="28" t="s">
        <v>2215</v>
      </c>
      <c r="E35" s="28">
        <v>300</v>
      </c>
      <c r="F35" s="28">
        <v>197</v>
      </c>
      <c r="G35" s="28">
        <v>59000</v>
      </c>
      <c r="H35" s="28" t="s">
        <v>86</v>
      </c>
      <c r="I35" s="28" t="s">
        <v>2216</v>
      </c>
      <c r="J35" s="30" t="s">
        <v>2217</v>
      </c>
      <c r="K35" s="28" t="s">
        <v>2218</v>
      </c>
      <c r="L35" s="28"/>
      <c r="M35" s="28"/>
      <c r="N35" s="28"/>
    </row>
    <row r="36" spans="1:14">
      <c r="A36" s="28">
        <v>35</v>
      </c>
      <c r="B36" s="28" t="s">
        <v>2219</v>
      </c>
      <c r="C36" s="28" t="s">
        <v>14</v>
      </c>
      <c r="D36" s="28" t="s">
        <v>2220</v>
      </c>
      <c r="E36" s="28" t="s">
        <v>83</v>
      </c>
      <c r="F36" s="28" t="s">
        <v>83</v>
      </c>
      <c r="G36" s="28">
        <v>33000</v>
      </c>
      <c r="H36" s="28" t="s">
        <v>234</v>
      </c>
      <c r="I36" s="28" t="s">
        <v>2221</v>
      </c>
      <c r="J36" s="30">
        <v>45809</v>
      </c>
      <c r="K36" s="28" t="s">
        <v>2222</v>
      </c>
      <c r="L36" s="28"/>
      <c r="M36" s="28"/>
      <c r="N36" s="28"/>
    </row>
    <row r="37" spans="1:14" ht="26.4">
      <c r="A37" s="28">
        <v>36</v>
      </c>
      <c r="B37" s="28" t="s">
        <v>801</v>
      </c>
      <c r="C37" s="28" t="s">
        <v>14</v>
      </c>
      <c r="D37" s="28" t="s">
        <v>2220</v>
      </c>
      <c r="E37" s="28" t="s">
        <v>83</v>
      </c>
      <c r="F37" s="28" t="s">
        <v>83</v>
      </c>
      <c r="G37" s="28">
        <v>1500</v>
      </c>
      <c r="H37" s="28" t="s">
        <v>234</v>
      </c>
      <c r="I37" s="28" t="s">
        <v>2223</v>
      </c>
      <c r="J37" s="30">
        <v>45809</v>
      </c>
      <c r="K37" s="28" t="s">
        <v>2224</v>
      </c>
      <c r="L37" s="28"/>
      <c r="M37" s="28"/>
      <c r="N37" s="28"/>
    </row>
    <row r="38" spans="1:14" ht="39.6">
      <c r="A38" s="28">
        <v>37</v>
      </c>
      <c r="B38" s="28" t="s">
        <v>1646</v>
      </c>
      <c r="C38" s="28" t="s">
        <v>14</v>
      </c>
      <c r="D38" s="28" t="s">
        <v>2225</v>
      </c>
      <c r="E38" s="28" t="s">
        <v>83</v>
      </c>
      <c r="F38" s="28" t="s">
        <v>83</v>
      </c>
      <c r="G38" s="28">
        <v>10000</v>
      </c>
      <c r="H38" s="28" t="s">
        <v>86</v>
      </c>
      <c r="I38" s="28" t="s">
        <v>2226</v>
      </c>
      <c r="J38" s="30">
        <v>45717</v>
      </c>
      <c r="K38" s="28" t="s">
        <v>2227</v>
      </c>
      <c r="L38" s="28"/>
      <c r="M38" s="28"/>
      <c r="N38" s="28"/>
    </row>
    <row r="39" spans="1:14" ht="26.4">
      <c r="A39" s="28">
        <v>38</v>
      </c>
      <c r="B39" s="28" t="s">
        <v>817</v>
      </c>
      <c r="C39" s="28" t="s">
        <v>14</v>
      </c>
      <c r="D39" s="28" t="s">
        <v>2220</v>
      </c>
      <c r="E39" s="28" t="s">
        <v>83</v>
      </c>
      <c r="F39" s="28" t="s">
        <v>83</v>
      </c>
      <c r="G39" s="28">
        <v>1500</v>
      </c>
      <c r="H39" s="28" t="s">
        <v>234</v>
      </c>
      <c r="I39" s="28" t="s">
        <v>2223</v>
      </c>
      <c r="J39" s="30">
        <v>45809</v>
      </c>
      <c r="K39" s="28" t="s">
        <v>2228</v>
      </c>
      <c r="L39" s="28"/>
      <c r="M39" s="28"/>
      <c r="N39" s="28"/>
    </row>
    <row r="40" spans="1:14" ht="39.6">
      <c r="A40" s="28">
        <v>39</v>
      </c>
      <c r="B40" s="28" t="s">
        <v>819</v>
      </c>
      <c r="C40" s="28" t="s">
        <v>14</v>
      </c>
      <c r="D40" s="28" t="s">
        <v>2229</v>
      </c>
      <c r="E40" s="28" t="s">
        <v>83</v>
      </c>
      <c r="F40" s="28" t="s">
        <v>83</v>
      </c>
      <c r="G40" s="28">
        <v>11000</v>
      </c>
      <c r="H40" s="28" t="s">
        <v>234</v>
      </c>
      <c r="I40" s="28" t="s">
        <v>2230</v>
      </c>
      <c r="J40" s="30">
        <v>45809</v>
      </c>
      <c r="K40" s="28" t="s">
        <v>2231</v>
      </c>
      <c r="L40" s="28"/>
      <c r="M40" s="28"/>
      <c r="N40" s="28"/>
    </row>
    <row r="41" spans="1:14">
      <c r="A41" s="28">
        <v>40</v>
      </c>
      <c r="B41" s="28" t="s">
        <v>811</v>
      </c>
      <c r="C41" s="28" t="s">
        <v>14</v>
      </c>
      <c r="D41" s="28" t="s">
        <v>2220</v>
      </c>
      <c r="E41" s="28" t="s">
        <v>83</v>
      </c>
      <c r="F41" s="28" t="s">
        <v>83</v>
      </c>
      <c r="G41" s="28">
        <v>37500</v>
      </c>
      <c r="H41" s="28" t="s">
        <v>234</v>
      </c>
      <c r="I41" s="28" t="s">
        <v>2232</v>
      </c>
      <c r="J41" s="30">
        <v>45809</v>
      </c>
      <c r="K41" s="28" t="s">
        <v>2233</v>
      </c>
      <c r="L41" s="28"/>
      <c r="M41" s="28"/>
      <c r="N41" s="28"/>
    </row>
    <row r="42" spans="1:14" ht="26.4">
      <c r="A42" s="28">
        <v>41</v>
      </c>
      <c r="B42" s="28" t="s">
        <v>1146</v>
      </c>
      <c r="C42" s="28" t="s">
        <v>14</v>
      </c>
      <c r="D42" s="28" t="s">
        <v>2234</v>
      </c>
      <c r="E42" s="28" t="s">
        <v>2100</v>
      </c>
      <c r="F42" s="28">
        <v>5</v>
      </c>
      <c r="G42" s="28">
        <v>2100</v>
      </c>
      <c r="H42" s="28" t="s">
        <v>234</v>
      </c>
      <c r="I42" s="28" t="s">
        <v>2235</v>
      </c>
      <c r="J42" s="30">
        <v>45809</v>
      </c>
      <c r="K42" s="28" t="s">
        <v>2236</v>
      </c>
      <c r="L42" s="28"/>
      <c r="M42" s="28"/>
      <c r="N42" s="28"/>
    </row>
    <row r="43" spans="1:14" ht="39.6">
      <c r="A43" s="28">
        <v>42</v>
      </c>
      <c r="B43" s="28" t="s">
        <v>819</v>
      </c>
      <c r="C43" s="28" t="s">
        <v>14</v>
      </c>
      <c r="D43" s="28" t="s">
        <v>2229</v>
      </c>
      <c r="E43" s="28" t="s">
        <v>83</v>
      </c>
      <c r="F43" s="28" t="s">
        <v>83</v>
      </c>
      <c r="G43" s="28">
        <v>14000</v>
      </c>
      <c r="H43" s="28" t="s">
        <v>234</v>
      </c>
      <c r="I43" s="28" t="s">
        <v>2230</v>
      </c>
      <c r="J43" s="30">
        <v>45809</v>
      </c>
      <c r="K43" s="28" t="s">
        <v>2237</v>
      </c>
      <c r="L43" s="28"/>
      <c r="M43" s="28"/>
      <c r="N43" s="28"/>
    </row>
    <row r="44" spans="1:14" ht="39.6">
      <c r="A44" s="28">
        <v>43</v>
      </c>
      <c r="B44" s="28" t="s">
        <v>876</v>
      </c>
      <c r="C44" s="28" t="s">
        <v>14</v>
      </c>
      <c r="D44" s="28" t="s">
        <v>2146</v>
      </c>
      <c r="E44" s="28" t="s">
        <v>83</v>
      </c>
      <c r="F44" s="28">
        <v>62</v>
      </c>
      <c r="G44" s="28">
        <v>12201</v>
      </c>
      <c r="H44" s="28" t="s">
        <v>234</v>
      </c>
      <c r="I44" s="28" t="s">
        <v>2238</v>
      </c>
      <c r="J44" s="30">
        <v>45717</v>
      </c>
      <c r="K44" s="28" t="s">
        <v>2239</v>
      </c>
      <c r="L44" s="28"/>
      <c r="M44" s="28"/>
      <c r="N44" s="28"/>
    </row>
    <row r="45" spans="1:14" ht="39.6">
      <c r="A45" s="28">
        <v>44</v>
      </c>
      <c r="B45" s="28" t="s">
        <v>876</v>
      </c>
      <c r="C45" s="28" t="s">
        <v>14</v>
      </c>
      <c r="D45" s="28" t="s">
        <v>2146</v>
      </c>
      <c r="E45" s="28" t="s">
        <v>83</v>
      </c>
      <c r="F45" s="28" t="s">
        <v>83</v>
      </c>
      <c r="G45" s="28">
        <v>3120</v>
      </c>
      <c r="H45" s="28" t="s">
        <v>234</v>
      </c>
      <c r="I45" s="28" t="s">
        <v>2240</v>
      </c>
      <c r="J45" s="30">
        <v>45809</v>
      </c>
      <c r="K45" s="28" t="s">
        <v>2241</v>
      </c>
      <c r="L45" s="28"/>
      <c r="M45" s="28"/>
      <c r="N45" s="28"/>
    </row>
    <row r="46" spans="1:14" ht="39.6">
      <c r="A46" s="28">
        <v>45</v>
      </c>
      <c r="B46" s="28" t="s">
        <v>395</v>
      </c>
      <c r="C46" s="28" t="s">
        <v>14</v>
      </c>
      <c r="D46" s="28" t="s">
        <v>2220</v>
      </c>
      <c r="E46" s="28" t="s">
        <v>83</v>
      </c>
      <c r="F46" s="28" t="s">
        <v>83</v>
      </c>
      <c r="G46" s="28">
        <v>1500</v>
      </c>
      <c r="H46" s="28" t="s">
        <v>234</v>
      </c>
      <c r="I46" s="28" t="s">
        <v>2223</v>
      </c>
      <c r="J46" s="30">
        <v>45809</v>
      </c>
      <c r="K46" s="28" t="s">
        <v>2242</v>
      </c>
      <c r="L46" s="28"/>
      <c r="M46" s="28"/>
      <c r="N46" s="28"/>
    </row>
    <row r="47" spans="1:14">
      <c r="A47" s="28"/>
      <c r="B47" s="28"/>
      <c r="C47" s="28"/>
      <c r="D47" s="28"/>
      <c r="E47" s="28"/>
      <c r="F47" s="28"/>
      <c r="G47" s="28">
        <f>SUM(G2:G46)</f>
        <v>874371</v>
      </c>
      <c r="H47" s="28"/>
      <c r="I47" s="28"/>
      <c r="J47" s="28"/>
      <c r="K47" s="28"/>
      <c r="L47" s="28"/>
      <c r="M47" s="28"/>
      <c r="N47" s="28"/>
    </row>
  </sheetData>
  <hyperlinks>
    <hyperlink ref="A1" r:id="rId1" xr:uid="{85A40B46-E222-4802-A7FA-F929EBFF02A2}"/>
    <hyperlink ref="K2" r:id="rId2" xr:uid="{84F89DB8-8FBA-4146-A76B-0ED01E996AA0}"/>
    <hyperlink ref="K3" r:id="rId3" xr:uid="{90479BE5-F230-47E8-86E8-F3AB44061703}"/>
    <hyperlink ref="K11" r:id="rId4" xr:uid="{E9906C63-F06F-44E4-8DB4-9E47FD85C43D}"/>
    <hyperlink ref="L11" r:id="rId5" xr:uid="{EBD41297-1283-47BB-9B24-5B431D385AD2}"/>
    <hyperlink ref="K13" r:id="rId6" xr:uid="{57DF0978-CF99-4DC6-8539-AAC2FB7D22FC}"/>
    <hyperlink ref="K14" r:id="rId7" xr:uid="{C8679003-180E-47D7-8C8C-AB677C28AC9F}"/>
    <hyperlink ref="K15" r:id="rId8" xr:uid="{1A30E8DC-A04B-4024-BEF1-2C4EF23EA1AC}"/>
    <hyperlink ref="K16" r:id="rId9" xr:uid="{694BA7FE-4EA1-47D5-BCFA-3FB9EC89FD89}"/>
    <hyperlink ref="L16" r:id="rId10" xr:uid="{182244F0-EE92-4C7B-B15F-CC79EE09D245}"/>
    <hyperlink ref="K17" r:id="rId11" xr:uid="{790A5BD0-CB69-4F38-A648-70CFD53811F2}"/>
    <hyperlink ref="K18" r:id="rId12" xr:uid="{A05DE7BD-7346-4D31-B6D4-631FE4805A03}"/>
    <hyperlink ref="K19" r:id="rId13" xr:uid="{CE9AC038-FDE6-45D9-B550-56C9E16163F9}"/>
    <hyperlink ref="K20" r:id="rId14" xr:uid="{1B66B76D-325D-40A4-A1EA-38622BB1E79C}"/>
    <hyperlink ref="K21" r:id="rId15" xr:uid="{32346AF8-449E-4D06-BA1B-2574399DE909}"/>
    <hyperlink ref="K22" r:id="rId16" xr:uid="{3D3A90B8-A541-43F7-B447-2B52076B7A57}"/>
    <hyperlink ref="K23" r:id="rId17" xr:uid="{431432CE-25B0-4956-8C08-A72BE8C5F9B4}"/>
    <hyperlink ref="K24" r:id="rId18" xr:uid="{6AF8E9A3-96A0-44E4-AFC6-130F0BC31CFE}"/>
    <hyperlink ref="K25" r:id="rId19" xr:uid="{ED0F4466-BED7-48C9-BAB4-304300AF610E}"/>
    <hyperlink ref="K26" r:id="rId20" xr:uid="{3CD17376-E2F5-4ABE-B077-5A7FF51166D8}"/>
    <hyperlink ref="K27" r:id="rId21" xr:uid="{2D2293E0-1B25-4D19-A82C-54CFDE566E23}"/>
    <hyperlink ref="K28" r:id="rId22" xr:uid="{359D8D74-1B68-40C9-96D0-53D1A2A602DF}"/>
    <hyperlink ref="K29" r:id="rId23" xr:uid="{4074B86B-87ED-4657-87EC-9B8CCEB8CF46}"/>
    <hyperlink ref="K30" r:id="rId24" xr:uid="{0D89CECF-0112-4CBD-9DD9-23BB8B96C8CD}"/>
    <hyperlink ref="K31" r:id="rId25" xr:uid="{23FB8E2B-4989-44BC-BEC0-85B966E1E82E}"/>
    <hyperlink ref="K32" r:id="rId26" xr:uid="{87F71313-A59E-4089-BC3C-242FE7B16879}"/>
    <hyperlink ref="K33" r:id="rId27" xr:uid="{73533AFC-2EDB-461E-B158-AA3FDC2F9507}"/>
    <hyperlink ref="K34" r:id="rId28" xr:uid="{5F76B115-75C8-47D5-99DF-F1728F9A4B50}"/>
    <hyperlink ref="K35" r:id="rId29" xr:uid="{153800DD-3F11-498F-86EC-F2B0E656C141}"/>
    <hyperlink ref="K36" r:id="rId30" xr:uid="{B8D06CAB-90EF-4CCC-835B-E1B1A29E03F3}"/>
    <hyperlink ref="K37" r:id="rId31" xr:uid="{502B29A6-4498-4C65-90D6-E479C18A1328}"/>
    <hyperlink ref="K38" r:id="rId32" xr:uid="{CF7B15AD-308E-4953-8FBB-B8125CE3A3AF}"/>
    <hyperlink ref="K39" r:id="rId33" xr:uid="{A48535FA-CC90-4226-B7F0-8FD44026D9C4}"/>
    <hyperlink ref="K40" r:id="rId34" xr:uid="{EE1ED72A-3EFA-429C-8633-F396E60E7397}"/>
    <hyperlink ref="K41" r:id="rId35" xr:uid="{80BB5565-E9F5-4F33-8539-EDB862C31F0C}"/>
    <hyperlink ref="K42" r:id="rId36" xr:uid="{3A51437E-9EBB-4A8B-81EF-2765DE2739E2}"/>
    <hyperlink ref="K43" r:id="rId37" xr:uid="{35030BFC-89E4-4F64-B751-63CDBCFCB043}"/>
    <hyperlink ref="K44" r:id="rId38" xr:uid="{EF373B27-D02B-4F89-B257-405338E98DF4}"/>
    <hyperlink ref="K45" r:id="rId39" xr:uid="{47FE976C-DD4F-4DBE-9CE8-EABEDBE5B1F0}"/>
    <hyperlink ref="K46" r:id="rId40" xr:uid="{53DBC182-17EB-450B-87F6-D733FC71F5D3}"/>
  </hyperlinks>
  <pageMargins left="0.7" right="0.7" top="0.75" bottom="0.75" header="0.3" footer="0.3"/>
  <tableParts count="1">
    <tablePart r:id="rId4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F289"/>
  <sheetViews>
    <sheetView zoomScale="132" zoomScaleNormal="115" workbookViewId="0">
      <selection activeCell="D8" sqref="D8"/>
    </sheetView>
  </sheetViews>
  <sheetFormatPr defaultColWidth="12.6640625" defaultRowHeight="13.2"/>
  <cols>
    <col min="1" max="1" width="12.6640625" style="16"/>
    <col min="2" max="2" width="6.88671875" style="16" customWidth="1"/>
    <col min="3" max="3" width="32.44140625" style="16" customWidth="1"/>
    <col min="4" max="5" width="44.21875" style="16" customWidth="1"/>
    <col min="6" max="6" width="27.109375" style="16" customWidth="1"/>
    <col min="7" max="16384" width="12.6640625" style="16"/>
  </cols>
  <sheetData>
    <row r="1" spans="1:6">
      <c r="A1" t="s">
        <v>2243</v>
      </c>
      <c r="B1"/>
      <c r="C1"/>
      <c r="D1"/>
    </row>
    <row r="2" spans="1:6">
      <c r="A2" s="16" t="s">
        <v>71</v>
      </c>
      <c r="B2" s="16" t="s">
        <v>2244</v>
      </c>
      <c r="C2" s="16" t="s">
        <v>2245</v>
      </c>
      <c r="D2" s="16" t="s">
        <v>2246</v>
      </c>
      <c r="E2" s="16" t="s">
        <v>2247</v>
      </c>
      <c r="F2" s="16" t="s">
        <v>2248</v>
      </c>
    </row>
    <row r="3" spans="1:6">
      <c r="A3" s="16" t="s">
        <v>16</v>
      </c>
      <c r="B3" s="16">
        <v>2024</v>
      </c>
      <c r="C3" s="16" t="s">
        <v>1702</v>
      </c>
      <c r="D3" s="16" t="s">
        <v>2249</v>
      </c>
      <c r="E3" s="16" t="s">
        <v>40</v>
      </c>
      <c r="F3" s="16">
        <v>15000</v>
      </c>
    </row>
    <row r="4" spans="1:6">
      <c r="A4" s="16" t="s">
        <v>892</v>
      </c>
      <c r="B4" s="16">
        <v>2024</v>
      </c>
      <c r="C4" s="16" t="s">
        <v>2064</v>
      </c>
      <c r="D4" s="16" t="s">
        <v>83</v>
      </c>
      <c r="E4" s="16" t="s">
        <v>2250</v>
      </c>
      <c r="F4" s="16">
        <v>2000</v>
      </c>
    </row>
    <row r="5" spans="1:6">
      <c r="A5" s="16" t="s">
        <v>892</v>
      </c>
      <c r="B5" s="16">
        <v>2024</v>
      </c>
      <c r="C5" s="16" t="s">
        <v>2078</v>
      </c>
      <c r="D5" s="16" t="s">
        <v>1162</v>
      </c>
      <c r="E5" s="16" t="s">
        <v>83</v>
      </c>
      <c r="F5" s="16">
        <v>1600</v>
      </c>
    </row>
    <row r="6" spans="1:6">
      <c r="A6" s="16" t="s">
        <v>892</v>
      </c>
      <c r="B6" s="16">
        <v>2024</v>
      </c>
      <c r="C6" s="16" t="s">
        <v>1183</v>
      </c>
      <c r="D6" s="16" t="s">
        <v>2251</v>
      </c>
      <c r="E6" s="16" t="s">
        <v>2252</v>
      </c>
      <c r="F6" s="16">
        <v>2000</v>
      </c>
    </row>
    <row r="7" spans="1:6">
      <c r="A7" s="16" t="s">
        <v>892</v>
      </c>
      <c r="B7" s="16">
        <v>2024</v>
      </c>
      <c r="C7" s="16" t="s">
        <v>2253</v>
      </c>
      <c r="D7" s="16" t="s">
        <v>2254</v>
      </c>
      <c r="E7" s="16" t="s">
        <v>83</v>
      </c>
      <c r="F7" s="16">
        <v>2000</v>
      </c>
    </row>
    <row r="8" spans="1:6">
      <c r="A8" s="16" t="s">
        <v>892</v>
      </c>
      <c r="B8" s="16">
        <v>2024</v>
      </c>
      <c r="C8" s="16" t="s">
        <v>2255</v>
      </c>
      <c r="D8" s="16" t="s">
        <v>2251</v>
      </c>
      <c r="E8" s="16" t="s">
        <v>2252</v>
      </c>
      <c r="F8" s="16">
        <v>2000</v>
      </c>
    </row>
    <row r="9" spans="1:6">
      <c r="A9" s="16" t="s">
        <v>892</v>
      </c>
      <c r="B9" s="16">
        <v>2024</v>
      </c>
      <c r="C9" s="16" t="s">
        <v>2256</v>
      </c>
      <c r="D9" s="16" t="s">
        <v>2251</v>
      </c>
      <c r="E9" s="16" t="s">
        <v>2257</v>
      </c>
      <c r="F9" s="16">
        <v>2000</v>
      </c>
    </row>
    <row r="10" spans="1:6">
      <c r="A10" s="16" t="s">
        <v>892</v>
      </c>
      <c r="B10" s="16">
        <v>2024</v>
      </c>
      <c r="C10" s="16" t="s">
        <v>2258</v>
      </c>
      <c r="D10" s="16" t="s">
        <v>2259</v>
      </c>
      <c r="E10" s="16" t="s">
        <v>83</v>
      </c>
      <c r="F10" s="16">
        <v>2000</v>
      </c>
    </row>
    <row r="11" spans="1:6">
      <c r="A11" s="16" t="s">
        <v>892</v>
      </c>
      <c r="B11" s="16">
        <v>2024</v>
      </c>
      <c r="C11" s="16" t="s">
        <v>2260</v>
      </c>
      <c r="D11" s="16" t="s">
        <v>83</v>
      </c>
      <c r="E11" s="16" t="s">
        <v>2261</v>
      </c>
      <c r="F11" s="16">
        <v>2000</v>
      </c>
    </row>
    <row r="12" spans="1:6">
      <c r="A12" s="16" t="s">
        <v>892</v>
      </c>
      <c r="B12" s="16">
        <v>2024</v>
      </c>
      <c r="C12" s="16" t="s">
        <v>2262</v>
      </c>
      <c r="D12" s="16" t="s">
        <v>2251</v>
      </c>
      <c r="E12" s="16" t="s">
        <v>2252</v>
      </c>
      <c r="F12" s="16">
        <v>2000</v>
      </c>
    </row>
    <row r="13" spans="1:6">
      <c r="A13" s="16" t="s">
        <v>892</v>
      </c>
      <c r="B13" s="16">
        <v>2024</v>
      </c>
      <c r="C13" s="16" t="s">
        <v>2263</v>
      </c>
      <c r="D13" s="16" t="s">
        <v>2251</v>
      </c>
      <c r="E13" s="16" t="s">
        <v>2252</v>
      </c>
      <c r="F13" s="16">
        <v>2000</v>
      </c>
    </row>
    <row r="14" spans="1:6">
      <c r="A14" s="16" t="s">
        <v>892</v>
      </c>
      <c r="B14" s="16">
        <v>2024</v>
      </c>
      <c r="C14" s="16" t="s">
        <v>891</v>
      </c>
      <c r="D14" s="16" t="s">
        <v>2251</v>
      </c>
      <c r="E14" s="16" t="s">
        <v>2252</v>
      </c>
      <c r="F14" s="16">
        <v>2000</v>
      </c>
    </row>
    <row r="15" spans="1:6">
      <c r="A15" s="16" t="s">
        <v>892</v>
      </c>
      <c r="B15" s="16">
        <v>2024</v>
      </c>
      <c r="C15" s="16" t="s">
        <v>2264</v>
      </c>
      <c r="D15" s="16" t="s">
        <v>2251</v>
      </c>
      <c r="E15" s="16" t="s">
        <v>2252</v>
      </c>
      <c r="F15" s="16">
        <v>1500</v>
      </c>
    </row>
    <row r="16" spans="1:6">
      <c r="A16" s="16" t="s">
        <v>892</v>
      </c>
      <c r="B16" s="16">
        <v>2024</v>
      </c>
      <c r="C16" s="16" t="s">
        <v>2265</v>
      </c>
      <c r="D16" s="16" t="s">
        <v>83</v>
      </c>
      <c r="E16" s="16" t="s">
        <v>2261</v>
      </c>
      <c r="F16" s="16">
        <v>2000</v>
      </c>
    </row>
    <row r="17" spans="1:6">
      <c r="A17" s="16" t="s">
        <v>892</v>
      </c>
      <c r="B17" s="16">
        <v>2024</v>
      </c>
      <c r="C17" s="16" t="s">
        <v>2266</v>
      </c>
      <c r="D17" s="16" t="s">
        <v>83</v>
      </c>
      <c r="E17" s="16" t="s">
        <v>2252</v>
      </c>
      <c r="F17" s="16">
        <v>1500</v>
      </c>
    </row>
    <row r="18" spans="1:6">
      <c r="A18" s="16" t="s">
        <v>892</v>
      </c>
      <c r="B18" s="16">
        <v>2024</v>
      </c>
      <c r="C18" s="16" t="s">
        <v>2267</v>
      </c>
      <c r="D18" s="16" t="s">
        <v>83</v>
      </c>
      <c r="E18" s="16" t="s">
        <v>2252</v>
      </c>
      <c r="F18" s="16">
        <v>1000</v>
      </c>
    </row>
    <row r="19" spans="1:6">
      <c r="A19" s="16" t="s">
        <v>892</v>
      </c>
      <c r="B19" s="16">
        <v>2024</v>
      </c>
      <c r="C19" s="16" t="s">
        <v>2268</v>
      </c>
      <c r="D19" s="16" t="s">
        <v>2269</v>
      </c>
      <c r="E19" s="16" t="s">
        <v>40</v>
      </c>
      <c r="F19" s="16">
        <v>2000</v>
      </c>
    </row>
    <row r="20" spans="1:6">
      <c r="A20" s="16" t="s">
        <v>892</v>
      </c>
      <c r="B20" s="16">
        <v>2024</v>
      </c>
      <c r="C20" s="16" t="s">
        <v>2270</v>
      </c>
      <c r="D20" s="16" t="s">
        <v>2269</v>
      </c>
      <c r="E20" s="16" t="s">
        <v>40</v>
      </c>
      <c r="F20" s="16">
        <v>1000</v>
      </c>
    </row>
    <row r="21" spans="1:6">
      <c r="A21" s="16" t="s">
        <v>2271</v>
      </c>
      <c r="B21" s="16">
        <v>2024</v>
      </c>
      <c r="C21" s="16" t="s">
        <v>2272</v>
      </c>
      <c r="D21" s="16" t="s">
        <v>2273</v>
      </c>
      <c r="E21" s="16" t="s">
        <v>2274</v>
      </c>
      <c r="F21" s="16">
        <v>10000</v>
      </c>
    </row>
    <row r="22" spans="1:6">
      <c r="A22" s="16" t="s">
        <v>2271</v>
      </c>
      <c r="B22" s="16">
        <v>2024</v>
      </c>
      <c r="C22" s="16" t="s">
        <v>933</v>
      </c>
      <c r="D22" s="16" t="s">
        <v>2273</v>
      </c>
      <c r="E22" s="16" t="s">
        <v>2275</v>
      </c>
      <c r="F22" s="16">
        <v>10000</v>
      </c>
    </row>
    <row r="23" spans="1:6">
      <c r="A23" s="16" t="s">
        <v>2271</v>
      </c>
      <c r="B23" s="16">
        <v>2024</v>
      </c>
      <c r="C23" s="16" t="s">
        <v>933</v>
      </c>
      <c r="D23" s="16" t="s">
        <v>2273</v>
      </c>
      <c r="E23" s="16" t="s">
        <v>2276</v>
      </c>
      <c r="F23" s="16">
        <v>10000</v>
      </c>
    </row>
    <row r="24" spans="1:6">
      <c r="A24" s="16" t="s">
        <v>20</v>
      </c>
      <c r="B24" s="16">
        <v>2024</v>
      </c>
      <c r="C24" s="16" t="s">
        <v>2277</v>
      </c>
      <c r="D24" s="16" t="s">
        <v>2278</v>
      </c>
      <c r="E24" s="16" t="s">
        <v>83</v>
      </c>
      <c r="F24" s="16">
        <v>8000</v>
      </c>
    </row>
    <row r="25" spans="1:6">
      <c r="A25" s="16" t="s">
        <v>20</v>
      </c>
      <c r="B25" s="16">
        <v>2024</v>
      </c>
      <c r="C25" s="16" t="s">
        <v>2277</v>
      </c>
      <c r="D25" s="16" t="s">
        <v>83</v>
      </c>
      <c r="E25" s="16" t="s">
        <v>2279</v>
      </c>
      <c r="F25" s="16">
        <v>2000</v>
      </c>
    </row>
    <row r="26" spans="1:6">
      <c r="A26" s="16" t="s">
        <v>20</v>
      </c>
      <c r="B26" s="16">
        <v>2024</v>
      </c>
      <c r="C26" s="16" t="s">
        <v>2280</v>
      </c>
      <c r="D26" s="16" t="s">
        <v>83</v>
      </c>
      <c r="E26" s="16" t="s">
        <v>2281</v>
      </c>
      <c r="F26" s="16">
        <v>2000</v>
      </c>
    </row>
    <row r="27" spans="1:6">
      <c r="A27" s="16" t="s">
        <v>20</v>
      </c>
      <c r="B27" s="16">
        <v>2024</v>
      </c>
      <c r="C27" s="16" t="s">
        <v>2282</v>
      </c>
      <c r="D27" s="16" t="s">
        <v>83</v>
      </c>
      <c r="E27" s="16" t="s">
        <v>2283</v>
      </c>
      <c r="F27" s="16">
        <v>1000</v>
      </c>
    </row>
    <row r="28" spans="1:6">
      <c r="A28" s="16" t="s">
        <v>20</v>
      </c>
      <c r="B28" s="16">
        <v>2024</v>
      </c>
      <c r="C28" s="16" t="s">
        <v>2284</v>
      </c>
      <c r="D28" s="16" t="s">
        <v>83</v>
      </c>
      <c r="E28" s="16" t="s">
        <v>2285</v>
      </c>
      <c r="F28" s="16">
        <v>2000</v>
      </c>
    </row>
    <row r="29" spans="1:6">
      <c r="A29" s="16" t="s">
        <v>20</v>
      </c>
      <c r="B29" s="16">
        <v>2024</v>
      </c>
      <c r="C29" s="16" t="s">
        <v>2286</v>
      </c>
      <c r="D29" s="16" t="s">
        <v>83</v>
      </c>
      <c r="E29" s="16" t="s">
        <v>2287</v>
      </c>
      <c r="F29" s="16">
        <v>2000</v>
      </c>
    </row>
    <row r="30" spans="1:6">
      <c r="A30" s="16" t="s">
        <v>20</v>
      </c>
      <c r="B30" s="16">
        <v>2024</v>
      </c>
      <c r="C30" s="16" t="s">
        <v>2288</v>
      </c>
      <c r="D30" s="16" t="s">
        <v>83</v>
      </c>
      <c r="E30" s="16" t="s">
        <v>2289</v>
      </c>
      <c r="F30" s="16">
        <v>2000</v>
      </c>
    </row>
    <row r="31" spans="1:6">
      <c r="A31" s="16" t="s">
        <v>20</v>
      </c>
      <c r="B31" s="16">
        <v>2024</v>
      </c>
      <c r="C31" s="16" t="s">
        <v>2290</v>
      </c>
      <c r="D31" s="16" t="s">
        <v>83</v>
      </c>
      <c r="E31" s="16" t="s">
        <v>2291</v>
      </c>
      <c r="F31" s="16">
        <v>2000</v>
      </c>
    </row>
    <row r="32" spans="1:6">
      <c r="A32" s="16" t="s">
        <v>17</v>
      </c>
      <c r="B32" s="16">
        <v>2024</v>
      </c>
      <c r="C32" s="16" t="s">
        <v>1038</v>
      </c>
      <c r="D32" s="16" t="s">
        <v>2292</v>
      </c>
      <c r="E32" s="16" t="s">
        <v>83</v>
      </c>
      <c r="F32" s="16">
        <v>8000</v>
      </c>
    </row>
    <row r="33" spans="1:6">
      <c r="A33" s="16" t="s">
        <v>17</v>
      </c>
      <c r="B33" s="16">
        <v>2024</v>
      </c>
      <c r="C33" s="16" t="s">
        <v>1038</v>
      </c>
      <c r="D33" s="16" t="s">
        <v>83</v>
      </c>
      <c r="E33" s="16" t="s">
        <v>2293</v>
      </c>
      <c r="F33" s="16">
        <v>2000</v>
      </c>
    </row>
    <row r="34" spans="1:6">
      <c r="A34" s="16" t="s">
        <v>17</v>
      </c>
      <c r="B34" s="16">
        <v>2024</v>
      </c>
      <c r="C34" s="16" t="s">
        <v>167</v>
      </c>
      <c r="D34" s="16" t="s">
        <v>155</v>
      </c>
      <c r="E34" s="16" t="s">
        <v>83</v>
      </c>
      <c r="F34" s="16">
        <v>8000</v>
      </c>
    </row>
    <row r="35" spans="1:6">
      <c r="A35" s="16" t="s">
        <v>23</v>
      </c>
      <c r="B35" s="16">
        <v>2024</v>
      </c>
      <c r="C35" s="16" t="s">
        <v>2294</v>
      </c>
      <c r="D35" s="16" t="s">
        <v>2295</v>
      </c>
      <c r="E35" s="16" t="s">
        <v>2296</v>
      </c>
      <c r="F35" s="16">
        <v>2000</v>
      </c>
    </row>
    <row r="36" spans="1:6">
      <c r="A36" s="16" t="s">
        <v>23</v>
      </c>
      <c r="B36" s="16">
        <v>2024</v>
      </c>
      <c r="C36" s="16" t="s">
        <v>515</v>
      </c>
      <c r="D36" s="16" t="s">
        <v>2295</v>
      </c>
      <c r="E36" s="16" t="s">
        <v>2297</v>
      </c>
      <c r="F36" s="16">
        <v>2000</v>
      </c>
    </row>
    <row r="37" spans="1:6">
      <c r="A37" s="16" t="s">
        <v>23</v>
      </c>
      <c r="B37" s="16">
        <v>2024</v>
      </c>
      <c r="C37" s="16" t="s">
        <v>2139</v>
      </c>
      <c r="D37" s="16" t="s">
        <v>2250</v>
      </c>
      <c r="E37" s="16" t="s">
        <v>2298</v>
      </c>
      <c r="F37" s="16">
        <v>2000</v>
      </c>
    </row>
    <row r="38" spans="1:6">
      <c r="A38" s="16" t="s">
        <v>23</v>
      </c>
      <c r="B38" s="16">
        <v>2024</v>
      </c>
      <c r="C38" s="16" t="s">
        <v>2139</v>
      </c>
      <c r="D38" s="16" t="s">
        <v>2299</v>
      </c>
      <c r="E38" s="16" t="s">
        <v>83</v>
      </c>
      <c r="F38" s="16">
        <v>8000</v>
      </c>
    </row>
    <row r="39" spans="1:6">
      <c r="A39" s="16" t="s">
        <v>15</v>
      </c>
      <c r="B39" s="16">
        <v>2024</v>
      </c>
      <c r="C39" s="16" t="s">
        <v>2300</v>
      </c>
      <c r="D39" s="16" t="s">
        <v>83</v>
      </c>
      <c r="E39" s="16" t="s">
        <v>2301</v>
      </c>
      <c r="F39" s="16">
        <v>2000</v>
      </c>
    </row>
    <row r="40" spans="1:6">
      <c r="A40" s="16" t="s">
        <v>15</v>
      </c>
      <c r="B40" s="16">
        <v>2024</v>
      </c>
      <c r="C40" s="16" t="s">
        <v>2302</v>
      </c>
      <c r="D40" s="16" t="s">
        <v>83</v>
      </c>
      <c r="E40" s="16" t="s">
        <v>2303</v>
      </c>
      <c r="F40" s="16">
        <v>2000</v>
      </c>
    </row>
    <row r="41" spans="1:6">
      <c r="A41" s="16" t="s">
        <v>15</v>
      </c>
      <c r="B41" s="16">
        <v>2024</v>
      </c>
      <c r="C41" s="16" t="s">
        <v>707</v>
      </c>
      <c r="D41" s="16" t="s">
        <v>83</v>
      </c>
      <c r="E41" s="16" t="s">
        <v>2304</v>
      </c>
      <c r="F41" s="16">
        <v>2000</v>
      </c>
    </row>
    <row r="42" spans="1:6">
      <c r="A42" s="16" t="s">
        <v>17</v>
      </c>
      <c r="B42" s="16">
        <v>2024</v>
      </c>
      <c r="C42" s="16" t="s">
        <v>2305</v>
      </c>
      <c r="D42" s="16" t="s">
        <v>2306</v>
      </c>
      <c r="E42" s="16" t="s">
        <v>83</v>
      </c>
      <c r="F42" s="16">
        <v>10000</v>
      </c>
    </row>
    <row r="43" spans="1:6">
      <c r="A43" s="16" t="s">
        <v>14</v>
      </c>
      <c r="B43" s="16">
        <v>2025</v>
      </c>
      <c r="C43" s="16" t="s">
        <v>2307</v>
      </c>
      <c r="D43" s="16" t="s">
        <v>83</v>
      </c>
      <c r="E43" s="16" t="s">
        <v>2250</v>
      </c>
      <c r="F43" s="16">
        <v>2000</v>
      </c>
    </row>
    <row r="44" spans="1:6">
      <c r="A44" s="16" t="s">
        <v>14</v>
      </c>
      <c r="B44" s="16">
        <v>2025</v>
      </c>
      <c r="C44" s="16" t="s">
        <v>2308</v>
      </c>
      <c r="D44" s="16" t="s">
        <v>83</v>
      </c>
      <c r="E44" s="16" t="s">
        <v>2250</v>
      </c>
      <c r="F44" s="16">
        <v>2000</v>
      </c>
    </row>
    <row r="45" spans="1:6">
      <c r="A45" s="16" t="s">
        <v>14</v>
      </c>
      <c r="B45" s="16">
        <v>2025</v>
      </c>
      <c r="C45" s="16" t="s">
        <v>2307</v>
      </c>
      <c r="D45" s="16" t="s">
        <v>2309</v>
      </c>
      <c r="E45" s="16" t="s">
        <v>83</v>
      </c>
      <c r="F45" s="16">
        <v>10000</v>
      </c>
    </row>
    <row r="46" spans="1:6">
      <c r="A46" s="16" t="s">
        <v>14</v>
      </c>
      <c r="B46" s="16">
        <v>2025</v>
      </c>
      <c r="C46" s="16" t="s">
        <v>2310</v>
      </c>
      <c r="D46" s="16" t="s">
        <v>2311</v>
      </c>
      <c r="E46" s="16" t="s">
        <v>83</v>
      </c>
      <c r="F46" s="16">
        <v>10000</v>
      </c>
    </row>
    <row r="47" spans="1:6">
      <c r="A47" s="16" t="s">
        <v>14</v>
      </c>
      <c r="B47" s="16">
        <v>2025</v>
      </c>
      <c r="C47" s="16" t="s">
        <v>2312</v>
      </c>
      <c r="D47" s="16" t="s">
        <v>2313</v>
      </c>
      <c r="E47" s="16" t="s">
        <v>83</v>
      </c>
      <c r="F47" s="16">
        <v>15000</v>
      </c>
    </row>
    <row r="48" spans="1:6">
      <c r="A48" s="16" t="s">
        <v>14</v>
      </c>
      <c r="B48" s="16">
        <v>2024</v>
      </c>
      <c r="C48" s="16" t="s">
        <v>226</v>
      </c>
      <c r="D48" s="16" t="s">
        <v>2314</v>
      </c>
      <c r="E48" s="16" t="s">
        <v>83</v>
      </c>
      <c r="F48" s="16">
        <v>8000</v>
      </c>
    </row>
    <row r="49" spans="1:6">
      <c r="A49" s="16" t="s">
        <v>14</v>
      </c>
      <c r="B49" s="16">
        <v>2024</v>
      </c>
      <c r="C49" s="16" t="s">
        <v>2315</v>
      </c>
      <c r="D49" s="16" t="s">
        <v>2314</v>
      </c>
      <c r="E49" s="16" t="s">
        <v>83</v>
      </c>
      <c r="F49" s="16">
        <v>6400</v>
      </c>
    </row>
    <row r="50" spans="1:6">
      <c r="A50" s="16" t="s">
        <v>15</v>
      </c>
      <c r="B50" s="16">
        <v>2025</v>
      </c>
      <c r="C50" s="16" t="s">
        <v>2316</v>
      </c>
      <c r="D50" s="16" t="s">
        <v>2314</v>
      </c>
      <c r="E50" s="16" t="s">
        <v>83</v>
      </c>
      <c r="F50" s="16">
        <v>4000</v>
      </c>
    </row>
    <row r="51" spans="1:6">
      <c r="A51" s="16" t="s">
        <v>16</v>
      </c>
      <c r="B51" s="16">
        <v>2025</v>
      </c>
      <c r="C51" s="16" t="s">
        <v>2317</v>
      </c>
      <c r="D51" s="16" t="s">
        <v>2318</v>
      </c>
      <c r="E51" s="16" t="s">
        <v>2319</v>
      </c>
      <c r="F51" s="16">
        <v>2000</v>
      </c>
    </row>
    <row r="52" spans="1:6">
      <c r="A52" s="16" t="s">
        <v>2320</v>
      </c>
      <c r="B52" s="16">
        <v>2025</v>
      </c>
      <c r="C52" s="16" t="s">
        <v>2321</v>
      </c>
      <c r="D52" s="16" t="s">
        <v>2322</v>
      </c>
      <c r="E52" s="16" t="s">
        <v>83</v>
      </c>
      <c r="F52" s="16">
        <v>15000</v>
      </c>
    </row>
    <row r="53" spans="1:6">
      <c r="A53" s="16" t="s">
        <v>16</v>
      </c>
      <c r="B53" s="16">
        <v>2025</v>
      </c>
      <c r="C53" s="16" t="s">
        <v>481</v>
      </c>
      <c r="D53" s="16" t="s">
        <v>2323</v>
      </c>
      <c r="E53" s="16" t="s">
        <v>2324</v>
      </c>
      <c r="F53" s="16">
        <v>2000</v>
      </c>
    </row>
    <row r="54" spans="1:6">
      <c r="A54" s="16" t="s">
        <v>16</v>
      </c>
      <c r="B54" s="16">
        <v>2025</v>
      </c>
      <c r="C54" s="16" t="s">
        <v>481</v>
      </c>
      <c r="D54" s="16" t="s">
        <v>2325</v>
      </c>
      <c r="E54" s="16" t="s">
        <v>83</v>
      </c>
      <c r="F54" s="16">
        <v>8000</v>
      </c>
    </row>
    <row r="55" spans="1:6">
      <c r="A55" s="16" t="s">
        <v>16</v>
      </c>
      <c r="B55" s="16">
        <v>2025</v>
      </c>
      <c r="C55" s="16" t="s">
        <v>2326</v>
      </c>
      <c r="D55" s="16" t="s">
        <v>2327</v>
      </c>
      <c r="E55" s="16" t="s">
        <v>83</v>
      </c>
      <c r="F55" s="16">
        <v>5000</v>
      </c>
    </row>
    <row r="56" spans="1:6">
      <c r="A56" s="16" t="s">
        <v>16</v>
      </c>
      <c r="B56" s="16">
        <v>2025</v>
      </c>
      <c r="C56" s="16" t="s">
        <v>2328</v>
      </c>
      <c r="D56" s="16" t="s">
        <v>2329</v>
      </c>
      <c r="E56" s="16" t="s">
        <v>83</v>
      </c>
      <c r="F56" s="16">
        <v>1500</v>
      </c>
    </row>
    <row r="57" spans="1:6">
      <c r="A57" s="16" t="s">
        <v>14</v>
      </c>
      <c r="B57" s="16">
        <v>2025</v>
      </c>
      <c r="C57" s="16" t="s">
        <v>2330</v>
      </c>
      <c r="D57" s="16" t="s">
        <v>83</v>
      </c>
      <c r="E57" s="16" t="s">
        <v>2331</v>
      </c>
      <c r="F57" s="16">
        <v>2000</v>
      </c>
    </row>
    <row r="58" spans="1:6">
      <c r="A58" s="16" t="s">
        <v>1499</v>
      </c>
      <c r="B58" s="16">
        <v>2025</v>
      </c>
      <c r="C58" s="16" t="s">
        <v>919</v>
      </c>
      <c r="D58" s="16" t="s">
        <v>55</v>
      </c>
      <c r="E58" s="16" t="s">
        <v>83</v>
      </c>
      <c r="F58" s="16">
        <v>15000</v>
      </c>
    </row>
    <row r="59" spans="1:6">
      <c r="A59" s="16" t="s">
        <v>19</v>
      </c>
      <c r="B59" s="16">
        <v>2025</v>
      </c>
      <c r="C59" s="16" t="s">
        <v>933</v>
      </c>
      <c r="D59" s="16" t="s">
        <v>2332</v>
      </c>
      <c r="E59" s="16" t="s">
        <v>83</v>
      </c>
      <c r="F59" s="16">
        <v>25000</v>
      </c>
    </row>
    <row r="60" spans="1:6">
      <c r="A60" s="16" t="s">
        <v>19</v>
      </c>
      <c r="B60" s="16">
        <v>2025</v>
      </c>
      <c r="C60" s="16" t="s">
        <v>930</v>
      </c>
      <c r="D60" s="16" t="s">
        <v>58</v>
      </c>
      <c r="E60" s="16" t="s">
        <v>83</v>
      </c>
      <c r="F60" s="16">
        <v>20000</v>
      </c>
    </row>
    <row r="61" spans="1:6">
      <c r="A61" s="16" t="s">
        <v>25</v>
      </c>
      <c r="B61" s="16">
        <v>2024</v>
      </c>
      <c r="C61" s="16" t="s">
        <v>752</v>
      </c>
      <c r="D61" s="16" t="s">
        <v>58</v>
      </c>
      <c r="E61" s="16" t="s">
        <v>83</v>
      </c>
      <c r="F61" s="16">
        <v>10000</v>
      </c>
    </row>
    <row r="62" spans="1:6">
      <c r="A62" s="16" t="s">
        <v>25</v>
      </c>
      <c r="B62" s="16">
        <v>2024</v>
      </c>
      <c r="C62" s="16" t="s">
        <v>2333</v>
      </c>
      <c r="D62" s="16" t="s">
        <v>58</v>
      </c>
      <c r="E62" s="16" t="s">
        <v>83</v>
      </c>
      <c r="F62" s="16">
        <v>10000</v>
      </c>
    </row>
    <row r="63" spans="1:6">
      <c r="A63" s="16" t="s">
        <v>25</v>
      </c>
      <c r="B63" s="16">
        <v>2024</v>
      </c>
      <c r="C63" s="16" t="s">
        <v>2333</v>
      </c>
      <c r="D63" s="16" t="s">
        <v>58</v>
      </c>
      <c r="E63" s="16" t="s">
        <v>83</v>
      </c>
      <c r="F63" s="16">
        <v>2500</v>
      </c>
    </row>
    <row r="64" spans="1:6">
      <c r="A64" s="16" t="s">
        <v>14</v>
      </c>
      <c r="B64" s="16">
        <v>2025</v>
      </c>
      <c r="C64" s="16" t="s">
        <v>2334</v>
      </c>
      <c r="D64" s="16" t="s">
        <v>83</v>
      </c>
      <c r="E64" s="16" t="s">
        <v>2250</v>
      </c>
      <c r="F64" s="16">
        <v>2000</v>
      </c>
    </row>
    <row r="65" spans="1:6">
      <c r="A65" s="16" t="s">
        <v>17</v>
      </c>
      <c r="B65" s="16">
        <v>2025</v>
      </c>
      <c r="C65" s="16" t="s">
        <v>563</v>
      </c>
      <c r="D65" s="16" t="s">
        <v>2335</v>
      </c>
      <c r="E65" s="16" t="s">
        <v>83</v>
      </c>
      <c r="F65" s="16">
        <v>8000</v>
      </c>
    </row>
    <row r="66" spans="1:6">
      <c r="A66" s="16" t="s">
        <v>16</v>
      </c>
      <c r="B66" s="16">
        <v>2025</v>
      </c>
      <c r="C66" s="16" t="s">
        <v>2336</v>
      </c>
      <c r="D66" s="16" t="s">
        <v>2322</v>
      </c>
      <c r="E66" s="16" t="s">
        <v>83</v>
      </c>
      <c r="F66" s="16">
        <v>10000</v>
      </c>
    </row>
    <row r="67" spans="1:6">
      <c r="A67" s="16" t="s">
        <v>14</v>
      </c>
      <c r="B67" s="16">
        <v>2025</v>
      </c>
      <c r="C67" s="16" t="s">
        <v>2337</v>
      </c>
      <c r="D67" s="16" t="s">
        <v>2299</v>
      </c>
      <c r="E67" s="16" t="s">
        <v>83</v>
      </c>
      <c r="F67" s="16">
        <v>8000</v>
      </c>
    </row>
    <row r="68" spans="1:6">
      <c r="A68" s="16" t="s">
        <v>2320</v>
      </c>
      <c r="B68" s="16">
        <v>2025</v>
      </c>
      <c r="C68" s="16" t="s">
        <v>2338</v>
      </c>
      <c r="D68" s="16" t="s">
        <v>2322</v>
      </c>
      <c r="E68" s="16" t="s">
        <v>83</v>
      </c>
      <c r="F68" s="16">
        <v>15000</v>
      </c>
    </row>
    <row r="69" spans="1:6">
      <c r="A69" s="16" t="s">
        <v>2320</v>
      </c>
      <c r="B69" s="16">
        <v>2025</v>
      </c>
      <c r="C69" s="16" t="s">
        <v>2338</v>
      </c>
      <c r="D69" s="16" t="s">
        <v>2339</v>
      </c>
      <c r="E69" s="16" t="s">
        <v>83</v>
      </c>
      <c r="F69" s="16">
        <v>10000</v>
      </c>
    </row>
    <row r="70" spans="1:6">
      <c r="A70" s="16" t="s">
        <v>2271</v>
      </c>
      <c r="B70" s="16">
        <v>2024</v>
      </c>
      <c r="C70" s="16" t="s">
        <v>933</v>
      </c>
      <c r="D70" s="16" t="s">
        <v>2340</v>
      </c>
      <c r="E70" s="16" t="s">
        <v>83</v>
      </c>
      <c r="F70" s="16">
        <v>5000</v>
      </c>
    </row>
    <row r="71" spans="1:6">
      <c r="A71" s="16" t="s">
        <v>2320</v>
      </c>
      <c r="B71" s="16">
        <v>2025</v>
      </c>
      <c r="C71" s="16" t="s">
        <v>2341</v>
      </c>
      <c r="D71" s="16" t="s">
        <v>2342</v>
      </c>
      <c r="E71" s="16" t="s">
        <v>83</v>
      </c>
      <c r="F71" s="16">
        <v>15000</v>
      </c>
    </row>
    <row r="72" spans="1:6">
      <c r="A72" s="16" t="s">
        <v>14</v>
      </c>
      <c r="B72" s="16">
        <v>2025</v>
      </c>
      <c r="C72" s="16" t="s">
        <v>2343</v>
      </c>
      <c r="D72" s="16" t="s">
        <v>2299</v>
      </c>
      <c r="E72" s="16" t="s">
        <v>83</v>
      </c>
      <c r="F72" s="16">
        <v>7000</v>
      </c>
    </row>
    <row r="73" spans="1:6">
      <c r="A73" s="16" t="s">
        <v>14</v>
      </c>
      <c r="B73" s="16">
        <v>2025</v>
      </c>
      <c r="C73" s="16" t="s">
        <v>1412</v>
      </c>
      <c r="D73" s="16" t="s">
        <v>2299</v>
      </c>
      <c r="E73" s="16" t="s">
        <v>83</v>
      </c>
      <c r="F73" s="16">
        <v>7000</v>
      </c>
    </row>
    <row r="74" spans="1:6">
      <c r="A74" s="16" t="s">
        <v>15</v>
      </c>
      <c r="B74" s="16">
        <v>2025</v>
      </c>
      <c r="C74" s="16" t="s">
        <v>2344</v>
      </c>
      <c r="D74" s="16" t="s">
        <v>2345</v>
      </c>
      <c r="E74" s="16" t="s">
        <v>83</v>
      </c>
      <c r="F74" s="16">
        <v>6000</v>
      </c>
    </row>
    <row r="75" spans="1:6">
      <c r="A75" s="16" t="s">
        <v>16</v>
      </c>
      <c r="B75" s="16">
        <v>2025</v>
      </c>
      <c r="C75" s="16" t="s">
        <v>2346</v>
      </c>
      <c r="D75" s="16" t="s">
        <v>2299</v>
      </c>
      <c r="E75" s="16" t="s">
        <v>83</v>
      </c>
      <c r="F75" s="16">
        <v>8000</v>
      </c>
    </row>
    <row r="76" spans="1:6">
      <c r="A76" s="16" t="s">
        <v>23</v>
      </c>
      <c r="B76" s="16">
        <v>2025</v>
      </c>
      <c r="C76" s="16" t="s">
        <v>2347</v>
      </c>
      <c r="D76" s="16" t="s">
        <v>2299</v>
      </c>
      <c r="E76" s="16" t="s">
        <v>83</v>
      </c>
      <c r="F76" s="16">
        <v>8000</v>
      </c>
    </row>
    <row r="77" spans="1:6">
      <c r="A77" s="16" t="s">
        <v>2320</v>
      </c>
      <c r="B77" s="16">
        <v>2025</v>
      </c>
      <c r="C77" s="16" t="s">
        <v>2348</v>
      </c>
      <c r="D77" s="16" t="s">
        <v>2349</v>
      </c>
      <c r="E77" s="16" t="s">
        <v>83</v>
      </c>
      <c r="F77" s="16">
        <v>10000</v>
      </c>
    </row>
    <row r="78" spans="1:6">
      <c r="A78" s="16" t="s">
        <v>14</v>
      </c>
      <c r="B78" s="16">
        <v>2025</v>
      </c>
      <c r="C78" s="16" t="s">
        <v>2350</v>
      </c>
      <c r="D78" s="16" t="s">
        <v>2351</v>
      </c>
      <c r="E78" s="16" t="s">
        <v>83</v>
      </c>
      <c r="F78" s="16">
        <v>20000</v>
      </c>
    </row>
    <row r="79" spans="1:6">
      <c r="A79" s="16" t="s">
        <v>14</v>
      </c>
      <c r="B79" s="16">
        <v>2025</v>
      </c>
      <c r="C79" s="16" t="s">
        <v>2352</v>
      </c>
      <c r="D79" s="16" t="s">
        <v>2353</v>
      </c>
      <c r="E79" s="16" t="s">
        <v>83</v>
      </c>
      <c r="F79" s="16">
        <v>15000</v>
      </c>
    </row>
    <row r="80" spans="1:6">
      <c r="A80" s="16" t="s">
        <v>14</v>
      </c>
      <c r="B80" s="16">
        <v>2025</v>
      </c>
      <c r="C80" s="16" t="s">
        <v>2354</v>
      </c>
      <c r="D80" s="16" t="s">
        <v>2299</v>
      </c>
      <c r="E80" s="16" t="s">
        <v>83</v>
      </c>
      <c r="F80" s="16">
        <v>8000</v>
      </c>
    </row>
    <row r="81" spans="1:6">
      <c r="A81" s="16" t="s">
        <v>14</v>
      </c>
      <c r="B81" s="16">
        <v>2025</v>
      </c>
      <c r="C81" s="16" t="s">
        <v>2355</v>
      </c>
      <c r="D81" s="16" t="s">
        <v>2299</v>
      </c>
      <c r="E81" s="16" t="s">
        <v>83</v>
      </c>
      <c r="F81" s="16">
        <v>8000</v>
      </c>
    </row>
    <row r="82" spans="1:6">
      <c r="A82" s="16" t="s">
        <v>2320</v>
      </c>
      <c r="B82" s="16">
        <v>2025</v>
      </c>
      <c r="C82" s="16" t="s">
        <v>2356</v>
      </c>
      <c r="D82" s="16" t="s">
        <v>2349</v>
      </c>
      <c r="E82" s="16" t="s">
        <v>83</v>
      </c>
      <c r="F82" s="16">
        <v>10000</v>
      </c>
    </row>
    <row r="83" spans="1:6">
      <c r="A83" s="16" t="s">
        <v>15</v>
      </c>
      <c r="B83" s="16">
        <v>2025</v>
      </c>
      <c r="C83" s="16" t="s">
        <v>2357</v>
      </c>
      <c r="D83" s="16" t="s">
        <v>2358</v>
      </c>
      <c r="E83" s="16" t="s">
        <v>83</v>
      </c>
      <c r="F83" s="16">
        <v>12500</v>
      </c>
    </row>
    <row r="84" spans="1:6">
      <c r="A84" s="16" t="s">
        <v>16</v>
      </c>
      <c r="B84" s="16">
        <v>2025</v>
      </c>
      <c r="C84" s="16" t="s">
        <v>2359</v>
      </c>
      <c r="D84" s="16" t="s">
        <v>83</v>
      </c>
      <c r="E84" s="16" t="s">
        <v>2250</v>
      </c>
      <c r="F84" s="16">
        <v>2000</v>
      </c>
    </row>
    <row r="85" spans="1:6">
      <c r="A85" s="16" t="s">
        <v>17</v>
      </c>
      <c r="B85" s="16">
        <v>2025</v>
      </c>
      <c r="C85" s="16" t="s">
        <v>2360</v>
      </c>
      <c r="D85" s="16" t="s">
        <v>83</v>
      </c>
      <c r="E85" s="16" t="s">
        <v>2361</v>
      </c>
      <c r="F85" s="16">
        <v>2000</v>
      </c>
    </row>
    <row r="86" spans="1:6">
      <c r="A86" s="16" t="s">
        <v>17</v>
      </c>
      <c r="B86" s="16">
        <v>2025</v>
      </c>
      <c r="C86" s="16" t="s">
        <v>2362</v>
      </c>
      <c r="D86" s="16" t="s">
        <v>83</v>
      </c>
      <c r="E86" s="16" t="s">
        <v>2361</v>
      </c>
      <c r="F86" s="16">
        <v>2000</v>
      </c>
    </row>
    <row r="87" spans="1:6">
      <c r="A87" s="16" t="s">
        <v>17</v>
      </c>
      <c r="B87" s="16">
        <v>2025</v>
      </c>
      <c r="C87" s="16" t="s">
        <v>163</v>
      </c>
      <c r="D87" s="16" t="s">
        <v>83</v>
      </c>
      <c r="E87" s="16" t="s">
        <v>2363</v>
      </c>
      <c r="F87" s="16">
        <v>2000</v>
      </c>
    </row>
    <row r="88" spans="1:6">
      <c r="A88" s="16" t="s">
        <v>17</v>
      </c>
      <c r="B88" s="16">
        <v>2025</v>
      </c>
      <c r="C88" s="16" t="s">
        <v>563</v>
      </c>
      <c r="D88" s="16" t="s">
        <v>83</v>
      </c>
      <c r="E88" s="16" t="s">
        <v>2361</v>
      </c>
      <c r="F88" s="16">
        <v>2000</v>
      </c>
    </row>
    <row r="89" spans="1:6">
      <c r="A89" s="16" t="s">
        <v>17</v>
      </c>
      <c r="B89" s="16">
        <v>2025</v>
      </c>
      <c r="C89" s="16" t="s">
        <v>2364</v>
      </c>
      <c r="D89" s="16" t="s">
        <v>83</v>
      </c>
      <c r="E89" s="16" t="s">
        <v>2365</v>
      </c>
      <c r="F89" s="16">
        <v>2000</v>
      </c>
    </row>
    <row r="90" spans="1:6">
      <c r="A90" s="16" t="s">
        <v>17</v>
      </c>
      <c r="B90" s="16">
        <v>2025</v>
      </c>
      <c r="C90" s="16" t="s">
        <v>2366</v>
      </c>
      <c r="D90" s="16" t="s">
        <v>83</v>
      </c>
      <c r="E90" s="16" t="s">
        <v>2367</v>
      </c>
      <c r="F90" s="16">
        <v>1600</v>
      </c>
    </row>
    <row r="91" spans="1:6">
      <c r="A91" s="16" t="s">
        <v>16</v>
      </c>
      <c r="B91" s="16">
        <v>2025</v>
      </c>
      <c r="C91" s="16" t="s">
        <v>2368</v>
      </c>
      <c r="D91" s="16" t="s">
        <v>83</v>
      </c>
      <c r="E91" s="16" t="s">
        <v>2367</v>
      </c>
      <c r="F91" s="16">
        <v>1600</v>
      </c>
    </row>
    <row r="92" spans="1:6">
      <c r="A92" s="16" t="s">
        <v>16</v>
      </c>
      <c r="B92" s="16">
        <v>2025</v>
      </c>
      <c r="C92" s="16" t="s">
        <v>2369</v>
      </c>
      <c r="D92" s="16" t="s">
        <v>83</v>
      </c>
      <c r="E92" s="16" t="s">
        <v>2361</v>
      </c>
      <c r="F92" s="16">
        <v>2000</v>
      </c>
    </row>
    <row r="93" spans="1:6">
      <c r="A93" s="16" t="s">
        <v>16</v>
      </c>
      <c r="B93" s="16">
        <v>2025</v>
      </c>
      <c r="C93" s="16" t="s">
        <v>2370</v>
      </c>
      <c r="D93" s="16" t="s">
        <v>83</v>
      </c>
      <c r="E93" s="16" t="s">
        <v>2367</v>
      </c>
      <c r="F93" s="16">
        <v>1600</v>
      </c>
    </row>
    <row r="94" spans="1:6">
      <c r="A94" s="16" t="s">
        <v>16</v>
      </c>
      <c r="B94" s="16">
        <v>2025</v>
      </c>
      <c r="C94" s="16" t="s">
        <v>2371</v>
      </c>
      <c r="D94" s="16" t="s">
        <v>83</v>
      </c>
      <c r="E94" s="16" t="s">
        <v>1222</v>
      </c>
      <c r="F94" s="16">
        <v>2000</v>
      </c>
    </row>
    <row r="95" spans="1:6">
      <c r="A95" s="16" t="s">
        <v>16</v>
      </c>
      <c r="B95" s="16">
        <v>2025</v>
      </c>
      <c r="C95" s="16" t="s">
        <v>2372</v>
      </c>
      <c r="D95" s="16" t="s">
        <v>83</v>
      </c>
      <c r="E95" s="16" t="s">
        <v>2363</v>
      </c>
      <c r="F95" s="16">
        <v>1800</v>
      </c>
    </row>
    <row r="96" spans="1:6">
      <c r="A96" s="16" t="s">
        <v>16</v>
      </c>
      <c r="B96" s="16">
        <v>2025</v>
      </c>
      <c r="C96" s="16" t="s">
        <v>2373</v>
      </c>
      <c r="D96" s="16" t="s">
        <v>83</v>
      </c>
      <c r="E96" s="16" t="s">
        <v>2367</v>
      </c>
      <c r="F96" s="16">
        <v>2000</v>
      </c>
    </row>
    <row r="97" spans="1:6">
      <c r="A97" s="16" t="s">
        <v>16</v>
      </c>
      <c r="B97" s="16">
        <v>2025</v>
      </c>
      <c r="C97" s="16" t="s">
        <v>2374</v>
      </c>
      <c r="D97" s="16" t="s">
        <v>83</v>
      </c>
      <c r="E97" s="16" t="s">
        <v>1222</v>
      </c>
      <c r="F97" s="16">
        <v>2000</v>
      </c>
    </row>
    <row r="98" spans="1:6">
      <c r="A98" s="16" t="s">
        <v>16</v>
      </c>
      <c r="B98" s="16">
        <v>2025</v>
      </c>
      <c r="C98" s="16" t="s">
        <v>2375</v>
      </c>
      <c r="D98" s="16" t="s">
        <v>83</v>
      </c>
      <c r="E98" s="16" t="s">
        <v>2361</v>
      </c>
      <c r="F98" s="16">
        <v>2000</v>
      </c>
    </row>
    <row r="99" spans="1:6">
      <c r="A99" s="16" t="s">
        <v>16</v>
      </c>
      <c r="B99" s="16">
        <v>2025</v>
      </c>
      <c r="C99" s="16" t="s">
        <v>2376</v>
      </c>
      <c r="D99" s="16" t="s">
        <v>83</v>
      </c>
      <c r="E99" s="16" t="s">
        <v>2361</v>
      </c>
      <c r="F99" s="16">
        <v>2000</v>
      </c>
    </row>
    <row r="100" spans="1:6">
      <c r="A100" s="16" t="s">
        <v>16</v>
      </c>
      <c r="B100" s="16">
        <v>2025</v>
      </c>
      <c r="C100" s="16" t="s">
        <v>2377</v>
      </c>
      <c r="D100" s="16" t="s">
        <v>83</v>
      </c>
      <c r="E100" s="16" t="s">
        <v>2361</v>
      </c>
      <c r="F100" s="16">
        <v>2000</v>
      </c>
    </row>
    <row r="101" spans="1:6">
      <c r="A101" s="16" t="s">
        <v>16</v>
      </c>
      <c r="B101" s="16">
        <v>2025</v>
      </c>
      <c r="C101" s="16" t="s">
        <v>2378</v>
      </c>
      <c r="D101" s="16" t="s">
        <v>83</v>
      </c>
      <c r="E101" s="16" t="s">
        <v>2361</v>
      </c>
      <c r="F101" s="16">
        <v>2000</v>
      </c>
    </row>
    <row r="102" spans="1:6">
      <c r="A102" s="16" t="s">
        <v>16</v>
      </c>
      <c r="B102" s="16">
        <v>2025</v>
      </c>
      <c r="C102" s="16" t="s">
        <v>2379</v>
      </c>
      <c r="D102" s="16" t="s">
        <v>83</v>
      </c>
      <c r="E102" s="16" t="s">
        <v>2361</v>
      </c>
      <c r="F102" s="16">
        <v>2000</v>
      </c>
    </row>
    <row r="103" spans="1:6">
      <c r="A103" s="16" t="s">
        <v>16</v>
      </c>
      <c r="B103" s="16">
        <v>2025</v>
      </c>
      <c r="C103" s="16" t="s">
        <v>2380</v>
      </c>
      <c r="D103" s="16" t="s">
        <v>83</v>
      </c>
      <c r="E103" s="16" t="s">
        <v>2381</v>
      </c>
      <c r="F103" s="16">
        <v>2000</v>
      </c>
    </row>
    <row r="104" spans="1:6">
      <c r="A104" s="16" t="s">
        <v>16</v>
      </c>
      <c r="B104" s="16">
        <v>2025</v>
      </c>
      <c r="C104" s="16" t="s">
        <v>2382</v>
      </c>
      <c r="D104" s="16" t="s">
        <v>83</v>
      </c>
      <c r="E104" s="16" t="s">
        <v>2383</v>
      </c>
      <c r="F104" s="16">
        <v>1180</v>
      </c>
    </row>
    <row r="105" spans="1:6">
      <c r="A105" s="16" t="s">
        <v>16</v>
      </c>
      <c r="B105" s="16">
        <v>2025</v>
      </c>
      <c r="C105" s="16" t="s">
        <v>2384</v>
      </c>
      <c r="D105" s="16" t="s">
        <v>83</v>
      </c>
      <c r="E105" s="16" t="s">
        <v>2361</v>
      </c>
      <c r="F105" s="16">
        <v>2000</v>
      </c>
    </row>
    <row r="106" spans="1:6">
      <c r="A106" s="16" t="s">
        <v>16</v>
      </c>
      <c r="B106" s="16">
        <v>2025</v>
      </c>
      <c r="C106" s="16" t="s">
        <v>2385</v>
      </c>
      <c r="D106" s="16" t="s">
        <v>83</v>
      </c>
      <c r="E106" s="16" t="s">
        <v>2367</v>
      </c>
      <c r="F106" s="16">
        <v>1600</v>
      </c>
    </row>
    <row r="107" spans="1:6">
      <c r="A107" s="16" t="s">
        <v>16</v>
      </c>
      <c r="B107" s="16">
        <v>2025</v>
      </c>
      <c r="C107" s="16" t="s">
        <v>2386</v>
      </c>
      <c r="D107" s="16" t="s">
        <v>83</v>
      </c>
      <c r="E107" s="16" t="s">
        <v>2361</v>
      </c>
      <c r="F107" s="16">
        <v>2000</v>
      </c>
    </row>
    <row r="108" spans="1:6">
      <c r="A108" s="16" t="s">
        <v>16</v>
      </c>
      <c r="B108" s="16">
        <v>2025</v>
      </c>
      <c r="C108" s="16" t="s">
        <v>2387</v>
      </c>
      <c r="D108" s="16" t="s">
        <v>83</v>
      </c>
      <c r="E108" s="16" t="s">
        <v>1222</v>
      </c>
      <c r="F108" s="16">
        <v>2000</v>
      </c>
    </row>
    <row r="109" spans="1:6">
      <c r="A109" s="16" t="s">
        <v>16</v>
      </c>
      <c r="B109" s="16">
        <v>2025</v>
      </c>
      <c r="C109" s="16" t="s">
        <v>2388</v>
      </c>
      <c r="D109" s="16" t="s">
        <v>83</v>
      </c>
      <c r="E109" s="16" t="s">
        <v>2361</v>
      </c>
      <c r="F109" s="16">
        <v>2000</v>
      </c>
    </row>
    <row r="110" spans="1:6">
      <c r="A110" s="16" t="s">
        <v>16</v>
      </c>
      <c r="B110" s="16">
        <v>2025</v>
      </c>
      <c r="C110" s="16" t="s">
        <v>149</v>
      </c>
      <c r="D110" s="16" t="s">
        <v>83</v>
      </c>
      <c r="E110" s="16" t="s">
        <v>1162</v>
      </c>
      <c r="F110" s="16">
        <v>1750</v>
      </c>
    </row>
    <row r="111" spans="1:6">
      <c r="A111" s="16" t="s">
        <v>16</v>
      </c>
      <c r="B111" s="16">
        <v>2025</v>
      </c>
      <c r="C111" s="16" t="s">
        <v>196</v>
      </c>
      <c r="D111" s="16" t="s">
        <v>83</v>
      </c>
      <c r="E111" s="16" t="s">
        <v>2361</v>
      </c>
      <c r="F111" s="16">
        <v>2000</v>
      </c>
    </row>
    <row r="112" spans="1:6">
      <c r="A112" s="16" t="s">
        <v>16</v>
      </c>
      <c r="B112" s="16">
        <v>2025</v>
      </c>
      <c r="C112" s="16" t="s">
        <v>2389</v>
      </c>
      <c r="D112" s="16" t="s">
        <v>83</v>
      </c>
      <c r="E112" s="16" t="s">
        <v>2361</v>
      </c>
      <c r="F112" s="16">
        <v>2000</v>
      </c>
    </row>
    <row r="113" spans="1:6">
      <c r="A113" s="16" t="s">
        <v>16</v>
      </c>
      <c r="B113" s="16">
        <v>2025</v>
      </c>
      <c r="C113" s="16" t="s">
        <v>2390</v>
      </c>
      <c r="D113" s="16" t="s">
        <v>83</v>
      </c>
      <c r="E113" s="16" t="s">
        <v>2361</v>
      </c>
      <c r="F113" s="16">
        <v>2000</v>
      </c>
    </row>
    <row r="114" spans="1:6">
      <c r="A114" s="16" t="s">
        <v>16</v>
      </c>
      <c r="B114" s="16">
        <v>2025</v>
      </c>
      <c r="C114" s="16" t="s">
        <v>2391</v>
      </c>
      <c r="D114" s="16" t="s">
        <v>83</v>
      </c>
      <c r="E114" s="16" t="s">
        <v>2392</v>
      </c>
      <c r="F114" s="16">
        <v>500</v>
      </c>
    </row>
    <row r="115" spans="1:6">
      <c r="A115" s="16" t="s">
        <v>14</v>
      </c>
      <c r="B115" s="16">
        <v>2025</v>
      </c>
      <c r="C115" s="16" t="s">
        <v>2393</v>
      </c>
      <c r="D115" s="16" t="s">
        <v>2394</v>
      </c>
      <c r="E115" s="16" t="s">
        <v>83</v>
      </c>
      <c r="F115" s="16">
        <v>2000</v>
      </c>
    </row>
    <row r="116" spans="1:6">
      <c r="A116" s="16" t="s">
        <v>14</v>
      </c>
      <c r="B116" s="16">
        <v>2025</v>
      </c>
      <c r="C116" s="16" t="s">
        <v>2395</v>
      </c>
      <c r="D116" s="16" t="s">
        <v>2394</v>
      </c>
      <c r="E116" s="16" t="s">
        <v>83</v>
      </c>
      <c r="F116" s="16">
        <v>2000</v>
      </c>
    </row>
    <row r="117" spans="1:6">
      <c r="A117" s="16" t="s">
        <v>14</v>
      </c>
      <c r="B117" s="16">
        <v>2025</v>
      </c>
      <c r="C117" s="16" t="s">
        <v>542</v>
      </c>
      <c r="D117" s="16" t="s">
        <v>2396</v>
      </c>
      <c r="E117" s="16" t="s">
        <v>83</v>
      </c>
      <c r="F117" s="16">
        <v>2000</v>
      </c>
    </row>
    <row r="118" spans="1:6">
      <c r="A118" s="16" t="s">
        <v>14</v>
      </c>
      <c r="B118" s="16">
        <v>2025</v>
      </c>
      <c r="C118" s="16" t="s">
        <v>855</v>
      </c>
      <c r="D118" s="16" t="s">
        <v>2250</v>
      </c>
      <c r="E118" s="16" t="s">
        <v>83</v>
      </c>
      <c r="F118" s="16">
        <v>2000</v>
      </c>
    </row>
    <row r="119" spans="1:6">
      <c r="A119" s="16" t="s">
        <v>14</v>
      </c>
      <c r="B119" s="16">
        <v>2025</v>
      </c>
      <c r="C119" s="16" t="s">
        <v>2397</v>
      </c>
      <c r="D119" s="16" t="s">
        <v>2398</v>
      </c>
      <c r="E119" s="16" t="s">
        <v>83</v>
      </c>
      <c r="F119" s="16">
        <v>2000</v>
      </c>
    </row>
    <row r="120" spans="1:6">
      <c r="A120" s="16" t="s">
        <v>14</v>
      </c>
      <c r="B120" s="16">
        <v>2025</v>
      </c>
      <c r="C120" s="16" t="s">
        <v>2399</v>
      </c>
      <c r="D120" s="16" t="s">
        <v>2250</v>
      </c>
      <c r="E120" s="16" t="s">
        <v>83</v>
      </c>
      <c r="F120" s="16">
        <v>2000</v>
      </c>
    </row>
    <row r="121" spans="1:6">
      <c r="A121" s="16" t="s">
        <v>14</v>
      </c>
      <c r="B121" s="16">
        <v>2025</v>
      </c>
      <c r="C121" s="16" t="s">
        <v>497</v>
      </c>
      <c r="D121" s="16" t="s">
        <v>2398</v>
      </c>
      <c r="E121" s="16" t="s">
        <v>83</v>
      </c>
      <c r="F121" s="16">
        <v>2000</v>
      </c>
    </row>
    <row r="122" spans="1:6">
      <c r="A122" s="16" t="s">
        <v>14</v>
      </c>
      <c r="B122" s="16">
        <v>2025</v>
      </c>
      <c r="C122" s="16" t="s">
        <v>2400</v>
      </c>
      <c r="D122" s="16" t="s">
        <v>2401</v>
      </c>
      <c r="E122" s="16" t="s">
        <v>83</v>
      </c>
      <c r="F122" s="16">
        <v>2000</v>
      </c>
    </row>
    <row r="123" spans="1:6">
      <c r="A123" s="16" t="s">
        <v>14</v>
      </c>
      <c r="B123" s="16">
        <v>2025</v>
      </c>
      <c r="C123" s="16" t="s">
        <v>2402</v>
      </c>
      <c r="D123" s="16" t="s">
        <v>2401</v>
      </c>
      <c r="E123" s="16" t="s">
        <v>83</v>
      </c>
      <c r="F123" s="16">
        <v>2000</v>
      </c>
    </row>
    <row r="124" spans="1:6">
      <c r="A124" s="16" t="s">
        <v>14</v>
      </c>
      <c r="B124" s="16">
        <v>2025</v>
      </c>
      <c r="C124" s="16" t="s">
        <v>2403</v>
      </c>
      <c r="D124" s="16" t="s">
        <v>2404</v>
      </c>
      <c r="E124" s="16" t="s">
        <v>83</v>
      </c>
      <c r="F124" s="16">
        <v>2000</v>
      </c>
    </row>
    <row r="125" spans="1:6">
      <c r="A125" s="16" t="s">
        <v>14</v>
      </c>
      <c r="B125" s="16">
        <v>2025</v>
      </c>
      <c r="C125" s="16" t="s">
        <v>2405</v>
      </c>
      <c r="D125" s="16" t="s">
        <v>2401</v>
      </c>
      <c r="E125" s="16" t="s">
        <v>83</v>
      </c>
      <c r="F125" s="16">
        <v>2000</v>
      </c>
    </row>
    <row r="126" spans="1:6">
      <c r="A126" s="16" t="s">
        <v>14</v>
      </c>
      <c r="B126" s="16">
        <v>2025</v>
      </c>
      <c r="C126" s="16" t="s">
        <v>2406</v>
      </c>
      <c r="D126" s="16" t="s">
        <v>2394</v>
      </c>
      <c r="E126" s="16" t="s">
        <v>83</v>
      </c>
      <c r="F126" s="16">
        <v>2000</v>
      </c>
    </row>
    <row r="127" spans="1:6">
      <c r="A127" s="16" t="s">
        <v>14</v>
      </c>
      <c r="B127" s="16">
        <v>2025</v>
      </c>
      <c r="C127" s="16" t="s">
        <v>2407</v>
      </c>
      <c r="D127" s="16" t="s">
        <v>2404</v>
      </c>
      <c r="E127" s="16" t="s">
        <v>83</v>
      </c>
      <c r="F127" s="16">
        <v>2000</v>
      </c>
    </row>
    <row r="128" spans="1:6">
      <c r="A128" s="16" t="s">
        <v>14</v>
      </c>
      <c r="B128" s="16">
        <v>2025</v>
      </c>
      <c r="C128" s="16" t="s">
        <v>2408</v>
      </c>
      <c r="D128" s="16" t="s">
        <v>2409</v>
      </c>
      <c r="E128" s="16" t="s">
        <v>83</v>
      </c>
      <c r="F128" s="16">
        <v>2000</v>
      </c>
    </row>
    <row r="129" spans="1:6">
      <c r="A129" s="16" t="s">
        <v>14</v>
      </c>
      <c r="B129" s="16">
        <v>2025</v>
      </c>
      <c r="C129" s="16" t="s">
        <v>2410</v>
      </c>
      <c r="D129" s="16" t="s">
        <v>2411</v>
      </c>
      <c r="E129" s="16" t="s">
        <v>83</v>
      </c>
      <c r="F129" s="16">
        <v>2000</v>
      </c>
    </row>
    <row r="130" spans="1:6">
      <c r="A130" s="16" t="s">
        <v>14</v>
      </c>
      <c r="B130" s="16">
        <v>2025</v>
      </c>
      <c r="C130" s="16" t="s">
        <v>2412</v>
      </c>
      <c r="D130" s="16" t="s">
        <v>2413</v>
      </c>
      <c r="E130" s="16" t="s">
        <v>83</v>
      </c>
      <c r="F130" s="16">
        <v>2000</v>
      </c>
    </row>
    <row r="131" spans="1:6">
      <c r="A131" s="16" t="s">
        <v>14</v>
      </c>
      <c r="B131" s="16">
        <v>2025</v>
      </c>
      <c r="C131" s="16" t="s">
        <v>2414</v>
      </c>
      <c r="D131" s="16" t="s">
        <v>2413</v>
      </c>
      <c r="E131" s="16" t="s">
        <v>83</v>
      </c>
      <c r="F131" s="16">
        <v>2000</v>
      </c>
    </row>
    <row r="132" spans="1:6">
      <c r="A132" s="16" t="s">
        <v>14</v>
      </c>
      <c r="B132" s="16">
        <v>2025</v>
      </c>
      <c r="C132" s="16" t="s">
        <v>2415</v>
      </c>
      <c r="D132" s="16" t="s">
        <v>2413</v>
      </c>
      <c r="E132" s="16" t="s">
        <v>83</v>
      </c>
      <c r="F132" s="16">
        <v>2000</v>
      </c>
    </row>
    <row r="133" spans="1:6">
      <c r="A133" s="16" t="s">
        <v>14</v>
      </c>
      <c r="B133" s="16">
        <v>2025</v>
      </c>
      <c r="C133" s="16" t="s">
        <v>2416</v>
      </c>
      <c r="D133" s="16" t="s">
        <v>2398</v>
      </c>
      <c r="E133" s="16" t="s">
        <v>83</v>
      </c>
      <c r="F133" s="16">
        <v>2000</v>
      </c>
    </row>
    <row r="134" spans="1:6">
      <c r="A134" s="16" t="s">
        <v>14</v>
      </c>
      <c r="B134" s="16">
        <v>2025</v>
      </c>
      <c r="C134" s="16" t="s">
        <v>2417</v>
      </c>
      <c r="D134" s="16" t="s">
        <v>2418</v>
      </c>
      <c r="E134" s="16" t="s">
        <v>83</v>
      </c>
      <c r="F134" s="16">
        <v>2000</v>
      </c>
    </row>
    <row r="135" spans="1:6">
      <c r="A135" s="16" t="s">
        <v>14</v>
      </c>
      <c r="B135" s="16">
        <v>2025</v>
      </c>
      <c r="C135" s="16" t="s">
        <v>2419</v>
      </c>
      <c r="D135" s="16" t="s">
        <v>2398</v>
      </c>
      <c r="E135" s="16" t="s">
        <v>83</v>
      </c>
      <c r="F135" s="16">
        <v>2000</v>
      </c>
    </row>
    <row r="136" spans="1:6">
      <c r="A136" s="16" t="s">
        <v>14</v>
      </c>
      <c r="B136" s="16">
        <v>2025</v>
      </c>
      <c r="C136" s="16" t="s">
        <v>2420</v>
      </c>
      <c r="D136" s="16" t="s">
        <v>2421</v>
      </c>
      <c r="E136" s="16" t="s">
        <v>83</v>
      </c>
      <c r="F136" s="16">
        <v>2000</v>
      </c>
    </row>
    <row r="137" spans="1:6">
      <c r="A137" s="16" t="s">
        <v>14</v>
      </c>
      <c r="B137" s="16">
        <v>2025</v>
      </c>
      <c r="C137" s="16" t="s">
        <v>2422</v>
      </c>
      <c r="D137" s="16" t="s">
        <v>2423</v>
      </c>
      <c r="E137" s="16" t="s">
        <v>83</v>
      </c>
      <c r="F137" s="16">
        <v>2000</v>
      </c>
    </row>
    <row r="138" spans="1:6">
      <c r="A138" s="16" t="s">
        <v>14</v>
      </c>
      <c r="B138" s="16">
        <v>2025</v>
      </c>
      <c r="C138" s="16" t="s">
        <v>1483</v>
      </c>
      <c r="D138" s="16" t="s">
        <v>2424</v>
      </c>
      <c r="E138" s="16" t="s">
        <v>83</v>
      </c>
      <c r="F138" s="16">
        <v>2000</v>
      </c>
    </row>
    <row r="139" spans="1:6">
      <c r="A139" s="16" t="s">
        <v>14</v>
      </c>
      <c r="B139" s="16">
        <v>2025</v>
      </c>
      <c r="C139" s="16" t="s">
        <v>2425</v>
      </c>
      <c r="D139" s="16" t="s">
        <v>2426</v>
      </c>
      <c r="E139" s="16" t="s">
        <v>83</v>
      </c>
      <c r="F139" s="16">
        <v>2000</v>
      </c>
    </row>
    <row r="140" spans="1:6">
      <c r="A140" s="16" t="s">
        <v>14</v>
      </c>
      <c r="B140" s="16">
        <v>2025</v>
      </c>
      <c r="C140" s="16" t="s">
        <v>2427</v>
      </c>
      <c r="D140" s="16" t="s">
        <v>2413</v>
      </c>
      <c r="E140" s="16" t="s">
        <v>83</v>
      </c>
      <c r="F140" s="16">
        <v>2000</v>
      </c>
    </row>
    <row r="141" spans="1:6">
      <c r="A141" s="16" t="s">
        <v>14</v>
      </c>
      <c r="B141" s="16">
        <v>2025</v>
      </c>
      <c r="C141" s="16" t="s">
        <v>2428</v>
      </c>
      <c r="D141" s="16" t="s">
        <v>2398</v>
      </c>
      <c r="E141" s="16" t="s">
        <v>83</v>
      </c>
      <c r="F141" s="16">
        <v>2000</v>
      </c>
    </row>
    <row r="142" spans="1:6">
      <c r="A142" s="16" t="s">
        <v>14</v>
      </c>
      <c r="B142" s="16">
        <v>2025</v>
      </c>
      <c r="C142" s="16" t="s">
        <v>2429</v>
      </c>
      <c r="D142" s="16" t="s">
        <v>2398</v>
      </c>
      <c r="E142" s="16" t="s">
        <v>83</v>
      </c>
      <c r="F142" s="16">
        <v>2000</v>
      </c>
    </row>
    <row r="143" spans="1:6">
      <c r="A143" s="16" t="s">
        <v>14</v>
      </c>
      <c r="B143" s="16">
        <v>2025</v>
      </c>
      <c r="C143" s="16" t="s">
        <v>2430</v>
      </c>
      <c r="D143" s="16" t="s">
        <v>2398</v>
      </c>
      <c r="E143" s="16" t="s">
        <v>83</v>
      </c>
      <c r="F143" s="16">
        <v>2000</v>
      </c>
    </row>
    <row r="144" spans="1:6">
      <c r="A144" s="16" t="s">
        <v>14</v>
      </c>
      <c r="B144" s="16">
        <v>2025</v>
      </c>
      <c r="C144" s="16" t="s">
        <v>2431</v>
      </c>
      <c r="D144" s="16" t="s">
        <v>2250</v>
      </c>
      <c r="E144" s="16" t="s">
        <v>83</v>
      </c>
      <c r="F144" s="16">
        <v>2000</v>
      </c>
    </row>
    <row r="145" spans="1:6">
      <c r="A145" s="16" t="s">
        <v>14</v>
      </c>
      <c r="B145" s="16">
        <v>2025</v>
      </c>
      <c r="C145" s="16" t="s">
        <v>116</v>
      </c>
      <c r="D145" s="16" t="s">
        <v>2250</v>
      </c>
      <c r="E145" s="16" t="s">
        <v>83</v>
      </c>
      <c r="F145" s="16">
        <v>2000</v>
      </c>
    </row>
    <row r="146" spans="1:6">
      <c r="A146" s="16" t="s">
        <v>14</v>
      </c>
      <c r="B146" s="16">
        <v>2025</v>
      </c>
      <c r="C146" s="16" t="s">
        <v>2432</v>
      </c>
      <c r="D146" s="16" t="s">
        <v>2261</v>
      </c>
      <c r="E146" s="16" t="s">
        <v>83</v>
      </c>
      <c r="F146" s="16">
        <v>2000</v>
      </c>
    </row>
    <row r="147" spans="1:6">
      <c r="A147" s="16" t="s">
        <v>15</v>
      </c>
      <c r="B147" s="16">
        <v>2025</v>
      </c>
      <c r="C147" s="16" t="s">
        <v>2433</v>
      </c>
      <c r="D147" s="16" t="s">
        <v>2434</v>
      </c>
      <c r="E147" s="16" t="s">
        <v>83</v>
      </c>
      <c r="F147" s="16">
        <v>2000</v>
      </c>
    </row>
    <row r="148" spans="1:6">
      <c r="A148" s="16" t="s">
        <v>15</v>
      </c>
      <c r="B148" s="16">
        <v>2025</v>
      </c>
      <c r="C148" s="16" t="s">
        <v>2435</v>
      </c>
      <c r="D148" s="16" t="s">
        <v>2436</v>
      </c>
      <c r="E148" s="16" t="s">
        <v>83</v>
      </c>
      <c r="F148" s="16">
        <v>1750</v>
      </c>
    </row>
    <row r="149" spans="1:6">
      <c r="A149" s="16" t="s">
        <v>15</v>
      </c>
      <c r="B149" s="16">
        <v>2025</v>
      </c>
      <c r="C149" s="16" t="s">
        <v>2437</v>
      </c>
      <c r="D149" s="16" t="s">
        <v>2438</v>
      </c>
      <c r="E149" s="16" t="s">
        <v>83</v>
      </c>
      <c r="F149" s="16">
        <v>2000</v>
      </c>
    </row>
    <row r="150" spans="1:6">
      <c r="A150" s="16" t="s">
        <v>15</v>
      </c>
      <c r="B150" s="16">
        <v>2025</v>
      </c>
      <c r="C150" s="16" t="s">
        <v>2439</v>
      </c>
      <c r="D150" s="16" t="s">
        <v>2440</v>
      </c>
      <c r="E150" s="16" t="s">
        <v>2250</v>
      </c>
      <c r="F150" s="16">
        <v>2000</v>
      </c>
    </row>
    <row r="151" spans="1:6">
      <c r="A151" s="16" t="s">
        <v>15</v>
      </c>
      <c r="B151" s="16">
        <v>2025</v>
      </c>
      <c r="C151" s="16" t="s">
        <v>2441</v>
      </c>
      <c r="D151" s="16" t="s">
        <v>2442</v>
      </c>
      <c r="E151" s="16" t="s">
        <v>83</v>
      </c>
      <c r="F151" s="16">
        <v>2000</v>
      </c>
    </row>
    <row r="152" spans="1:6">
      <c r="A152" s="16" t="s">
        <v>15</v>
      </c>
      <c r="B152" s="16">
        <v>2025</v>
      </c>
      <c r="C152" s="16" t="s">
        <v>2443</v>
      </c>
      <c r="D152" s="16" t="s">
        <v>2444</v>
      </c>
      <c r="E152" s="16" t="s">
        <v>83</v>
      </c>
      <c r="F152" s="16">
        <v>2000</v>
      </c>
    </row>
    <row r="153" spans="1:6">
      <c r="A153" s="16" t="s">
        <v>15</v>
      </c>
      <c r="B153" s="16">
        <v>2025</v>
      </c>
      <c r="C153" s="16" t="s">
        <v>2445</v>
      </c>
      <c r="D153" s="16" t="s">
        <v>2446</v>
      </c>
      <c r="E153" s="16" t="s">
        <v>83</v>
      </c>
      <c r="F153" s="16">
        <v>2000</v>
      </c>
    </row>
    <row r="154" spans="1:6">
      <c r="A154" s="16" t="s">
        <v>15</v>
      </c>
      <c r="B154" s="16">
        <v>2025</v>
      </c>
      <c r="C154" s="16" t="s">
        <v>2447</v>
      </c>
      <c r="D154" s="16" t="s">
        <v>2448</v>
      </c>
      <c r="E154" s="16" t="s">
        <v>83</v>
      </c>
      <c r="F154" s="16">
        <v>2000</v>
      </c>
    </row>
    <row r="155" spans="1:6">
      <c r="A155" s="16" t="s">
        <v>15</v>
      </c>
      <c r="B155" s="16">
        <v>2025</v>
      </c>
      <c r="C155" s="16" t="s">
        <v>2449</v>
      </c>
      <c r="D155" s="16" t="s">
        <v>2450</v>
      </c>
      <c r="E155" s="16" t="s">
        <v>83</v>
      </c>
      <c r="F155" s="16">
        <v>2000</v>
      </c>
    </row>
    <row r="156" spans="1:6">
      <c r="A156" s="16" t="s">
        <v>15</v>
      </c>
      <c r="B156" s="16">
        <v>2025</v>
      </c>
      <c r="C156" s="16" t="s">
        <v>2451</v>
      </c>
      <c r="D156" s="16" t="s">
        <v>2442</v>
      </c>
      <c r="E156" s="16" t="s">
        <v>83</v>
      </c>
      <c r="F156" s="16">
        <v>2000</v>
      </c>
    </row>
    <row r="157" spans="1:6">
      <c r="A157" s="16" t="s">
        <v>15</v>
      </c>
      <c r="B157" s="16">
        <v>2025</v>
      </c>
      <c r="C157" s="16" t="s">
        <v>2452</v>
      </c>
      <c r="D157" s="16" t="s">
        <v>2453</v>
      </c>
      <c r="E157" s="16" t="s">
        <v>83</v>
      </c>
      <c r="F157" s="16">
        <v>2000</v>
      </c>
    </row>
    <row r="158" spans="1:6">
      <c r="A158" s="16" t="s">
        <v>15</v>
      </c>
      <c r="B158" s="16">
        <v>2025</v>
      </c>
      <c r="C158" s="16" t="s">
        <v>2454</v>
      </c>
      <c r="D158" s="16" t="s">
        <v>2455</v>
      </c>
      <c r="E158" s="16" t="s">
        <v>2456</v>
      </c>
      <c r="F158" s="16">
        <v>2000</v>
      </c>
    </row>
    <row r="159" spans="1:6">
      <c r="A159" s="16" t="s">
        <v>15</v>
      </c>
      <c r="B159" s="16">
        <v>2025</v>
      </c>
      <c r="C159" s="16" t="s">
        <v>2457</v>
      </c>
      <c r="D159" s="16" t="s">
        <v>83</v>
      </c>
      <c r="E159" s="16" t="s">
        <v>2458</v>
      </c>
      <c r="F159" s="16">
        <v>2000</v>
      </c>
    </row>
    <row r="160" spans="1:6">
      <c r="A160" s="16" t="s">
        <v>15</v>
      </c>
      <c r="B160" s="16">
        <v>2025</v>
      </c>
      <c r="C160" s="16" t="s">
        <v>2459</v>
      </c>
      <c r="D160" s="16" t="s">
        <v>2460</v>
      </c>
      <c r="E160" s="16" t="s">
        <v>2413</v>
      </c>
      <c r="F160" s="16">
        <v>2000</v>
      </c>
    </row>
    <row r="161" spans="1:6">
      <c r="A161" s="16" t="s">
        <v>15</v>
      </c>
      <c r="B161" s="16">
        <v>2025</v>
      </c>
      <c r="C161" s="16" t="s">
        <v>2461</v>
      </c>
      <c r="D161" s="16" t="s">
        <v>2462</v>
      </c>
      <c r="E161" s="16" t="s">
        <v>83</v>
      </c>
      <c r="F161" s="16">
        <v>2000</v>
      </c>
    </row>
    <row r="162" spans="1:6">
      <c r="A162" s="16" t="s">
        <v>15</v>
      </c>
      <c r="B162" s="16">
        <v>2025</v>
      </c>
      <c r="C162" s="16" t="s">
        <v>2463</v>
      </c>
      <c r="D162" s="16" t="s">
        <v>2464</v>
      </c>
      <c r="E162" s="16" t="s">
        <v>83</v>
      </c>
      <c r="F162" s="16">
        <v>2000</v>
      </c>
    </row>
    <row r="163" spans="1:6">
      <c r="A163" s="16" t="s">
        <v>15</v>
      </c>
      <c r="B163" s="16">
        <v>2025</v>
      </c>
      <c r="C163" s="16" t="s">
        <v>2465</v>
      </c>
      <c r="D163" s="16" t="s">
        <v>2442</v>
      </c>
      <c r="E163" s="16" t="s">
        <v>83</v>
      </c>
      <c r="F163" s="16">
        <v>2000</v>
      </c>
    </row>
    <row r="164" spans="1:6">
      <c r="A164" s="16" t="s">
        <v>15</v>
      </c>
      <c r="B164" s="16">
        <v>2025</v>
      </c>
      <c r="C164" s="16" t="s">
        <v>707</v>
      </c>
      <c r="D164" s="16" t="s">
        <v>2466</v>
      </c>
      <c r="E164" s="16" t="s">
        <v>83</v>
      </c>
      <c r="F164" s="16">
        <v>2000</v>
      </c>
    </row>
    <row r="165" spans="1:6">
      <c r="A165" s="16" t="s">
        <v>15</v>
      </c>
      <c r="B165" s="16">
        <v>2025</v>
      </c>
      <c r="C165" s="16" t="s">
        <v>2467</v>
      </c>
      <c r="D165" s="16" t="s">
        <v>2468</v>
      </c>
      <c r="E165" s="16" t="s">
        <v>83</v>
      </c>
      <c r="F165" s="16">
        <v>500</v>
      </c>
    </row>
    <row r="166" spans="1:6">
      <c r="A166" s="16" t="s">
        <v>23</v>
      </c>
      <c r="B166" s="16">
        <v>2025</v>
      </c>
      <c r="C166" s="16" t="s">
        <v>647</v>
      </c>
      <c r="D166" s="16" t="s">
        <v>2464</v>
      </c>
      <c r="E166" s="16" t="s">
        <v>2469</v>
      </c>
      <c r="F166" s="16">
        <v>2000</v>
      </c>
    </row>
    <row r="167" spans="1:6">
      <c r="A167" s="16" t="s">
        <v>23</v>
      </c>
      <c r="B167" s="16">
        <v>2025</v>
      </c>
      <c r="C167" s="16" t="s">
        <v>1361</v>
      </c>
      <c r="D167" s="16" t="s">
        <v>2464</v>
      </c>
      <c r="E167" s="16" t="s">
        <v>2470</v>
      </c>
      <c r="F167" s="16">
        <v>2000</v>
      </c>
    </row>
    <row r="168" spans="1:6">
      <c r="A168" s="16" t="s">
        <v>23</v>
      </c>
      <c r="B168" s="16">
        <v>2025</v>
      </c>
      <c r="C168" s="16" t="s">
        <v>2471</v>
      </c>
      <c r="D168" s="16" t="s">
        <v>2464</v>
      </c>
      <c r="E168" s="16" t="s">
        <v>2472</v>
      </c>
      <c r="F168" s="16">
        <v>2000</v>
      </c>
    </row>
    <row r="169" spans="1:6">
      <c r="A169" s="16" t="s">
        <v>23</v>
      </c>
      <c r="B169" s="16">
        <v>2025</v>
      </c>
      <c r="C169" s="16" t="s">
        <v>2473</v>
      </c>
      <c r="D169" s="16" t="s">
        <v>2464</v>
      </c>
      <c r="E169" s="16" t="s">
        <v>2474</v>
      </c>
      <c r="F169" s="16">
        <v>2000</v>
      </c>
    </row>
    <row r="170" spans="1:6">
      <c r="A170" s="16" t="s">
        <v>23</v>
      </c>
      <c r="B170" s="16">
        <v>2025</v>
      </c>
      <c r="C170" s="16" t="s">
        <v>642</v>
      </c>
      <c r="D170" s="16" t="s">
        <v>2464</v>
      </c>
      <c r="E170" s="16" t="s">
        <v>2475</v>
      </c>
      <c r="F170" s="16">
        <v>2000</v>
      </c>
    </row>
    <row r="171" spans="1:6">
      <c r="A171" s="16" t="s">
        <v>83</v>
      </c>
      <c r="B171" s="16" t="s">
        <v>83</v>
      </c>
      <c r="C171" s="16" t="s">
        <v>83</v>
      </c>
      <c r="D171" s="16" t="s">
        <v>83</v>
      </c>
      <c r="E171" s="16" t="s">
        <v>83</v>
      </c>
      <c r="F171" s="16" t="s">
        <v>83</v>
      </c>
    </row>
    <row r="172" spans="1:6">
      <c r="A172" s="16" t="s">
        <v>20</v>
      </c>
      <c r="B172" s="16">
        <v>2025</v>
      </c>
      <c r="C172" s="16" t="s">
        <v>2277</v>
      </c>
      <c r="D172" s="16" t="s">
        <v>83</v>
      </c>
      <c r="E172" s="16" t="s">
        <v>2476</v>
      </c>
      <c r="F172" s="16">
        <v>2000</v>
      </c>
    </row>
    <row r="173" spans="1:6">
      <c r="A173" s="16" t="s">
        <v>20</v>
      </c>
      <c r="B173" s="16">
        <v>2025</v>
      </c>
      <c r="C173" s="16" t="s">
        <v>2477</v>
      </c>
      <c r="D173" s="16" t="s">
        <v>83</v>
      </c>
      <c r="E173" s="16" t="s">
        <v>2478</v>
      </c>
      <c r="F173" s="16">
        <v>2000</v>
      </c>
    </row>
    <row r="174" spans="1:6">
      <c r="A174" s="16" t="s">
        <v>20</v>
      </c>
      <c r="B174" s="16">
        <v>2025</v>
      </c>
      <c r="C174" s="16" t="s">
        <v>2288</v>
      </c>
      <c r="D174" s="16" t="s">
        <v>83</v>
      </c>
      <c r="E174" s="16" t="s">
        <v>2478</v>
      </c>
      <c r="F174" s="16">
        <v>2000</v>
      </c>
    </row>
    <row r="175" spans="1:6">
      <c r="A175" s="16" t="s">
        <v>20</v>
      </c>
      <c r="B175" s="16">
        <v>2025</v>
      </c>
      <c r="C175" s="16" t="s">
        <v>2479</v>
      </c>
      <c r="D175" s="16" t="s">
        <v>83</v>
      </c>
      <c r="E175" s="16" t="s">
        <v>2478</v>
      </c>
      <c r="F175" s="16">
        <v>2000</v>
      </c>
    </row>
    <row r="176" spans="1:6">
      <c r="A176" s="16" t="s">
        <v>20</v>
      </c>
      <c r="B176" s="16">
        <v>2025</v>
      </c>
      <c r="C176" s="16" t="s">
        <v>2480</v>
      </c>
      <c r="D176" s="16" t="s">
        <v>83</v>
      </c>
      <c r="E176" s="16" t="s">
        <v>2478</v>
      </c>
      <c r="F176" s="16">
        <v>2000</v>
      </c>
    </row>
    <row r="177" spans="1:6">
      <c r="A177" s="16" t="s">
        <v>20</v>
      </c>
      <c r="B177" s="16">
        <v>2025</v>
      </c>
      <c r="C177" s="16" t="s">
        <v>2481</v>
      </c>
      <c r="D177" s="16" t="s">
        <v>83</v>
      </c>
      <c r="E177" s="16" t="s">
        <v>2478</v>
      </c>
      <c r="F177" s="16">
        <v>2000</v>
      </c>
    </row>
    <row r="178" spans="1:6">
      <c r="A178" s="16" t="s">
        <v>20</v>
      </c>
      <c r="B178" s="16">
        <v>2025</v>
      </c>
      <c r="C178" s="16" t="s">
        <v>2482</v>
      </c>
      <c r="D178" s="16" t="s">
        <v>83</v>
      </c>
      <c r="E178" s="16" t="s">
        <v>2478</v>
      </c>
      <c r="F178" s="16">
        <v>1500</v>
      </c>
    </row>
    <row r="179" spans="1:6">
      <c r="A179" s="16" t="s">
        <v>20</v>
      </c>
      <c r="B179" s="16">
        <v>2025</v>
      </c>
      <c r="C179" s="16" t="s">
        <v>2483</v>
      </c>
      <c r="D179" s="16" t="s">
        <v>83</v>
      </c>
      <c r="E179" s="16" t="s">
        <v>2478</v>
      </c>
      <c r="F179" s="16">
        <v>1000</v>
      </c>
    </row>
    <row r="180" spans="1:6">
      <c r="A180" s="16" t="s">
        <v>20</v>
      </c>
      <c r="B180" s="16">
        <v>2025</v>
      </c>
      <c r="C180" s="16" t="s">
        <v>2484</v>
      </c>
      <c r="D180" s="16" t="s">
        <v>83</v>
      </c>
      <c r="E180" s="16" t="s">
        <v>2478</v>
      </c>
      <c r="F180" s="16">
        <v>500</v>
      </c>
    </row>
    <row r="181" spans="1:6">
      <c r="A181" s="16" t="s">
        <v>20</v>
      </c>
      <c r="B181" s="16">
        <v>2025</v>
      </c>
      <c r="C181" s="16" t="s">
        <v>2485</v>
      </c>
      <c r="D181" s="16" t="s">
        <v>83</v>
      </c>
      <c r="E181" s="16" t="s">
        <v>2486</v>
      </c>
      <c r="F181" s="16">
        <v>1000</v>
      </c>
    </row>
    <row r="182" spans="1:6">
      <c r="A182" s="16" t="s">
        <v>16</v>
      </c>
      <c r="B182" s="16">
        <v>2025</v>
      </c>
      <c r="C182" s="16" t="s">
        <v>445</v>
      </c>
      <c r="D182" s="16" t="s">
        <v>2487</v>
      </c>
      <c r="E182" s="16" t="s">
        <v>83</v>
      </c>
      <c r="F182" s="16">
        <v>37800</v>
      </c>
    </row>
    <row r="183" spans="1:6">
      <c r="A183" s="16" t="s">
        <v>16</v>
      </c>
      <c r="B183" s="16">
        <v>2025</v>
      </c>
      <c r="C183" s="16" t="s">
        <v>2488</v>
      </c>
      <c r="D183" s="16" t="s">
        <v>2487</v>
      </c>
      <c r="E183" s="16" t="s">
        <v>83</v>
      </c>
      <c r="F183" s="16">
        <v>9900</v>
      </c>
    </row>
    <row r="184" spans="1:6">
      <c r="A184" s="16" t="s">
        <v>16</v>
      </c>
      <c r="B184" s="16">
        <v>2025</v>
      </c>
      <c r="C184" s="16" t="s">
        <v>358</v>
      </c>
      <c r="D184" s="16" t="s">
        <v>2489</v>
      </c>
      <c r="E184" s="16" t="s">
        <v>83</v>
      </c>
      <c r="F184" s="16">
        <v>7200</v>
      </c>
    </row>
    <row r="185" spans="1:6">
      <c r="A185" s="16" t="s">
        <v>16</v>
      </c>
      <c r="B185" s="16">
        <v>2025</v>
      </c>
      <c r="C185" s="16" t="s">
        <v>1285</v>
      </c>
      <c r="D185" s="16" t="s">
        <v>2489</v>
      </c>
      <c r="E185" s="16" t="s">
        <v>83</v>
      </c>
      <c r="F185" s="16">
        <v>3600</v>
      </c>
    </row>
    <row r="186" spans="1:6">
      <c r="A186" s="16" t="s">
        <v>16</v>
      </c>
      <c r="B186" s="16">
        <v>2025</v>
      </c>
      <c r="C186" s="16" t="s">
        <v>2490</v>
      </c>
      <c r="D186" s="16" t="s">
        <v>2487</v>
      </c>
      <c r="E186" s="16" t="s">
        <v>83</v>
      </c>
      <c r="F186" s="16">
        <v>22200</v>
      </c>
    </row>
    <row r="187" spans="1:6">
      <c r="A187" s="16" t="s">
        <v>16</v>
      </c>
      <c r="B187" s="16">
        <v>2025</v>
      </c>
      <c r="C187" s="16" t="s">
        <v>2491</v>
      </c>
      <c r="D187" s="16" t="s">
        <v>2489</v>
      </c>
      <c r="E187" s="16" t="s">
        <v>83</v>
      </c>
      <c r="F187" s="16">
        <v>47000</v>
      </c>
    </row>
    <row r="188" spans="1:6">
      <c r="A188" s="16" t="s">
        <v>16</v>
      </c>
      <c r="B188" s="16">
        <v>2025</v>
      </c>
      <c r="C188" s="16" t="s">
        <v>2492</v>
      </c>
      <c r="D188" s="16" t="s">
        <v>2489</v>
      </c>
      <c r="E188" s="16" t="s">
        <v>83</v>
      </c>
      <c r="F188" s="16">
        <v>9600</v>
      </c>
    </row>
    <row r="189" spans="1:6">
      <c r="A189" s="16" t="s">
        <v>16</v>
      </c>
      <c r="B189" s="16">
        <v>2025</v>
      </c>
      <c r="C189" s="16" t="s">
        <v>2492</v>
      </c>
      <c r="D189" s="16" t="s">
        <v>2487</v>
      </c>
      <c r="E189" s="16" t="s">
        <v>83</v>
      </c>
      <c r="F189" s="16">
        <v>7200</v>
      </c>
    </row>
    <row r="190" spans="1:6">
      <c r="A190" s="16" t="s">
        <v>16</v>
      </c>
      <c r="B190" s="16">
        <v>2025</v>
      </c>
      <c r="C190" s="16" t="s">
        <v>659</v>
      </c>
      <c r="D190" s="16" t="s">
        <v>2489</v>
      </c>
      <c r="E190" s="16" t="s">
        <v>83</v>
      </c>
      <c r="F190" s="16">
        <v>3600</v>
      </c>
    </row>
    <row r="191" spans="1:6">
      <c r="A191" s="16" t="s">
        <v>16</v>
      </c>
      <c r="B191" s="16">
        <v>2025</v>
      </c>
      <c r="C191" s="16" t="s">
        <v>659</v>
      </c>
      <c r="D191" s="16" t="s">
        <v>2487</v>
      </c>
      <c r="E191" s="16" t="s">
        <v>83</v>
      </c>
      <c r="F191" s="16">
        <v>7200</v>
      </c>
    </row>
    <row r="192" spans="1:6">
      <c r="A192" s="16" t="s">
        <v>16</v>
      </c>
      <c r="B192" s="16">
        <v>2025</v>
      </c>
      <c r="C192" s="16" t="s">
        <v>2493</v>
      </c>
      <c r="D192" s="16" t="s">
        <v>2489</v>
      </c>
      <c r="E192" s="16" t="s">
        <v>83</v>
      </c>
      <c r="F192" s="16">
        <v>3600</v>
      </c>
    </row>
    <row r="193" spans="1:6">
      <c r="A193" s="16" t="s">
        <v>16</v>
      </c>
      <c r="B193" s="16">
        <v>2025</v>
      </c>
      <c r="C193" s="16" t="s">
        <v>2493</v>
      </c>
      <c r="D193" s="16" t="s">
        <v>2487</v>
      </c>
      <c r="E193" s="16" t="s">
        <v>83</v>
      </c>
      <c r="F193" s="16">
        <v>7200</v>
      </c>
    </row>
    <row r="194" spans="1:6">
      <c r="A194" s="16" t="s">
        <v>23</v>
      </c>
      <c r="B194" s="16">
        <v>2025</v>
      </c>
      <c r="C194" s="16" t="s">
        <v>2294</v>
      </c>
      <c r="D194" s="16" t="s">
        <v>2489</v>
      </c>
      <c r="E194" s="16" t="s">
        <v>83</v>
      </c>
      <c r="F194" s="16">
        <v>9600</v>
      </c>
    </row>
    <row r="195" spans="1:6">
      <c r="A195" s="16" t="s">
        <v>23</v>
      </c>
      <c r="B195" s="16">
        <v>2025</v>
      </c>
      <c r="C195" s="16" t="s">
        <v>2294</v>
      </c>
      <c r="D195" s="16" t="s">
        <v>2487</v>
      </c>
      <c r="E195" s="16" t="s">
        <v>83</v>
      </c>
      <c r="F195" s="16">
        <v>4500</v>
      </c>
    </row>
    <row r="196" spans="1:6">
      <c r="A196" s="16" t="s">
        <v>23</v>
      </c>
      <c r="B196" s="16">
        <v>2025</v>
      </c>
      <c r="C196" s="16" t="s">
        <v>1383</v>
      </c>
      <c r="D196" s="16" t="s">
        <v>2487</v>
      </c>
      <c r="E196" s="16" t="s">
        <v>83</v>
      </c>
      <c r="F196" s="16">
        <v>27000</v>
      </c>
    </row>
    <row r="197" spans="1:6">
      <c r="A197" s="16" t="s">
        <v>23</v>
      </c>
      <c r="B197" s="16">
        <v>2025</v>
      </c>
      <c r="C197" s="16" t="s">
        <v>1383</v>
      </c>
      <c r="D197" s="16" t="s">
        <v>2489</v>
      </c>
      <c r="E197" s="16" t="s">
        <v>83</v>
      </c>
      <c r="F197" s="16">
        <v>2400</v>
      </c>
    </row>
    <row r="198" spans="1:6">
      <c r="A198" s="16" t="s">
        <v>23</v>
      </c>
      <c r="B198" s="16">
        <v>2025</v>
      </c>
      <c r="C198" s="16" t="s">
        <v>2471</v>
      </c>
      <c r="D198" s="16" t="s">
        <v>2489</v>
      </c>
      <c r="E198" s="16" t="s">
        <v>83</v>
      </c>
      <c r="F198" s="16">
        <v>8900</v>
      </c>
    </row>
    <row r="199" spans="1:6">
      <c r="A199" s="16" t="s">
        <v>23</v>
      </c>
      <c r="B199" s="16">
        <v>2025</v>
      </c>
      <c r="C199" s="16" t="s">
        <v>2494</v>
      </c>
      <c r="D199" s="16" t="s">
        <v>2489</v>
      </c>
      <c r="E199" s="16" t="s">
        <v>83</v>
      </c>
      <c r="F199" s="16">
        <v>7200</v>
      </c>
    </row>
    <row r="200" spans="1:6">
      <c r="A200" s="16" t="s">
        <v>23</v>
      </c>
      <c r="B200" s="16">
        <v>2025</v>
      </c>
      <c r="C200" s="16" t="s">
        <v>2495</v>
      </c>
      <c r="D200" s="16" t="s">
        <v>2489</v>
      </c>
      <c r="E200" s="16" t="s">
        <v>83</v>
      </c>
      <c r="F200" s="16">
        <v>19800</v>
      </c>
    </row>
    <row r="201" spans="1:6">
      <c r="A201" s="16" t="s">
        <v>23</v>
      </c>
      <c r="B201" s="16">
        <v>2025</v>
      </c>
      <c r="C201" s="16" t="s">
        <v>2496</v>
      </c>
      <c r="D201" s="16" t="s">
        <v>2489</v>
      </c>
      <c r="E201" s="16" t="s">
        <v>83</v>
      </c>
      <c r="F201" s="16">
        <v>7200</v>
      </c>
    </row>
    <row r="202" spans="1:6">
      <c r="A202" s="16" t="s">
        <v>15</v>
      </c>
      <c r="B202" s="16">
        <v>2025</v>
      </c>
      <c r="C202" s="16" t="s">
        <v>2437</v>
      </c>
      <c r="D202" s="16" t="s">
        <v>2048</v>
      </c>
      <c r="E202" s="16" t="s">
        <v>83</v>
      </c>
      <c r="F202" s="16">
        <v>40800</v>
      </c>
    </row>
    <row r="203" spans="1:6">
      <c r="A203" s="16" t="s">
        <v>15</v>
      </c>
      <c r="B203" s="16">
        <v>2025</v>
      </c>
      <c r="C203" s="16" t="s">
        <v>2439</v>
      </c>
      <c r="D203" s="16" t="s">
        <v>2048</v>
      </c>
      <c r="E203" s="16" t="s">
        <v>83</v>
      </c>
      <c r="F203" s="16">
        <v>40800</v>
      </c>
    </row>
    <row r="204" spans="1:6">
      <c r="A204" s="16" t="s">
        <v>15</v>
      </c>
      <c r="B204" s="16">
        <v>2025</v>
      </c>
      <c r="C204" s="16" t="s">
        <v>2441</v>
      </c>
      <c r="D204" s="16" t="s">
        <v>2497</v>
      </c>
      <c r="E204" s="16" t="s">
        <v>83</v>
      </c>
      <c r="F204" s="16">
        <v>18000</v>
      </c>
    </row>
    <row r="205" spans="1:6">
      <c r="A205" s="16" t="s">
        <v>15</v>
      </c>
      <c r="B205" s="16">
        <v>2025</v>
      </c>
      <c r="C205" s="16" t="s">
        <v>2443</v>
      </c>
      <c r="D205" s="16" t="s">
        <v>2497</v>
      </c>
      <c r="E205" s="16" t="s">
        <v>83</v>
      </c>
      <c r="F205" s="16">
        <v>18000</v>
      </c>
    </row>
    <row r="206" spans="1:6">
      <c r="A206" s="16" t="s">
        <v>15</v>
      </c>
      <c r="B206" s="16">
        <v>2025</v>
      </c>
      <c r="C206" s="16" t="s">
        <v>2445</v>
      </c>
      <c r="D206" s="16" t="s">
        <v>2048</v>
      </c>
      <c r="E206" s="16" t="s">
        <v>83</v>
      </c>
      <c r="F206" s="16">
        <v>33600</v>
      </c>
    </row>
    <row r="207" spans="1:6">
      <c r="A207" s="16" t="s">
        <v>15</v>
      </c>
      <c r="B207" s="16">
        <v>2025</v>
      </c>
      <c r="C207" s="16" t="s">
        <v>2447</v>
      </c>
      <c r="D207" s="16" t="s">
        <v>2048</v>
      </c>
      <c r="E207" s="16" t="s">
        <v>83</v>
      </c>
      <c r="F207" s="16">
        <v>20800</v>
      </c>
    </row>
    <row r="208" spans="1:6">
      <c r="A208" s="16" t="s">
        <v>15</v>
      </c>
      <c r="B208" s="16">
        <v>2025</v>
      </c>
      <c r="C208" s="16" t="s">
        <v>2498</v>
      </c>
      <c r="D208" s="16" t="s">
        <v>2048</v>
      </c>
      <c r="E208" s="16" t="s">
        <v>83</v>
      </c>
      <c r="F208" s="16">
        <v>9600</v>
      </c>
    </row>
    <row r="209" spans="1:6">
      <c r="A209" s="16" t="s">
        <v>15</v>
      </c>
      <c r="B209" s="16">
        <v>2025</v>
      </c>
      <c r="C209" s="16" t="s">
        <v>2499</v>
      </c>
      <c r="D209" s="16" t="s">
        <v>2048</v>
      </c>
      <c r="E209" s="16" t="s">
        <v>83</v>
      </c>
      <c r="F209" s="16">
        <v>9600</v>
      </c>
    </row>
    <row r="210" spans="1:6">
      <c r="A210" s="16" t="s">
        <v>1787</v>
      </c>
      <c r="B210" s="16">
        <v>2025</v>
      </c>
      <c r="C210" s="16" t="s">
        <v>96</v>
      </c>
      <c r="D210" s="16" t="s">
        <v>2500</v>
      </c>
      <c r="E210" s="16" t="s">
        <v>2501</v>
      </c>
      <c r="F210" s="16">
        <v>33800</v>
      </c>
    </row>
    <row r="211" spans="1:6">
      <c r="A211" s="16" t="s">
        <v>1787</v>
      </c>
      <c r="B211" s="16">
        <v>2025</v>
      </c>
      <c r="C211" s="16" t="s">
        <v>2502</v>
      </c>
      <c r="D211" s="16" t="s">
        <v>2503</v>
      </c>
      <c r="E211" s="16" t="s">
        <v>2504</v>
      </c>
      <c r="F211" s="16">
        <v>4450</v>
      </c>
    </row>
    <row r="212" spans="1:6">
      <c r="A212" s="16" t="s">
        <v>1787</v>
      </c>
      <c r="B212" s="16">
        <v>2025</v>
      </c>
      <c r="C212" s="16" t="s">
        <v>2505</v>
      </c>
      <c r="D212" s="16" t="s">
        <v>2322</v>
      </c>
      <c r="E212" s="16" t="s">
        <v>2501</v>
      </c>
      <c r="F212" s="16">
        <v>17000</v>
      </c>
    </row>
    <row r="213" spans="1:6">
      <c r="A213" s="16" t="s">
        <v>1787</v>
      </c>
      <c r="B213" s="16">
        <v>2025</v>
      </c>
      <c r="C213" s="16" t="s">
        <v>2506</v>
      </c>
      <c r="D213" s="16" t="s">
        <v>83</v>
      </c>
      <c r="E213" s="16" t="s">
        <v>2504</v>
      </c>
      <c r="F213" s="16">
        <v>2000</v>
      </c>
    </row>
    <row r="214" spans="1:6">
      <c r="A214" s="16" t="s">
        <v>1787</v>
      </c>
      <c r="B214" s="16">
        <v>2025</v>
      </c>
      <c r="C214" s="16" t="s">
        <v>2507</v>
      </c>
      <c r="D214" s="16" t="s">
        <v>83</v>
      </c>
      <c r="E214" s="16" t="s">
        <v>2501</v>
      </c>
      <c r="F214" s="16">
        <v>2000</v>
      </c>
    </row>
    <row r="215" spans="1:6">
      <c r="A215" s="16" t="s">
        <v>1787</v>
      </c>
      <c r="B215" s="16">
        <v>2025</v>
      </c>
      <c r="C215" s="16" t="s">
        <v>2508</v>
      </c>
      <c r="D215" s="16" t="s">
        <v>83</v>
      </c>
      <c r="E215" s="16" t="s">
        <v>2504</v>
      </c>
      <c r="F215" s="16">
        <v>2000</v>
      </c>
    </row>
    <row r="216" spans="1:6">
      <c r="A216" s="16" t="s">
        <v>1787</v>
      </c>
      <c r="B216" s="16">
        <v>2025</v>
      </c>
      <c r="C216" s="16" t="s">
        <v>2509</v>
      </c>
      <c r="D216" s="16" t="s">
        <v>83</v>
      </c>
      <c r="E216" s="16" t="s">
        <v>2501</v>
      </c>
      <c r="F216" s="16">
        <v>1600</v>
      </c>
    </row>
    <row r="217" spans="1:6">
      <c r="A217" s="16" t="s">
        <v>1787</v>
      </c>
      <c r="B217" s="16">
        <v>2025</v>
      </c>
      <c r="C217" s="16" t="s">
        <v>2510</v>
      </c>
      <c r="D217" s="16" t="s">
        <v>83</v>
      </c>
      <c r="E217" s="16" t="s">
        <v>2504</v>
      </c>
      <c r="F217" s="16">
        <v>2000</v>
      </c>
    </row>
    <row r="218" spans="1:6">
      <c r="A218" s="16" t="s">
        <v>1787</v>
      </c>
      <c r="B218" s="16">
        <v>2025</v>
      </c>
      <c r="C218" s="16" t="s">
        <v>2511</v>
      </c>
      <c r="D218" s="16" t="s">
        <v>83</v>
      </c>
      <c r="E218" s="16" t="s">
        <v>2501</v>
      </c>
      <c r="F218" s="16">
        <v>2000</v>
      </c>
    </row>
    <row r="219" spans="1:6">
      <c r="A219" s="16" t="s">
        <v>1787</v>
      </c>
      <c r="B219" s="16">
        <v>2025</v>
      </c>
      <c r="C219" s="16" t="s">
        <v>2512</v>
      </c>
      <c r="D219" s="16" t="s">
        <v>83</v>
      </c>
      <c r="E219" s="16" t="s">
        <v>2504</v>
      </c>
      <c r="F219" s="16">
        <v>2000</v>
      </c>
    </row>
    <row r="220" spans="1:6">
      <c r="A220" s="16" t="s">
        <v>1787</v>
      </c>
      <c r="B220" s="16">
        <v>2025</v>
      </c>
      <c r="C220" s="16" t="s">
        <v>2513</v>
      </c>
      <c r="D220" s="16" t="s">
        <v>83</v>
      </c>
      <c r="E220" s="16" t="s">
        <v>2501</v>
      </c>
      <c r="F220" s="16">
        <v>2000</v>
      </c>
    </row>
    <row r="221" spans="1:6">
      <c r="A221" s="16" t="s">
        <v>1787</v>
      </c>
      <c r="B221" s="16">
        <v>2025</v>
      </c>
      <c r="C221" s="16" t="s">
        <v>2514</v>
      </c>
      <c r="D221" s="16" t="s">
        <v>83</v>
      </c>
      <c r="E221" s="16" t="s">
        <v>2504</v>
      </c>
      <c r="F221" s="16">
        <v>2000</v>
      </c>
    </row>
    <row r="222" spans="1:6">
      <c r="A222" s="16" t="s">
        <v>1787</v>
      </c>
      <c r="B222" s="16">
        <v>2025</v>
      </c>
      <c r="C222" s="16" t="s">
        <v>2515</v>
      </c>
      <c r="D222" s="16" t="s">
        <v>83</v>
      </c>
      <c r="E222" s="16" t="s">
        <v>2501</v>
      </c>
      <c r="F222" s="16">
        <v>2000</v>
      </c>
    </row>
    <row r="223" spans="1:6">
      <c r="A223" s="16" t="s">
        <v>1787</v>
      </c>
      <c r="B223" s="16">
        <v>2025</v>
      </c>
      <c r="C223" s="16" t="s">
        <v>2516</v>
      </c>
      <c r="D223" s="16" t="s">
        <v>83</v>
      </c>
      <c r="E223" s="16" t="s">
        <v>2504</v>
      </c>
      <c r="F223" s="16">
        <v>2000</v>
      </c>
    </row>
    <row r="224" spans="1:6">
      <c r="A224" s="16" t="s">
        <v>1787</v>
      </c>
      <c r="B224" s="16">
        <v>2025</v>
      </c>
      <c r="C224" s="16" t="s">
        <v>2517</v>
      </c>
      <c r="D224" s="16" t="s">
        <v>83</v>
      </c>
      <c r="E224" s="16" t="s">
        <v>2501</v>
      </c>
      <c r="F224" s="16">
        <v>1100</v>
      </c>
    </row>
    <row r="225" spans="1:6">
      <c r="A225" s="16" t="s">
        <v>424</v>
      </c>
      <c r="B225" s="16">
        <v>2025</v>
      </c>
      <c r="C225" s="16" t="s">
        <v>2518</v>
      </c>
      <c r="D225" s="16" t="s">
        <v>83</v>
      </c>
      <c r="E225" s="16" t="s">
        <v>2519</v>
      </c>
      <c r="F225" s="16">
        <v>1000</v>
      </c>
    </row>
    <row r="226" spans="1:6">
      <c r="A226" s="16" t="s">
        <v>424</v>
      </c>
      <c r="B226" s="16">
        <v>2025</v>
      </c>
      <c r="C226" s="16" t="s">
        <v>2520</v>
      </c>
      <c r="D226" s="16" t="s">
        <v>83</v>
      </c>
      <c r="E226" s="16" t="s">
        <v>2521</v>
      </c>
      <c r="F226" s="16">
        <v>2000</v>
      </c>
    </row>
    <row r="227" spans="1:6">
      <c r="A227" s="16" t="s">
        <v>424</v>
      </c>
      <c r="B227" s="16">
        <v>2025</v>
      </c>
      <c r="C227" s="16" t="s">
        <v>2522</v>
      </c>
      <c r="D227" s="16" t="s">
        <v>83</v>
      </c>
      <c r="E227" s="16" t="s">
        <v>2523</v>
      </c>
      <c r="F227" s="16">
        <v>2000</v>
      </c>
    </row>
    <row r="228" spans="1:6">
      <c r="A228" s="16" t="s">
        <v>424</v>
      </c>
      <c r="B228" s="16">
        <v>2025</v>
      </c>
      <c r="C228" s="16" t="s">
        <v>2524</v>
      </c>
      <c r="D228" s="16" t="s">
        <v>83</v>
      </c>
      <c r="E228" s="16" t="s">
        <v>2523</v>
      </c>
      <c r="F228" s="16">
        <v>2000</v>
      </c>
    </row>
    <row r="229" spans="1:6">
      <c r="A229" s="16" t="s">
        <v>424</v>
      </c>
      <c r="B229" s="16">
        <v>2025</v>
      </c>
      <c r="C229" s="16" t="s">
        <v>2525</v>
      </c>
      <c r="D229" s="16" t="s">
        <v>83</v>
      </c>
      <c r="E229" s="16" t="s">
        <v>2523</v>
      </c>
      <c r="F229" s="16">
        <v>2000</v>
      </c>
    </row>
    <row r="230" spans="1:6">
      <c r="A230" s="16" t="s">
        <v>424</v>
      </c>
      <c r="B230" s="16">
        <v>2025</v>
      </c>
      <c r="C230" s="16" t="s">
        <v>2526</v>
      </c>
      <c r="D230" s="16" t="s">
        <v>83</v>
      </c>
      <c r="E230" s="16" t="s">
        <v>2521</v>
      </c>
      <c r="F230" s="16">
        <v>1760</v>
      </c>
    </row>
    <row r="231" spans="1:6">
      <c r="A231" s="16" t="s">
        <v>424</v>
      </c>
      <c r="B231" s="16">
        <v>2025</v>
      </c>
      <c r="C231" s="16" t="s">
        <v>2527</v>
      </c>
      <c r="D231" s="16" t="s">
        <v>83</v>
      </c>
      <c r="E231" s="16" t="s">
        <v>2521</v>
      </c>
      <c r="F231" s="16">
        <v>1760</v>
      </c>
    </row>
    <row r="232" spans="1:6">
      <c r="A232" s="16" t="s">
        <v>424</v>
      </c>
      <c r="B232" s="16">
        <v>2025</v>
      </c>
      <c r="C232" s="16" t="s">
        <v>2526</v>
      </c>
      <c r="D232" s="16" t="s">
        <v>83</v>
      </c>
      <c r="E232" s="16" t="s">
        <v>2528</v>
      </c>
      <c r="F232" s="16">
        <v>15000</v>
      </c>
    </row>
    <row r="233" spans="1:6">
      <c r="A233" s="16" t="s">
        <v>895</v>
      </c>
      <c r="B233" s="16">
        <v>2025</v>
      </c>
      <c r="C233" s="16" t="s">
        <v>2529</v>
      </c>
      <c r="D233" s="16" t="s">
        <v>2530</v>
      </c>
      <c r="E233" s="16" t="s">
        <v>83</v>
      </c>
      <c r="F233" s="16">
        <v>10000</v>
      </c>
    </row>
    <row r="234" spans="1:6">
      <c r="A234" s="16" t="s">
        <v>19</v>
      </c>
      <c r="B234" s="16">
        <v>2025</v>
      </c>
      <c r="C234" s="16" t="s">
        <v>2531</v>
      </c>
      <c r="D234" s="16" t="s">
        <v>2532</v>
      </c>
      <c r="E234" s="16" t="s">
        <v>83</v>
      </c>
      <c r="F234" s="16">
        <v>20000</v>
      </c>
    </row>
    <row r="235" spans="1:6">
      <c r="A235" s="16" t="s">
        <v>19</v>
      </c>
      <c r="B235" s="16">
        <v>2025</v>
      </c>
      <c r="C235" s="16" t="s">
        <v>2533</v>
      </c>
      <c r="D235" s="16" t="s">
        <v>2534</v>
      </c>
      <c r="E235" s="16" t="s">
        <v>83</v>
      </c>
      <c r="F235" s="16">
        <v>15000</v>
      </c>
    </row>
    <row r="236" spans="1:6">
      <c r="A236" s="16" t="s">
        <v>895</v>
      </c>
      <c r="B236" s="16">
        <v>2025</v>
      </c>
      <c r="C236" s="16" t="s">
        <v>2535</v>
      </c>
      <c r="D236" s="16" t="s">
        <v>2536</v>
      </c>
      <c r="E236" s="16" t="s">
        <v>83</v>
      </c>
      <c r="F236" s="16">
        <v>10000</v>
      </c>
    </row>
    <row r="237" spans="1:6">
      <c r="A237" s="16" t="s">
        <v>19</v>
      </c>
      <c r="B237" s="16">
        <v>2025</v>
      </c>
      <c r="C237" s="16" t="s">
        <v>937</v>
      </c>
      <c r="D237" s="16" t="s">
        <v>2537</v>
      </c>
      <c r="E237" s="16" t="s">
        <v>83</v>
      </c>
      <c r="F237" s="16">
        <v>10000</v>
      </c>
    </row>
    <row r="238" spans="1:6">
      <c r="A238" s="16" t="s">
        <v>19</v>
      </c>
      <c r="B238" s="16">
        <v>2025</v>
      </c>
      <c r="C238" s="16" t="s">
        <v>2538</v>
      </c>
      <c r="D238" s="16" t="s">
        <v>2539</v>
      </c>
      <c r="E238" s="16" t="s">
        <v>83</v>
      </c>
      <c r="F238" s="16">
        <v>5000</v>
      </c>
    </row>
    <row r="239" spans="1:6">
      <c r="A239" s="16" t="s">
        <v>19</v>
      </c>
      <c r="B239" s="16">
        <v>2025</v>
      </c>
      <c r="C239" s="16" t="s">
        <v>2540</v>
      </c>
      <c r="D239" s="16" t="s">
        <v>2504</v>
      </c>
      <c r="E239" s="16" t="s">
        <v>83</v>
      </c>
      <c r="F239" s="16">
        <v>2000</v>
      </c>
    </row>
    <row r="240" spans="1:6">
      <c r="A240" s="16" t="s">
        <v>19</v>
      </c>
      <c r="B240" s="16">
        <v>2025</v>
      </c>
      <c r="C240" s="16" t="s">
        <v>948</v>
      </c>
      <c r="D240" s="16" t="s">
        <v>2501</v>
      </c>
      <c r="E240" s="16" t="s">
        <v>83</v>
      </c>
      <c r="F240" s="16">
        <v>2000</v>
      </c>
    </row>
    <row r="241" spans="1:6">
      <c r="A241" s="16" t="s">
        <v>19</v>
      </c>
      <c r="B241" s="16">
        <v>2025</v>
      </c>
      <c r="C241" s="16" t="s">
        <v>942</v>
      </c>
      <c r="D241" s="16" t="s">
        <v>2504</v>
      </c>
      <c r="E241" s="16" t="s">
        <v>83</v>
      </c>
      <c r="F241" s="16">
        <v>2000</v>
      </c>
    </row>
    <row r="242" spans="1:6">
      <c r="A242" s="16" t="s">
        <v>19</v>
      </c>
      <c r="B242" s="16">
        <v>2025</v>
      </c>
      <c r="C242" s="16" t="s">
        <v>2541</v>
      </c>
      <c r="D242" s="16" t="s">
        <v>2504</v>
      </c>
      <c r="E242" s="16" t="s">
        <v>83</v>
      </c>
      <c r="F242" s="16">
        <v>2000</v>
      </c>
    </row>
    <row r="243" spans="1:6">
      <c r="A243" s="16" t="s">
        <v>895</v>
      </c>
      <c r="B243" s="16">
        <v>2025</v>
      </c>
      <c r="C243" s="16" t="s">
        <v>2542</v>
      </c>
      <c r="D243" s="16" t="s">
        <v>2504</v>
      </c>
      <c r="E243" s="16" t="s">
        <v>83</v>
      </c>
      <c r="F243" s="16">
        <v>2000</v>
      </c>
    </row>
    <row r="244" spans="1:6">
      <c r="A244" s="16" t="s">
        <v>895</v>
      </c>
      <c r="B244" s="16">
        <v>2025</v>
      </c>
      <c r="C244" s="16" t="s">
        <v>919</v>
      </c>
      <c r="D244" s="16" t="s">
        <v>2504</v>
      </c>
      <c r="E244" s="16" t="s">
        <v>83</v>
      </c>
      <c r="F244" s="16">
        <v>2000</v>
      </c>
    </row>
    <row r="245" spans="1:6">
      <c r="A245" s="16" t="s">
        <v>895</v>
      </c>
      <c r="B245" s="16">
        <v>2025</v>
      </c>
      <c r="C245" s="16" t="s">
        <v>902</v>
      </c>
      <c r="D245" s="16" t="s">
        <v>2504</v>
      </c>
      <c r="E245" s="16" t="s">
        <v>83</v>
      </c>
      <c r="F245" s="16">
        <v>2000</v>
      </c>
    </row>
    <row r="246" spans="1:6">
      <c r="A246" s="16" t="s">
        <v>895</v>
      </c>
      <c r="B246" s="16">
        <v>2025</v>
      </c>
      <c r="C246" s="16" t="s">
        <v>978</v>
      </c>
      <c r="D246" s="16" t="s">
        <v>2504</v>
      </c>
      <c r="E246" s="16" t="s">
        <v>83</v>
      </c>
      <c r="F246" s="16">
        <v>2000</v>
      </c>
    </row>
    <row r="247" spans="1:6">
      <c r="A247" s="16" t="s">
        <v>895</v>
      </c>
      <c r="B247" s="16">
        <v>2025</v>
      </c>
      <c r="C247" s="16" t="s">
        <v>906</v>
      </c>
      <c r="D247" s="16" t="s">
        <v>2504</v>
      </c>
      <c r="E247" s="16" t="s">
        <v>83</v>
      </c>
      <c r="F247" s="16">
        <v>2000</v>
      </c>
    </row>
    <row r="248" spans="1:6">
      <c r="A248" s="16" t="s">
        <v>895</v>
      </c>
      <c r="B248" s="16">
        <v>2025</v>
      </c>
      <c r="C248" s="16" t="s">
        <v>1528</v>
      </c>
      <c r="D248" s="16" t="s">
        <v>2543</v>
      </c>
      <c r="E248" s="16" t="s">
        <v>83</v>
      </c>
      <c r="F248" s="16">
        <v>2000</v>
      </c>
    </row>
    <row r="249" spans="1:6">
      <c r="A249" s="16" t="s">
        <v>895</v>
      </c>
      <c r="B249" s="16">
        <v>2025</v>
      </c>
      <c r="C249" s="16" t="s">
        <v>1533</v>
      </c>
      <c r="D249" s="16" t="s">
        <v>2543</v>
      </c>
      <c r="E249" s="16" t="s">
        <v>83</v>
      </c>
      <c r="F249" s="16">
        <v>2000</v>
      </c>
    </row>
    <row r="250" spans="1:6">
      <c r="A250" s="16" t="s">
        <v>17</v>
      </c>
      <c r="B250" s="16">
        <v>2025</v>
      </c>
      <c r="C250" s="16" t="s">
        <v>120</v>
      </c>
      <c r="D250" s="16" t="s">
        <v>2544</v>
      </c>
      <c r="E250" s="16" t="s">
        <v>83</v>
      </c>
      <c r="F250" s="16">
        <v>19200</v>
      </c>
    </row>
    <row r="251" spans="1:6">
      <c r="A251" s="16" t="s">
        <v>17</v>
      </c>
      <c r="B251" s="16">
        <v>2025</v>
      </c>
      <c r="C251" s="16" t="s">
        <v>167</v>
      </c>
      <c r="D251" s="16" t="s">
        <v>2544</v>
      </c>
      <c r="E251" s="16" t="s">
        <v>83</v>
      </c>
      <c r="F251" s="16">
        <v>22800</v>
      </c>
    </row>
    <row r="252" spans="1:6">
      <c r="A252" s="16" t="s">
        <v>17</v>
      </c>
      <c r="B252" s="16">
        <v>2025</v>
      </c>
      <c r="C252" s="16" t="s">
        <v>563</v>
      </c>
      <c r="D252" s="16" t="s">
        <v>2544</v>
      </c>
      <c r="E252" s="16" t="s">
        <v>83</v>
      </c>
      <c r="F252" s="16">
        <v>12000</v>
      </c>
    </row>
    <row r="253" spans="1:6">
      <c r="A253" s="16" t="s">
        <v>17</v>
      </c>
      <c r="B253" s="16">
        <v>2025</v>
      </c>
      <c r="C253" s="16" t="s">
        <v>2364</v>
      </c>
      <c r="D253" s="16" t="s">
        <v>2544</v>
      </c>
      <c r="E253" s="16" t="s">
        <v>83</v>
      </c>
      <c r="F253" s="16">
        <v>119680</v>
      </c>
    </row>
    <row r="254" spans="1:6">
      <c r="A254" s="16" t="s">
        <v>17</v>
      </c>
      <c r="B254" s="16">
        <v>2025</v>
      </c>
      <c r="C254" s="16" t="s">
        <v>2364</v>
      </c>
      <c r="D254" s="16" t="s">
        <v>2545</v>
      </c>
      <c r="E254" s="16" t="s">
        <v>83</v>
      </c>
      <c r="F254" s="16">
        <v>13200</v>
      </c>
    </row>
    <row r="255" spans="1:6">
      <c r="A255" s="16" t="s">
        <v>17</v>
      </c>
      <c r="B255" s="16">
        <v>2025</v>
      </c>
      <c r="C255" s="16" t="s">
        <v>2364</v>
      </c>
      <c r="D255" s="16" t="s">
        <v>2342</v>
      </c>
      <c r="E255" s="16" t="s">
        <v>83</v>
      </c>
      <c r="F255" s="16">
        <v>5000</v>
      </c>
    </row>
    <row r="256" spans="1:6">
      <c r="A256" s="16" t="s">
        <v>424</v>
      </c>
      <c r="B256" s="16">
        <v>2025</v>
      </c>
      <c r="C256" s="16" t="s">
        <v>2546</v>
      </c>
      <c r="D256" s="16" t="s">
        <v>2547</v>
      </c>
      <c r="E256" s="16" t="s">
        <v>83</v>
      </c>
      <c r="F256" s="16">
        <v>15000</v>
      </c>
    </row>
    <row r="257" spans="1:6">
      <c r="A257" s="16" t="s">
        <v>2548</v>
      </c>
      <c r="B257" s="16">
        <v>2025</v>
      </c>
      <c r="C257" s="16" t="s">
        <v>96</v>
      </c>
      <c r="D257" s="16" t="s">
        <v>2503</v>
      </c>
      <c r="E257" s="16" t="s">
        <v>83</v>
      </c>
      <c r="F257" s="16">
        <v>1800</v>
      </c>
    </row>
    <row r="258" spans="1:6">
      <c r="A258" s="16" t="s">
        <v>2548</v>
      </c>
      <c r="B258" s="16">
        <v>2025</v>
      </c>
      <c r="C258" s="16" t="s">
        <v>2502</v>
      </c>
      <c r="D258" s="16" t="s">
        <v>2503</v>
      </c>
      <c r="E258" s="16" t="s">
        <v>83</v>
      </c>
      <c r="F258" s="16">
        <v>2700</v>
      </c>
    </row>
    <row r="259" spans="1:6">
      <c r="A259" s="16" t="s">
        <v>2548</v>
      </c>
      <c r="B259" s="16">
        <v>2025</v>
      </c>
      <c r="C259" s="16" t="s">
        <v>2505</v>
      </c>
      <c r="D259" s="16" t="s">
        <v>2322</v>
      </c>
      <c r="E259" s="16" t="s">
        <v>83</v>
      </c>
      <c r="F259" s="16">
        <v>15000</v>
      </c>
    </row>
    <row r="260" spans="1:6">
      <c r="A260" s="16" t="s">
        <v>14</v>
      </c>
      <c r="B260" s="16">
        <v>2025</v>
      </c>
      <c r="C260" s="16" t="s">
        <v>2393</v>
      </c>
      <c r="D260" s="16" t="s">
        <v>2545</v>
      </c>
      <c r="E260" s="16" t="s">
        <v>83</v>
      </c>
      <c r="F260" s="16">
        <v>8100</v>
      </c>
    </row>
    <row r="261" spans="1:6">
      <c r="A261" s="16" t="s">
        <v>14</v>
      </c>
      <c r="B261" s="16">
        <v>2025</v>
      </c>
      <c r="C261" s="16" t="s">
        <v>542</v>
      </c>
      <c r="D261" s="16" t="s">
        <v>2545</v>
      </c>
      <c r="E261" s="16" t="s">
        <v>83</v>
      </c>
      <c r="F261" s="16">
        <v>16200</v>
      </c>
    </row>
    <row r="262" spans="1:6">
      <c r="A262" s="16" t="s">
        <v>14</v>
      </c>
      <c r="B262" s="16">
        <v>2025</v>
      </c>
      <c r="C262" s="16" t="s">
        <v>855</v>
      </c>
      <c r="D262" s="16" t="s">
        <v>2549</v>
      </c>
      <c r="E262" s="16" t="s">
        <v>83</v>
      </c>
      <c r="F262" s="16">
        <v>8000</v>
      </c>
    </row>
    <row r="263" spans="1:6">
      <c r="A263" s="16" t="s">
        <v>14</v>
      </c>
      <c r="B263" s="16">
        <v>2025</v>
      </c>
      <c r="C263" s="16" t="s">
        <v>2399</v>
      </c>
      <c r="D263" s="16" t="s">
        <v>2545</v>
      </c>
      <c r="E263" s="16" t="s">
        <v>83</v>
      </c>
      <c r="F263" s="16">
        <v>14400</v>
      </c>
    </row>
    <row r="264" spans="1:6">
      <c r="A264" s="16" t="s">
        <v>14</v>
      </c>
      <c r="B264" s="16">
        <v>2025</v>
      </c>
      <c r="C264" s="16" t="s">
        <v>497</v>
      </c>
      <c r="D264" s="16" t="s">
        <v>2549</v>
      </c>
      <c r="E264" s="16" t="s">
        <v>83</v>
      </c>
      <c r="F264" s="16">
        <v>14309</v>
      </c>
    </row>
    <row r="265" spans="1:6">
      <c r="A265" s="16" t="s">
        <v>14</v>
      </c>
      <c r="B265" s="16">
        <v>2025</v>
      </c>
      <c r="C265" s="16" t="s">
        <v>2402</v>
      </c>
      <c r="D265" s="16" t="s">
        <v>2549</v>
      </c>
      <c r="E265" s="16" t="s">
        <v>83</v>
      </c>
      <c r="F265" s="16">
        <v>8200</v>
      </c>
    </row>
    <row r="266" spans="1:6">
      <c r="A266" s="16" t="s">
        <v>14</v>
      </c>
      <c r="B266" s="16">
        <v>2025</v>
      </c>
      <c r="C266" s="16" t="s">
        <v>2402</v>
      </c>
      <c r="D266" s="16" t="s">
        <v>2545</v>
      </c>
      <c r="E266" s="16" t="s">
        <v>83</v>
      </c>
      <c r="F266" s="16">
        <v>900</v>
      </c>
    </row>
    <row r="267" spans="1:6">
      <c r="A267" s="16" t="s">
        <v>14</v>
      </c>
      <c r="B267" s="16">
        <v>2025</v>
      </c>
      <c r="C267" s="16" t="s">
        <v>2408</v>
      </c>
      <c r="D267" s="16" t="s">
        <v>2545</v>
      </c>
      <c r="E267" s="16" t="s">
        <v>83</v>
      </c>
      <c r="F267" s="16">
        <v>900</v>
      </c>
    </row>
    <row r="268" spans="1:6">
      <c r="A268" s="16" t="s">
        <v>14</v>
      </c>
      <c r="B268" s="16">
        <v>2025</v>
      </c>
      <c r="C268" s="16" t="s">
        <v>2415</v>
      </c>
      <c r="D268" s="16" t="s">
        <v>2549</v>
      </c>
      <c r="E268" s="16" t="s">
        <v>83</v>
      </c>
      <c r="F268" s="16">
        <v>1200</v>
      </c>
    </row>
    <row r="269" spans="1:6">
      <c r="A269" s="16" t="s">
        <v>14</v>
      </c>
      <c r="B269" s="16">
        <v>2025</v>
      </c>
      <c r="C269" s="16" t="s">
        <v>2415</v>
      </c>
      <c r="D269" s="16" t="s">
        <v>2545</v>
      </c>
      <c r="E269" s="16" t="s">
        <v>83</v>
      </c>
      <c r="F269" s="16">
        <v>18900</v>
      </c>
    </row>
    <row r="270" spans="1:6">
      <c r="A270" s="16" t="s">
        <v>14</v>
      </c>
      <c r="B270" s="16">
        <v>2025</v>
      </c>
      <c r="C270" s="16" t="s">
        <v>2417</v>
      </c>
      <c r="D270" s="16" t="s">
        <v>2545</v>
      </c>
      <c r="E270" s="16" t="s">
        <v>83</v>
      </c>
      <c r="F270" s="16">
        <v>900</v>
      </c>
    </row>
    <row r="271" spans="1:6">
      <c r="A271" s="16" t="s">
        <v>14</v>
      </c>
      <c r="B271" s="16">
        <v>2025</v>
      </c>
      <c r="C271" s="16" t="s">
        <v>1483</v>
      </c>
      <c r="D271" s="16" t="s">
        <v>2550</v>
      </c>
      <c r="E271" s="16" t="s">
        <v>83</v>
      </c>
      <c r="F271" s="16">
        <v>10000</v>
      </c>
    </row>
    <row r="272" spans="1:6">
      <c r="A272" s="16" t="s">
        <v>14</v>
      </c>
      <c r="B272" s="16">
        <v>2025</v>
      </c>
      <c r="C272" s="16" t="s">
        <v>1483</v>
      </c>
      <c r="D272" s="16" t="s">
        <v>2551</v>
      </c>
      <c r="E272" s="16" t="s">
        <v>83</v>
      </c>
      <c r="F272" s="16">
        <v>10000</v>
      </c>
    </row>
    <row r="273" spans="1:6">
      <c r="A273" s="16" t="s">
        <v>14</v>
      </c>
      <c r="B273" s="16">
        <v>2025</v>
      </c>
      <c r="C273" s="16" t="s">
        <v>1483</v>
      </c>
      <c r="D273" s="16" t="s">
        <v>2549</v>
      </c>
      <c r="E273" s="16" t="s">
        <v>83</v>
      </c>
      <c r="F273" s="16">
        <v>2400</v>
      </c>
    </row>
    <row r="274" spans="1:6">
      <c r="A274" s="16" t="s">
        <v>14</v>
      </c>
      <c r="B274" s="16">
        <v>2025</v>
      </c>
      <c r="C274" s="16" t="s">
        <v>1483</v>
      </c>
      <c r="D274" s="16" t="s">
        <v>2545</v>
      </c>
      <c r="E274" s="16" t="s">
        <v>83</v>
      </c>
      <c r="F274" s="16">
        <v>17100</v>
      </c>
    </row>
    <row r="275" spans="1:6">
      <c r="A275" s="16" t="s">
        <v>14</v>
      </c>
      <c r="B275" s="16">
        <v>2025</v>
      </c>
      <c r="C275" s="16" t="s">
        <v>2425</v>
      </c>
      <c r="D275" s="16" t="s">
        <v>2552</v>
      </c>
      <c r="E275" s="16" t="s">
        <v>83</v>
      </c>
      <c r="F275" s="16">
        <v>5000</v>
      </c>
    </row>
    <row r="276" spans="1:6">
      <c r="A276" s="16" t="s">
        <v>14</v>
      </c>
      <c r="B276" s="16">
        <v>2025</v>
      </c>
      <c r="C276" s="16" t="s">
        <v>2425</v>
      </c>
      <c r="D276" s="16" t="s">
        <v>2553</v>
      </c>
      <c r="E276" s="16" t="s">
        <v>83</v>
      </c>
      <c r="F276" s="16">
        <v>22500</v>
      </c>
    </row>
    <row r="277" spans="1:6">
      <c r="A277" s="16" t="s">
        <v>14</v>
      </c>
      <c r="B277" s="16">
        <v>2025</v>
      </c>
      <c r="C277" s="16" t="s">
        <v>2425</v>
      </c>
      <c r="D277" s="16" t="s">
        <v>2549</v>
      </c>
      <c r="E277" s="16" t="s">
        <v>83</v>
      </c>
      <c r="F277" s="16">
        <v>21600</v>
      </c>
    </row>
    <row r="278" spans="1:6">
      <c r="A278" s="16" t="s">
        <v>14</v>
      </c>
      <c r="B278" s="16">
        <v>2025</v>
      </c>
      <c r="C278" s="16" t="s">
        <v>2427</v>
      </c>
      <c r="D278" s="16" t="s">
        <v>2549</v>
      </c>
      <c r="E278" s="16" t="s">
        <v>83</v>
      </c>
      <c r="F278" s="16">
        <v>5040</v>
      </c>
    </row>
    <row r="279" spans="1:6">
      <c r="A279" s="16" t="s">
        <v>14</v>
      </c>
      <c r="B279" s="16">
        <v>2025</v>
      </c>
      <c r="C279" s="16" t="s">
        <v>2427</v>
      </c>
      <c r="D279" s="16" t="s">
        <v>2545</v>
      </c>
      <c r="E279" s="16" t="s">
        <v>83</v>
      </c>
      <c r="F279" s="16">
        <v>17100</v>
      </c>
    </row>
    <row r="280" spans="1:6">
      <c r="A280" s="16" t="s">
        <v>14</v>
      </c>
      <c r="B280" s="16">
        <v>2025</v>
      </c>
      <c r="C280" s="16" t="s">
        <v>116</v>
      </c>
      <c r="D280" s="16" t="s">
        <v>2554</v>
      </c>
      <c r="E280" s="16" t="s">
        <v>83</v>
      </c>
      <c r="F280" s="16">
        <v>10000</v>
      </c>
    </row>
    <row r="281" spans="1:6">
      <c r="A281" s="16" t="s">
        <v>14</v>
      </c>
      <c r="B281" s="16">
        <v>2025</v>
      </c>
      <c r="C281" s="16" t="s">
        <v>116</v>
      </c>
      <c r="D281" s="16" t="s">
        <v>2555</v>
      </c>
      <c r="E281" s="16" t="s">
        <v>83</v>
      </c>
      <c r="F281" s="16">
        <v>15000</v>
      </c>
    </row>
    <row r="282" spans="1:6">
      <c r="A282" s="16" t="s">
        <v>14</v>
      </c>
      <c r="B282" s="16">
        <v>2025</v>
      </c>
      <c r="C282" s="16" t="s">
        <v>116</v>
      </c>
      <c r="D282" s="16" t="s">
        <v>2555</v>
      </c>
      <c r="E282" s="16" t="s">
        <v>83</v>
      </c>
      <c r="F282" s="16">
        <v>15000</v>
      </c>
    </row>
    <row r="283" spans="1:6">
      <c r="A283" s="16" t="s">
        <v>14</v>
      </c>
      <c r="B283" s="16">
        <v>2025</v>
      </c>
      <c r="C283" s="16" t="s">
        <v>2432</v>
      </c>
      <c r="D283" s="16" t="s">
        <v>2552</v>
      </c>
      <c r="E283" s="16" t="s">
        <v>83</v>
      </c>
      <c r="F283" s="16">
        <v>5000</v>
      </c>
    </row>
    <row r="284" spans="1:6">
      <c r="A284" s="16" t="s">
        <v>14</v>
      </c>
      <c r="B284" s="16">
        <v>2025</v>
      </c>
      <c r="C284" s="16" t="s">
        <v>2419</v>
      </c>
      <c r="D284" s="16" t="s">
        <v>2545</v>
      </c>
      <c r="E284" s="16" t="s">
        <v>83</v>
      </c>
      <c r="F284" s="16">
        <v>900</v>
      </c>
    </row>
    <row r="285" spans="1:6">
      <c r="A285" s="16" t="s">
        <v>14</v>
      </c>
      <c r="B285" s="16">
        <v>2025</v>
      </c>
      <c r="C285" s="16" t="s">
        <v>2330</v>
      </c>
      <c r="D285" s="16" t="s">
        <v>2549</v>
      </c>
      <c r="E285" s="16" t="s">
        <v>83</v>
      </c>
      <c r="F285" s="16">
        <v>5200</v>
      </c>
    </row>
    <row r="286" spans="1:6">
      <c r="A286" s="16" t="s">
        <v>14</v>
      </c>
      <c r="B286" s="16">
        <v>2025</v>
      </c>
      <c r="C286" s="16" t="s">
        <v>2330</v>
      </c>
      <c r="D286" s="16" t="s">
        <v>2545</v>
      </c>
      <c r="E286" s="16" t="s">
        <v>83</v>
      </c>
      <c r="F286" s="16">
        <v>19800</v>
      </c>
    </row>
    <row r="287" spans="1:6">
      <c r="A287" s="16" t="s">
        <v>14</v>
      </c>
      <c r="B287" s="16">
        <v>2025</v>
      </c>
      <c r="C287" s="16" t="s">
        <v>2308</v>
      </c>
      <c r="D287" s="16" t="s">
        <v>2545</v>
      </c>
      <c r="E287" s="16" t="s">
        <v>83</v>
      </c>
      <c r="F287" s="16">
        <v>22500</v>
      </c>
    </row>
    <row r="288" spans="1:6">
      <c r="A288" s="16" t="s">
        <v>14</v>
      </c>
      <c r="B288" s="16">
        <v>2025</v>
      </c>
      <c r="C288" s="16" t="s">
        <v>2308</v>
      </c>
      <c r="D288" s="16" t="s">
        <v>2549</v>
      </c>
      <c r="E288" s="16" t="s">
        <v>83</v>
      </c>
      <c r="F288" s="16">
        <v>5800</v>
      </c>
    </row>
    <row r="289" spans="6:6">
      <c r="F289" s="16">
        <f>SUM(F3:F288)</f>
        <v>1866079</v>
      </c>
    </row>
  </sheetData>
  <printOptions horizontalCentered="1" gridLines="1"/>
  <pageMargins left="0.7" right="0.7" top="0.75" bottom="0.75" header="0" footer="0"/>
  <pageSetup fitToHeight="0" pageOrder="overThenDown" orientation="landscape" cellComments="atEnd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15"/>
  <sheetViews>
    <sheetView workbookViewId="0"/>
  </sheetViews>
  <sheetFormatPr defaultColWidth="12.6640625" defaultRowHeight="15" customHeight="1"/>
  <cols>
    <col min="1" max="1" width="22.5546875" customWidth="1"/>
    <col min="2" max="2" width="19.21875" customWidth="1"/>
    <col min="3" max="3" width="32.109375" customWidth="1"/>
    <col min="4" max="4" width="35.88671875" customWidth="1"/>
    <col min="5" max="5" width="19.44140625" customWidth="1"/>
  </cols>
  <sheetData>
    <row r="1" spans="1:4" ht="13.2">
      <c r="A1" s="26" t="s">
        <v>2556</v>
      </c>
      <c r="B1" s="16"/>
      <c r="C1" s="16"/>
      <c r="D1" s="16"/>
    </row>
    <row r="2" spans="1:4" ht="13.2">
      <c r="A2" s="16" t="s">
        <v>2557</v>
      </c>
      <c r="B2" s="16" t="s">
        <v>2558</v>
      </c>
      <c r="C2" s="16" t="s">
        <v>2559</v>
      </c>
      <c r="D2" s="16" t="s">
        <v>29</v>
      </c>
    </row>
    <row r="3" spans="1:4" ht="13.2">
      <c r="A3" s="16" t="s">
        <v>14</v>
      </c>
      <c r="B3" s="16">
        <v>4</v>
      </c>
      <c r="C3" s="16">
        <f t="shared" ref="C3:C11" si="0">(B3*20)</f>
        <v>80</v>
      </c>
      <c r="D3" s="16" t="s">
        <v>2560</v>
      </c>
    </row>
    <row r="4" spans="1:4" ht="13.2">
      <c r="A4" s="16" t="s">
        <v>17</v>
      </c>
      <c r="B4" s="16">
        <v>2</v>
      </c>
      <c r="C4" s="16">
        <f t="shared" si="0"/>
        <v>40</v>
      </c>
      <c r="D4" s="16"/>
    </row>
    <row r="5" spans="1:4" ht="13.2">
      <c r="A5" s="16" t="s">
        <v>15</v>
      </c>
      <c r="B5" s="16">
        <v>3</v>
      </c>
      <c r="C5" s="16">
        <f t="shared" si="0"/>
        <v>60</v>
      </c>
      <c r="D5" s="16" t="s">
        <v>2561</v>
      </c>
    </row>
    <row r="6" spans="1:4" ht="13.2">
      <c r="A6" s="16" t="s">
        <v>16</v>
      </c>
      <c r="B6" s="16">
        <v>3</v>
      </c>
      <c r="C6" s="16">
        <f t="shared" si="0"/>
        <v>60</v>
      </c>
      <c r="D6" s="16" t="s">
        <v>2562</v>
      </c>
    </row>
    <row r="7" spans="1:4" ht="13.2">
      <c r="A7" s="16" t="s">
        <v>126</v>
      </c>
      <c r="B7" s="16">
        <v>0.5</v>
      </c>
      <c r="C7" s="16">
        <f t="shared" si="0"/>
        <v>10</v>
      </c>
      <c r="D7" s="16"/>
    </row>
    <row r="8" spans="1:4" ht="13.2">
      <c r="A8" s="16" t="s">
        <v>2563</v>
      </c>
      <c r="B8" s="16">
        <v>0.5</v>
      </c>
      <c r="C8" s="16">
        <f t="shared" si="0"/>
        <v>10</v>
      </c>
      <c r="D8" s="16"/>
    </row>
    <row r="9" spans="1:4" ht="13.2">
      <c r="A9" s="16" t="s">
        <v>24</v>
      </c>
      <c r="B9" s="16">
        <v>2</v>
      </c>
      <c r="C9" s="16">
        <f t="shared" si="0"/>
        <v>40</v>
      </c>
      <c r="D9" s="16"/>
    </row>
    <row r="10" spans="1:4" ht="13.2">
      <c r="A10" s="16" t="s">
        <v>23</v>
      </c>
      <c r="B10" s="16">
        <v>2</v>
      </c>
      <c r="C10" s="16">
        <f t="shared" si="0"/>
        <v>40</v>
      </c>
      <c r="D10" s="16" t="s">
        <v>2564</v>
      </c>
    </row>
    <row r="11" spans="1:4" ht="13.2">
      <c r="A11" s="16" t="s">
        <v>20</v>
      </c>
      <c r="B11" s="16">
        <v>1</v>
      </c>
      <c r="C11" s="16">
        <f t="shared" si="0"/>
        <v>20</v>
      </c>
      <c r="D11" s="16" t="s">
        <v>2565</v>
      </c>
    </row>
    <row r="12" spans="1:4" ht="13.2">
      <c r="A12" s="16" t="s">
        <v>21</v>
      </c>
      <c r="B12" s="16">
        <v>1</v>
      </c>
      <c r="C12" s="16">
        <v>20</v>
      </c>
      <c r="D12" s="16"/>
    </row>
    <row r="13" spans="1:4" ht="13.2">
      <c r="A13" s="16" t="s">
        <v>2548</v>
      </c>
      <c r="B13" s="16" t="s">
        <v>2566</v>
      </c>
      <c r="C13" s="16" t="s">
        <v>40</v>
      </c>
      <c r="D13" s="16"/>
    </row>
    <row r="14" spans="1:4" ht="13.2">
      <c r="A14" s="16" t="s">
        <v>2567</v>
      </c>
      <c r="B14" s="16" t="s">
        <v>2566</v>
      </c>
      <c r="C14" s="16" t="s">
        <v>40</v>
      </c>
      <c r="D14" s="16"/>
    </row>
    <row r="15" spans="1:4" ht="13.2">
      <c r="A15" s="16" t="s">
        <v>2568</v>
      </c>
      <c r="B15" s="16" t="s">
        <v>2566</v>
      </c>
      <c r="C15" s="16" t="s">
        <v>40</v>
      </c>
      <c r="D15" s="1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targ vs ach</vt:lpstr>
      <vt:lpstr>Consolidated Sheet </vt:lpstr>
      <vt:lpstr>Journal_Paper_Conference</vt:lpstr>
      <vt:lpstr>Patents</vt:lpstr>
      <vt:lpstr>Granted Patent</vt:lpstr>
      <vt:lpstr>Proposals</vt:lpstr>
      <vt:lpstr>Consultancy</vt:lpstr>
      <vt:lpstr>Entrepreneurships</vt:lpstr>
      <vt:lpstr>Incentives</vt:lpstr>
      <vt:lpstr>Students 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Muddasir sanadi</cp:lastModifiedBy>
  <dcterms:modified xsi:type="dcterms:W3CDTF">2026-05-03T10:03:43Z</dcterms:modified>
</cp:coreProperties>
</file>